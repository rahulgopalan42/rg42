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READ ME" sheetId="1" state="visible" r:id="rId1"/>
    <sheet xmlns:r="http://schemas.openxmlformats.org/officeDocument/2006/relationships" name="A0 ALL NEW BRANDS W1-13" sheetId="2" state="visible" r:id="rId2"/>
    <sheet xmlns:r="http://schemas.openxmlformats.org/officeDocument/2006/relationships" name="A1 W1 Consumer" sheetId="3" state="visible" r:id="rId3"/>
    <sheet xmlns:r="http://schemas.openxmlformats.org/officeDocument/2006/relationships" name="A2 W2 Financial" sheetId="4" state="visible" r:id="rId4"/>
    <sheet xmlns:r="http://schemas.openxmlformats.org/officeDocument/2006/relationships" name="A3 W3 Health &amp; Wellness" sheetId="5" state="visible" r:id="rId5"/>
    <sheet xmlns:r="http://schemas.openxmlformats.org/officeDocument/2006/relationships" name="A4 W4 Tech HW &amp; Telecom" sheetId="6" state="visible" r:id="rId6"/>
    <sheet xmlns:r="http://schemas.openxmlformats.org/officeDocument/2006/relationships" name="A5 W5 Software" sheetId="7" state="visible" r:id="rId7"/>
    <sheet xmlns:r="http://schemas.openxmlformats.org/officeDocument/2006/relationships" name="A6 W6 Industrial" sheetId="8" state="visible" r:id="rId8"/>
    <sheet xmlns:r="http://schemas.openxmlformats.org/officeDocument/2006/relationships" name="A7 W7 Energy" sheetId="9" state="visible" r:id="rId9"/>
    <sheet xmlns:r="http://schemas.openxmlformats.org/officeDocument/2006/relationships" name="A8 W8 Services &amp; Trading" sheetId="10" state="visible" r:id="rId10"/>
    <sheet xmlns:r="http://schemas.openxmlformats.org/officeDocument/2006/relationships" name="A9 W9-12 Residues" sheetId="11" state="visible" r:id="rId11"/>
    <sheet xmlns:r="http://schemas.openxmlformats.org/officeDocument/2006/relationships" name="A10 W13 Deep Pass" sheetId="12" state="visible" r:id="rId12"/>
    <sheet xmlns:r="http://schemas.openxmlformats.org/officeDocument/2006/relationships" name="B01 Asset Mgmt, PE &amp; Trading Fi" sheetId="13" state="visible" r:id="rId13"/>
    <sheet xmlns:r="http://schemas.openxmlformats.org/officeDocument/2006/relationships" name="B02 Real Estate &amp; Building Prod" sheetId="14" state="visible" r:id="rId14"/>
    <sheet xmlns:r="http://schemas.openxmlformats.org/officeDocument/2006/relationships" name="B03 CDMO, CRO &amp; Life-Science To" sheetId="15" state="visible" r:id="rId15"/>
    <sheet xmlns:r="http://schemas.openxmlformats.org/officeDocument/2006/relationships" name="B04 Mining, Metals &amp; Commoditie" sheetId="16" state="visible" r:id="rId16"/>
    <sheet xmlns:r="http://schemas.openxmlformats.org/officeDocument/2006/relationships" name="B05 Agriculture &amp; AgTech" sheetId="17" state="visible" r:id="rId17"/>
    <sheet xmlns:r="http://schemas.openxmlformats.org/officeDocument/2006/relationships" name="B06 Retail &amp; E-commerce" sheetId="18" state="visible" r:id="rId18"/>
    <sheet xmlns:r="http://schemas.openxmlformats.org/officeDocument/2006/relationships" name="B07 Aviation &amp; Aerospace Suppli" sheetId="19" state="visible" r:id="rId19"/>
    <sheet xmlns:r="http://schemas.openxmlformats.org/officeDocument/2006/relationships" name="B08 Sporting Goods &amp; Fitness" sheetId="20" state="visible" r:id="rId20"/>
    <sheet xmlns:r="http://schemas.openxmlformats.org/officeDocument/2006/relationships" name="B09 Maritime, Shipping &amp; Ports" sheetId="21" state="visible" r:id="rId21"/>
    <sheet xmlns:r="http://schemas.openxmlformats.org/officeDocument/2006/relationships" name="B10 Batteries, EV, Waste &amp; Wate" sheetId="22" state="visible" r:id="rId22"/>
    <sheet xmlns:r="http://schemas.openxmlformats.org/officeDocument/2006/relationships" name="B11 Engineering Consultancies &amp;" sheetId="23" state="visible" r:id="rId23"/>
    <sheet xmlns:r="http://schemas.openxmlformats.org/officeDocument/2006/relationships" name="B12 Rail, Transit &amp; Road Infra" sheetId="24" state="visible" r:id="rId24"/>
    <sheet xmlns:r="http://schemas.openxmlformats.org/officeDocument/2006/relationships" name="B13 Industrial &amp; MRO Distributi" sheetId="25" state="visible" r:id="rId25"/>
    <sheet xmlns:r="http://schemas.openxmlformats.org/officeDocument/2006/relationships" name="B14 Intralogistics &amp; Warehouse " sheetId="26" state="visible" r:id="rId26"/>
    <sheet xmlns:r="http://schemas.openxmlformats.org/officeDocument/2006/relationships" name="B15 Consumer Electronics &amp; Audi" sheetId="27" state="visible" r:id="rId27"/>
    <sheet xmlns:r="http://schemas.openxmlformats.org/officeDocument/2006/relationships" name="B16 Specialty Chemicals &amp; Coati" sheetId="28" state="visible" r:id="rId28"/>
    <sheet xmlns:r="http://schemas.openxmlformats.org/officeDocument/2006/relationships" name="B17 Private 5G &amp; Telecom Equipm" sheetId="29" state="visible" r:id="rId29"/>
    <sheet xmlns:r="http://schemas.openxmlformats.org/officeDocument/2006/relationships" name="B18 Quantum Computing" sheetId="30" state="visible" r:id="rId30"/>
    <sheet xmlns:r="http://schemas.openxmlformats.org/officeDocument/2006/relationships" name="C19 Pet Care &amp; Nutrition" sheetId="31" state="visible" r:id="rId31"/>
    <sheet xmlns:r="http://schemas.openxmlformats.org/officeDocument/2006/relationships" name="C20 Fitness, Sports Nutrition &amp;" sheetId="32" state="visible" r:id="rId32"/>
    <sheet xmlns:r="http://schemas.openxmlformats.org/officeDocument/2006/relationships" name="C21 Watches &amp; Jewellery" sheetId="33" state="visible" r:id="rId33"/>
    <sheet xmlns:r="http://schemas.openxmlformats.org/officeDocument/2006/relationships" name="C22 Grooming &amp; Men's Care" sheetId="34" state="visible" r:id="rId34"/>
    <sheet xmlns:r="http://schemas.openxmlformats.org/officeDocument/2006/relationships" name="C23 Gaming Hardware &amp; Periphera" sheetId="35" state="visible" r:id="rId35"/>
    <sheet xmlns:r="http://schemas.openxmlformats.org/officeDocument/2006/relationships" name="C24 Ticketing, Live Events &amp; Ex" sheetId="36" state="visible" r:id="rId36"/>
    <sheet xmlns:r="http://schemas.openxmlformats.org/officeDocument/2006/relationships" name="C25 Wealth Mgmt &amp; Private Banki" sheetId="37" state="visible" r:id="rId37"/>
    <sheet xmlns:r="http://schemas.openxmlformats.org/officeDocument/2006/relationships" name="C26 Insurance Brokers &amp; Reinsur" sheetId="38" state="visible" r:id="rId38"/>
    <sheet xmlns:r="http://schemas.openxmlformats.org/officeDocument/2006/relationships" name="C27 Payroll, EOR &amp; Global Emplo" sheetId="39" state="visible" r:id="rId39"/>
    <sheet xmlns:r="http://schemas.openxmlformats.org/officeDocument/2006/relationships" name="C28 Franchise Groups" sheetId="40" state="visible" r:id="rId40"/>
    <sheet xmlns:r="http://schemas.openxmlformats.org/officeDocument/2006/relationships" name="C29 Water Tech &amp; Desalination" sheetId="41" state="visible" r:id="rId41"/>
    <sheet xmlns:r="http://schemas.openxmlformats.org/officeDocument/2006/relationships" name="C30 Waste, Recycling &amp; Circular" sheetId="42" state="visible" r:id="rId42"/>
    <sheet xmlns:r="http://schemas.openxmlformats.org/officeDocument/2006/relationships" name="C31 Agritech &amp; Ag Inputs" sheetId="43" state="visible" r:id="rId43"/>
    <sheet xmlns:r="http://schemas.openxmlformats.org/officeDocument/2006/relationships" name="C32 Mining Services &amp; Equipment" sheetId="44" state="visible" r:id="rId44"/>
    <sheet xmlns:r="http://schemas.openxmlformats.org/officeDocument/2006/relationships" name="C33 Marine, Yachting &amp; Superyac" sheetId="45" state="visible" r:id="rId45"/>
    <sheet xmlns:r="http://schemas.openxmlformats.org/officeDocument/2006/relationships" name="C34 Private Aviation &amp; Business" sheetId="46" state="visible" r:id="rId46"/>
    <sheet xmlns:r="http://schemas.openxmlformats.org/officeDocument/2006/relationships" name="C35 Sports Tech &amp; Fan Engagemen" sheetId="47" state="visible" r:id="rId47"/>
    <sheet xmlns:r="http://schemas.openxmlformats.org/officeDocument/2006/relationships" name="C36 Creator Economy &amp; Influence" sheetId="48" state="visible" r:id="rId48"/>
    <sheet xmlns:r="http://schemas.openxmlformats.org/officeDocument/2006/relationships" name="C37 Travel Tech &amp; Airline IT" sheetId="49" state="visible" r:id="rId49"/>
    <sheet xmlns:r="http://schemas.openxmlformats.org/officeDocument/2006/relationships" name="C38 Africa Champions" sheetId="50" state="visible" r:id="rId50"/>
    <sheet xmlns:r="http://schemas.openxmlformats.org/officeDocument/2006/relationships" name="C39 Central Asia &amp; Caucasus Cha" sheetId="51" state="visible" r:id="rId51"/>
    <sheet xmlns:r="http://schemas.openxmlformats.org/officeDocument/2006/relationships" name="C40 SE Asia Private Conglomerat" sheetId="52" state="visible" r:id="rId52"/>
    <sheet xmlns:r="http://schemas.openxmlformats.org/officeDocument/2006/relationships" name="C41 LatAm Consumer &amp; Retail Cha" sheetId="53" state="visible" r:id="rId53"/>
    <sheet xmlns:r="http://schemas.openxmlformats.org/officeDocument/2006/relationships" name="D1 REJECTS (expansion)" sheetId="54" state="visible" r:id="rId54"/>
    <sheet xmlns:r="http://schemas.openxmlformats.org/officeDocument/2006/relationships" name="D2 CHANGE LOG" sheetId="55" state="visible" r:id="rId55"/>
  </sheets>
  <definedNames>
    <definedName name="_xlnm._FilterDatabase" localSheetId="1" hidden="1">'A0 ALL NEW BRANDS W1-13'!$A$3:$M$345</definedName>
    <definedName name="_xlnm._FilterDatabase" localSheetId="2" hidden="1">'A1 W1 Consumer'!$A$3:$M$69</definedName>
    <definedName name="_xlnm._FilterDatabase" localSheetId="3" hidden="1">'A2 W2 Financial'!$A$3:$M$37</definedName>
    <definedName name="_xlnm._FilterDatabase" localSheetId="4" hidden="1">'A3 W3 Health &amp; Wellness'!$A$3:$M$44</definedName>
    <definedName name="_xlnm._FilterDatabase" localSheetId="5" hidden="1">'A4 W4 Tech HW &amp; Telecom'!$A$3:$M$21</definedName>
    <definedName name="_xlnm._FilterDatabase" localSheetId="6" hidden="1">'A5 W5 Software'!$A$3:$M$13</definedName>
    <definedName name="_xlnm._FilterDatabase" localSheetId="7" hidden="1">'A6 W6 Industrial'!$A$3:$M$30</definedName>
    <definedName name="_xlnm._FilterDatabase" localSheetId="8" hidden="1">'A7 W7 Energy'!$A$3:$M$42</definedName>
    <definedName name="_xlnm._FilterDatabase" localSheetId="9" hidden="1">'A8 W8 Services &amp; Trading'!$A$3:$M$35</definedName>
    <definedName name="_xlnm._FilterDatabase" localSheetId="10" hidden="1">'A9 W9-12 Residues'!$A$3:$M$22</definedName>
    <definedName name="_xlnm._FilterDatabase" localSheetId="11" hidden="1">'A10 W13 Deep Pass'!$A$3:$M$59</definedName>
    <definedName name="_xlnm._FilterDatabase" localSheetId="12" hidden="1">'B01 Asset Mgmt, PE &amp; Trading Fi'!$A$3:$S$57</definedName>
    <definedName name="_xlnm._FilterDatabase" localSheetId="13" hidden="1">'B02 Real Estate &amp; Building Prod'!$A$3:$S$65</definedName>
    <definedName name="_xlnm._FilterDatabase" localSheetId="14" hidden="1">'B03 CDMO, CRO &amp; Life-Science To'!$A$3:$S$58</definedName>
    <definedName name="_xlnm._FilterDatabase" localSheetId="15" hidden="1">'B04 Mining, Metals &amp; Commoditie'!$A$3:$S$62</definedName>
    <definedName name="_xlnm._FilterDatabase" localSheetId="16" hidden="1">'B05 Agriculture &amp; AgTech'!$A$3:$S$32</definedName>
    <definedName name="_xlnm._FilterDatabase" localSheetId="17" hidden="1">'B06 Retail &amp; E-commerce'!$A$3:$S$61</definedName>
    <definedName name="_xlnm._FilterDatabase" localSheetId="18" hidden="1">'B07 Aviation &amp; Aerospace Suppli'!$A$3:$S$41</definedName>
    <definedName name="_xlnm._FilterDatabase" localSheetId="19" hidden="1">'B08 Sporting Goods &amp; Fitness'!$A$3:$S$33</definedName>
    <definedName name="_xlnm._FilterDatabase" localSheetId="20" hidden="1">'B09 Maritime, Shipping &amp; Ports'!$A$3:$S$41</definedName>
    <definedName name="_xlnm._FilterDatabase" localSheetId="21" hidden="1">'B10 Batteries, EV, Waste &amp; Wate'!$A$3:$S$17</definedName>
    <definedName name="_xlnm._FilterDatabase" localSheetId="22" hidden="1">'B11 Engineering Consultancies &amp;'!$A$3:$S$38</definedName>
    <definedName name="_xlnm._FilterDatabase" localSheetId="23" hidden="1">'B12 Rail, Transit &amp; Road Infra'!$A$3:$S$37</definedName>
    <definedName name="_xlnm._FilterDatabase" localSheetId="24" hidden="1">'B13 Industrial &amp; MRO Distributi'!$A$3:$S$38</definedName>
    <definedName name="_xlnm._FilterDatabase" localSheetId="25" hidden="1">'B14 Intralogistics &amp; Warehouse '!$A$3:$S$27</definedName>
    <definedName name="_xlnm._FilterDatabase" localSheetId="26" hidden="1">'B15 Consumer Electronics &amp; Audi'!$A$3:$S$17</definedName>
    <definedName name="_xlnm._FilterDatabase" localSheetId="27" hidden="1">'B16 Specialty Chemicals &amp; Coati'!$A$3:$S$27</definedName>
    <definedName name="_xlnm._FilterDatabase" localSheetId="28" hidden="1">'B17 Private 5G &amp; Telecom Equipm'!$A$3:$S$7</definedName>
    <definedName name="_xlnm._FilterDatabase" localSheetId="29" hidden="1">'B18 Quantum Computing'!$A$3:$S$4</definedName>
    <definedName name="_xlnm._FilterDatabase" localSheetId="30" hidden="1">'C19 Pet Care &amp; Nutrition'!$A$3:$S$9</definedName>
    <definedName name="_xlnm._FilterDatabase" localSheetId="31" hidden="1">'C20 Fitness, Sports Nutrition &amp;'!$A$3:$S$9</definedName>
    <definedName name="_xlnm._FilterDatabase" localSheetId="32" hidden="1">'C21 Watches &amp; Jewellery'!$A$3:$S$7</definedName>
    <definedName name="_xlnm._FilterDatabase" localSheetId="33" hidden="1">'C22 Grooming &amp; Men''s Care'!$A$3:$S$4</definedName>
    <definedName name="_xlnm._FilterDatabase" localSheetId="34" hidden="1">'C23 Gaming Hardware &amp; Periphera'!$A$3:$S$7</definedName>
    <definedName name="_xlnm._FilterDatabase" localSheetId="35" hidden="1">'C24 Ticketing, Live Events &amp; Ex'!$A$3:$S$13</definedName>
    <definedName name="_xlnm._FilterDatabase" localSheetId="36" hidden="1">'C25 Wealth Mgmt &amp; Private Banki'!$A$3:$S$30</definedName>
    <definedName name="_xlnm._FilterDatabase" localSheetId="37" hidden="1">'C26 Insurance Brokers &amp; Reinsur'!$A$3:$S$24</definedName>
    <definedName name="_xlnm._FilterDatabase" localSheetId="38" hidden="1">'C27 Payroll, EOR &amp; Global Emplo'!$A$3:$S$9</definedName>
    <definedName name="_xlnm._FilterDatabase" localSheetId="39" hidden="1">'C28 Franchise Groups'!$A$3:$S$9</definedName>
    <definedName name="_xlnm._FilterDatabase" localSheetId="40" hidden="1">'C29 Water Tech &amp; Desalination'!$A$3:$S$7</definedName>
    <definedName name="_xlnm._FilterDatabase" localSheetId="41" hidden="1">'C30 Waste, Recycling &amp; Circular'!$A$3:$S$10</definedName>
    <definedName name="_xlnm._FilterDatabase" localSheetId="42" hidden="1">'C31 Agritech &amp; Ag Inputs'!$A$3:$S$12</definedName>
    <definedName name="_xlnm._FilterDatabase" localSheetId="43" hidden="1">'C32 Mining Services &amp; Equipment'!$A$3:$S$11</definedName>
    <definedName name="_xlnm._FilterDatabase" localSheetId="44" hidden="1">'C33 Marine, Yachting &amp; Superyac'!$A$3:$S$6</definedName>
    <definedName name="_xlnm._FilterDatabase" localSheetId="45" hidden="1">'C34 Private Aviation &amp; Business'!$A$3:$S$7</definedName>
    <definedName name="_xlnm._FilterDatabase" localSheetId="46" hidden="1">'C35 Sports Tech &amp; Fan Engagemen'!$A$3:$S$6</definedName>
    <definedName name="_xlnm._FilterDatabase" localSheetId="47" hidden="1">'C36 Creator Economy &amp; Influence'!$A$3:$S$6</definedName>
    <definedName name="_xlnm._FilterDatabase" localSheetId="48" hidden="1">'C37 Travel Tech &amp; Airline IT'!$A$3:$S$7</definedName>
    <definedName name="_xlnm._FilterDatabase" localSheetId="49" hidden="1">'C38 Africa Champions'!$A$3:$S$18</definedName>
    <definedName name="_xlnm._FilterDatabase" localSheetId="50" hidden="1">'C39 Central Asia &amp; Caucasus Cha'!$A$3:$S$10</definedName>
    <definedName name="_xlnm._FilterDatabase" localSheetId="51" hidden="1">'C40 SE Asia Private Conglomerat'!$A$3:$S$21</definedName>
    <definedName name="_xlnm._FilterDatabase" localSheetId="52" hidden="1">'C41 LatAm Consumer &amp; Retail Cha'!$A$3:$S$17</definedName>
    <definedName name="_xlnm._FilterDatabase" localSheetId="53" hidden="1">'D1 REJECTS (expansion)'!$A$3:$D$551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3"/>
    </font>
    <font>
      <name val="Arial"/>
      <i val="1"/>
      <color rgb="00555555"/>
      <sz val="9"/>
    </font>
    <font>
      <name val="Arial"/>
      <b val="1"/>
      <color rgb="00FFFFFF"/>
      <sz val="10"/>
    </font>
    <font>
      <name val="Arial"/>
      <sz val="10"/>
    </font>
    <font>
      <name val="Arial"/>
      <b val="1"/>
      <sz val="10"/>
    </font>
  </fonts>
  <fills count="6">
    <fill>
      <patternFill/>
    </fill>
    <fill>
      <patternFill patternType="gray125"/>
    </fill>
    <fill>
      <patternFill patternType="solid">
        <fgColor rgb="001F3864"/>
      </patternFill>
    </fill>
    <fill>
      <patternFill patternType="solid">
        <fgColor rgb="00CFE8FD"/>
      </patternFill>
    </fill>
    <fill>
      <patternFill patternType="solid">
        <fgColor rgb="00FFF2CC"/>
      </patternFill>
    </fill>
    <fill>
      <patternFill patternType="solid">
        <fgColor rgb="00EDEDED"/>
      </patternFill>
    </fill>
  </fills>
  <borders count="2">
    <border>
      <left/>
      <right/>
      <top/>
      <bottom/>
      <diagonal/>
    </border>
    <border>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4" fillId="0" borderId="0" applyAlignment="1" pivotButton="0" quotePrefix="0" xfId="0">
      <alignment vertical="top" wrapText="1"/>
    </xf>
    <xf numFmtId="0" fontId="3" fillId="2" borderId="0" pivotButton="0" quotePrefix="0" xfId="0"/>
    <xf numFmtId="0" fontId="5" fillId="5" borderId="0" pivotButton="0" quotePrefix="0" xfId="0"/>
    <xf numFmtId="0" fontId="0" fillId="5" borderId="0" pivotButton="0" quotePrefix="0" xfId="0"/>
    <xf numFmtId="0" fontId="4" fillId="0" borderId="0" pivotButton="0" quotePrefix="0" xfId="0"/>
    <xf numFmtId="0" fontId="5" fillId="0" borderId="0" pivotButton="0" quotePrefix="0" xfId="0"/>
    <xf numFmtId="0" fontId="2" fillId="0" borderId="0" pivotButton="0" quotePrefix="0" xfId="0"/>
    <xf numFmtId="0" fontId="3" fillId="2" borderId="0" applyAlignment="1" pivotButton="0" quotePrefix="0" xfId="0">
      <alignment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styles" Target="styles.xml" Id="rId56"/><Relationship Type="http://schemas.openxmlformats.org/officeDocument/2006/relationships/theme" Target="theme/theme1.xml" Id="rId5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2"/>
  <sheetViews>
    <sheetView workbookViewId="0">
      <pane ySplit="11" topLeftCell="A12" activePane="bottomLeft" state="frozen"/>
      <selection pane="bottomLeft" activeCell="A1" sqref="A1"/>
    </sheetView>
  </sheetViews>
  <sheetFormatPr baseColWidth="8" defaultRowHeight="15"/>
  <cols>
    <col width="28" customWidth="1" min="1" max="1"/>
    <col width="8" customWidth="1" min="2" max="2"/>
    <col width="70" customWidth="1" min="3" max="3"/>
    <col width="14" customWidth="1" min="4" max="4"/>
    <col width="8" customWidth="1" min="5" max="5"/>
    <col width="9" customWidth="1" min="6" max="6"/>
  </cols>
  <sheetData>
    <row r="1">
      <c r="A1" s="1" t="inlineStr">
        <is>
          <t>F1 SPONSORSHIP PROSPECTING - ALL CHANGES IN ONE WORKBOOK (28 Sep 2026)</t>
        </is>
      </c>
    </row>
    <row r="3">
      <c r="A3" s="2" t="inlineStr">
        <is>
          <t>This single workbook gathers every output of the engagement. Nothing here is from the original master except where a tab says so; every row was added or verified during this work.</t>
        </is>
      </c>
    </row>
    <row r="4">
      <c r="A4" s="2" t="inlineStr">
        <is>
          <t>Part A = the 342 new brands merged into the master over 13 gap-fill waves (tab A0 is the combined list; A1-A10 are the per-wave views).</t>
        </is>
      </c>
    </row>
    <row r="5">
      <c r="A5" s="2" t="inlineStr">
        <is>
          <t>Part B = the 18 sectors of the earlier New-Sectors book, now fully verified name by name (kept names only).</t>
        </is>
      </c>
    </row>
    <row r="6">
      <c r="A6" s="2" t="inlineStr">
        <is>
          <t>Part C = 23 brand-new sectors built from scratch in the expansion run and verified the same way.</t>
        </is>
      </c>
    </row>
    <row r="7">
      <c r="A7" s="2" t="inlineStr">
        <is>
          <t>Part D = all 548 expansion rejects with reasons, and the chronological change log with the parameters used.</t>
        </is>
      </c>
    </row>
    <row r="8">
      <c r="A8" s="2" t="inlineStr">
        <is>
          <t>Colour key: blue row = Yes / verified-new (all parameters pass); amber row = Stretch / verified-stretch (passes with one stated reservation). Rows rank by priority score within each tab.</t>
        </is>
      </c>
    </row>
    <row r="9">
      <c r="A9" s="2" t="inlineStr">
        <is>
          <t>Underlying files on the branch: F1-MASTER-CONSOLIDATED-2026-09.xlsx (master, 13 waves merged), F1-New-Brands-By-Wave-2026-09.xlsx, F1-Expansion-Book-2026-09.xlsx, f1-qualification-spec-2026-09.md.</t>
        </is>
      </c>
    </row>
    <row r="11">
      <c r="A11" s="3" t="inlineStr">
        <is>
          <t>Tab</t>
        </is>
      </c>
      <c r="B11" s="3" t="inlineStr">
        <is>
          <t>Part</t>
        </is>
      </c>
      <c r="C11" s="3" t="inlineStr">
        <is>
          <t>Contents</t>
        </is>
      </c>
      <c r="D11" s="3" t="inlineStr">
        <is>
          <t>Brands on tab</t>
        </is>
      </c>
      <c r="E11" s="3" t="inlineStr">
        <is>
          <t>Yes</t>
        </is>
      </c>
      <c r="F11" s="3" t="inlineStr">
        <is>
          <t>Stretch</t>
        </is>
      </c>
    </row>
    <row r="12">
      <c r="A12" s="4" t="inlineStr">
        <is>
          <t>A. New brands added to the master (13 waves)</t>
        </is>
      </c>
      <c r="B12" s="5" t="n"/>
      <c r="C12" s="5" t="n"/>
      <c r="D12" s="5" t="n"/>
      <c r="E12" s="5" t="n"/>
      <c r="F12" s="5" t="n"/>
    </row>
    <row r="13">
      <c r="A13" s="6" t="inlineStr">
        <is>
          <t>A0 ALL NEW BRANDS W1-13</t>
        </is>
      </c>
      <c r="B13" s="6" t="inlineStr">
        <is>
          <t>A</t>
        </is>
      </c>
      <c r="C13" s="6" t="inlineStr">
        <is>
          <t>All 13 waves in one ranked list</t>
        </is>
      </c>
      <c r="D13" s="6" t="n">
        <v>342</v>
      </c>
      <c r="E13" s="6" t="n">
        <v>189</v>
      </c>
      <c r="F13" s="6" t="n">
        <v>153</v>
      </c>
    </row>
    <row r="14">
      <c r="A14" s="6" t="inlineStr">
        <is>
          <t>A1 W1 Consumer</t>
        </is>
      </c>
      <c r="B14" s="6" t="inlineStr">
        <is>
          <t>A</t>
        </is>
      </c>
      <c r="C14" s="6" t="inlineStr">
        <is>
          <t>Wave 1 - Consumer (F&amp;B, Luxury &amp; Beauty, Home &amp; Living, Consumer &amp; Lifestyle, Travel &amp; Hospitality, Tech Media &amp; Gaming) - 66 brands</t>
        </is>
      </c>
      <c r="D14" s="6" t="n">
        <v>66</v>
      </c>
      <c r="E14" s="6" t="n">
        <v>33</v>
      </c>
      <c r="F14" s="6" t="n">
        <v>33</v>
      </c>
    </row>
    <row r="15">
      <c r="A15" s="6" t="inlineStr">
        <is>
          <t>A2 W2 Financial</t>
        </is>
      </c>
      <c r="B15" s="6" t="inlineStr">
        <is>
          <t>A</t>
        </is>
      </c>
      <c r="C15" s="6" t="inlineStr">
        <is>
          <t>Wave 2 - Financial (Banking &amp; Insurance, Trading &amp; Crypto; Fintech had zero genuine misses) - 34 brands</t>
        </is>
      </c>
      <c r="D15" s="6" t="n">
        <v>34</v>
      </c>
      <c r="E15" s="6" t="n">
        <v>24</v>
      </c>
      <c r="F15" s="6" t="n">
        <v>10</v>
      </c>
    </row>
    <row r="16">
      <c r="A16" s="6" t="inlineStr">
        <is>
          <t>A3 W3 Health &amp; Wellness</t>
        </is>
      </c>
      <c r="B16" s="6" t="inlineStr">
        <is>
          <t>A</t>
        </is>
      </c>
      <c r="C16" s="6" t="inlineStr">
        <is>
          <t>Wave 3 - Health &amp; Wellness - 41 brands</t>
        </is>
      </c>
      <c r="D16" s="6" t="n">
        <v>41</v>
      </c>
      <c r="E16" s="6" t="n">
        <v>23</v>
      </c>
      <c r="F16" s="6" t="n">
        <v>18</v>
      </c>
    </row>
    <row r="17">
      <c r="A17" s="6" t="inlineStr">
        <is>
          <t>A4 W4 Tech HW &amp; Telecom</t>
        </is>
      </c>
      <c r="B17" s="6" t="inlineStr">
        <is>
          <t>A</t>
        </is>
      </c>
      <c r="C17" s="6" t="inlineStr">
        <is>
          <t>Wave 4 - Tech hardware / telecom - 18 brands</t>
        </is>
      </c>
      <c r="D17" s="6" t="n">
        <v>18</v>
      </c>
      <c r="E17" s="6" t="n">
        <v>10</v>
      </c>
      <c r="F17" s="6" t="n">
        <v>8</v>
      </c>
    </row>
    <row r="18">
      <c r="A18" s="6" t="inlineStr">
        <is>
          <t>A5 W5 Software</t>
        </is>
      </c>
      <c r="B18" s="6" t="inlineStr">
        <is>
          <t>A</t>
        </is>
      </c>
      <c r="C18" s="6" t="inlineStr">
        <is>
          <t>Wave 5 - Software residue - 10 brands</t>
        </is>
      </c>
      <c r="D18" s="6" t="n">
        <v>10</v>
      </c>
      <c r="E18" s="6" t="n">
        <v>6</v>
      </c>
      <c r="F18" s="6" t="n">
        <v>4</v>
      </c>
    </row>
    <row r="19">
      <c r="A19" s="6" t="inlineStr">
        <is>
          <t>A6 W6 Industrial</t>
        </is>
      </c>
      <c r="B19" s="6" t="inlineStr">
        <is>
          <t>A</t>
        </is>
      </c>
      <c r="C19" s="6" t="inlineStr">
        <is>
          <t>Wave 6 - Industrial / Logistics / Mobility - 27 brands</t>
        </is>
      </c>
      <c r="D19" s="6" t="n">
        <v>27</v>
      </c>
      <c r="E19" s="6" t="n">
        <v>17</v>
      </c>
      <c r="F19" s="6" t="n">
        <v>10</v>
      </c>
    </row>
    <row r="20">
      <c r="A20" s="6" t="inlineStr">
        <is>
          <t>A7 W7 Energy</t>
        </is>
      </c>
      <c r="B20" s="6" t="inlineStr">
        <is>
          <t>A</t>
        </is>
      </c>
      <c r="C20" s="6" t="inlineStr">
        <is>
          <t>Wave 7 - Energy - 39 brands</t>
        </is>
      </c>
      <c r="D20" s="6" t="n">
        <v>39</v>
      </c>
      <c r="E20" s="6" t="n">
        <v>24</v>
      </c>
      <c r="F20" s="6" t="n">
        <v>15</v>
      </c>
    </row>
    <row r="21">
      <c r="A21" s="6" t="inlineStr">
        <is>
          <t>A8 W8 Services &amp; Trading</t>
        </is>
      </c>
      <c r="B21" s="6" t="inlineStr">
        <is>
          <t>A</t>
        </is>
      </c>
      <c r="C21" s="6" t="inlineStr">
        <is>
          <t>Wave 8 - Services / REITs / Trading houses - 32 brands</t>
        </is>
      </c>
      <c r="D21" s="6" t="n">
        <v>32</v>
      </c>
      <c r="E21" s="6" t="n">
        <v>17</v>
      </c>
      <c r="F21" s="6" t="n">
        <v>15</v>
      </c>
    </row>
    <row r="22">
      <c r="A22" s="6" t="inlineStr">
        <is>
          <t>A9 W9-12 Residues</t>
        </is>
      </c>
      <c r="B22" s="6" t="inlineStr">
        <is>
          <t>A</t>
        </is>
      </c>
      <c r="C22" s="6" t="inlineStr">
        <is>
          <t>Waves 9-12 - Telecom/Space, Logistics, Media &amp; Gaming, AI residues - 19 brands</t>
        </is>
      </c>
      <c r="D22" s="6" t="n">
        <v>19</v>
      </c>
      <c r="E22" s="6" t="n">
        <v>8</v>
      </c>
      <c r="F22" s="6" t="n">
        <v>11</v>
      </c>
    </row>
    <row r="23">
      <c r="A23" s="6" t="inlineStr">
        <is>
          <t>A10 W13 Deep Pass</t>
        </is>
      </c>
      <c r="B23" s="6" t="inlineStr">
        <is>
          <t>A</t>
        </is>
      </c>
      <c r="C23" s="6" t="inlineStr">
        <is>
          <t>Wave 13 - Deep pass on 42 under-covered sectors (regional champions, family-owned, PE-owned) - 56 brands</t>
        </is>
      </c>
      <c r="D23" s="6" t="n">
        <v>56</v>
      </c>
      <c r="E23" s="6" t="n">
        <v>27</v>
      </c>
      <c r="F23" s="6" t="n">
        <v>29</v>
      </c>
    </row>
    <row r="24">
      <c r="A24" s="4" t="inlineStr">
        <is>
          <t>B. Existing New-Sectors book, now fully verified</t>
        </is>
      </c>
      <c r="B24" s="5" t="n"/>
      <c r="C24" s="5" t="n"/>
      <c r="D24" s="5" t="n"/>
      <c r="E24" s="5" t="n"/>
      <c r="F24" s="5" t="n"/>
    </row>
    <row r="25">
      <c r="A25" s="6" t="inlineStr">
        <is>
          <t>B01 Asset Mgmt, PE &amp; Trading Fi</t>
        </is>
      </c>
      <c r="B25" s="6" t="inlineStr">
        <is>
          <t>B</t>
        </is>
      </c>
      <c r="C25" s="6" t="inlineStr">
        <is>
          <t>Asset Mgmt, PE &amp; Trading Fir</t>
        </is>
      </c>
      <c r="D25" s="6" t="n">
        <v>54</v>
      </c>
      <c r="E25" s="6" t="n">
        <v>15</v>
      </c>
      <c r="F25" s="6" t="n">
        <v>39</v>
      </c>
    </row>
    <row r="26">
      <c r="A26" s="6" t="inlineStr">
        <is>
          <t>B02 Real Estate &amp; Building Prod</t>
        </is>
      </c>
      <c r="B26" s="6" t="inlineStr">
        <is>
          <t>B</t>
        </is>
      </c>
      <c r="C26" s="6" t="inlineStr">
        <is>
          <t>Real Estate &amp; Building Produ</t>
        </is>
      </c>
      <c r="D26" s="6" t="n">
        <v>62</v>
      </c>
      <c r="E26" s="6" t="n">
        <v>16</v>
      </c>
      <c r="F26" s="6" t="n">
        <v>46</v>
      </c>
    </row>
    <row r="27">
      <c r="A27" s="6" t="inlineStr">
        <is>
          <t>B03 CDMO, CRO &amp; Life-Science To</t>
        </is>
      </c>
      <c r="B27" s="6" t="inlineStr">
        <is>
          <t>B</t>
        </is>
      </c>
      <c r="C27" s="6" t="inlineStr">
        <is>
          <t>CDMO, CRO &amp; Life-Science Too</t>
        </is>
      </c>
      <c r="D27" s="6" t="n">
        <v>55</v>
      </c>
      <c r="E27" s="6" t="n">
        <v>25</v>
      </c>
      <c r="F27" s="6" t="n">
        <v>30</v>
      </c>
    </row>
    <row r="28">
      <c r="A28" s="6" t="inlineStr">
        <is>
          <t>B04 Mining, Metals &amp; Commoditie</t>
        </is>
      </c>
      <c r="B28" s="6" t="inlineStr">
        <is>
          <t>B</t>
        </is>
      </c>
      <c r="C28" s="6" t="inlineStr">
        <is>
          <t>Mining, Metals &amp; Commodities</t>
        </is>
      </c>
      <c r="D28" s="6" t="n">
        <v>59</v>
      </c>
      <c r="E28" s="6" t="n">
        <v>32</v>
      </c>
      <c r="F28" s="6" t="n">
        <v>27</v>
      </c>
    </row>
    <row r="29">
      <c r="A29" s="6" t="inlineStr">
        <is>
          <t>B05 Agriculture &amp; AgTech</t>
        </is>
      </c>
      <c r="B29" s="6" t="inlineStr">
        <is>
          <t>B</t>
        </is>
      </c>
      <c r="C29" s="6" t="inlineStr">
        <is>
          <t>Agriculture &amp; AgTech</t>
        </is>
      </c>
      <c r="D29" s="6" t="n">
        <v>29</v>
      </c>
      <c r="E29" s="6" t="n">
        <v>10</v>
      </c>
      <c r="F29" s="6" t="n">
        <v>19</v>
      </c>
    </row>
    <row r="30">
      <c r="A30" s="6" t="inlineStr">
        <is>
          <t>B06 Retail &amp; E-commerce</t>
        </is>
      </c>
      <c r="B30" s="6" t="inlineStr">
        <is>
          <t>B</t>
        </is>
      </c>
      <c r="C30" s="6" t="inlineStr">
        <is>
          <t>Retail &amp; E-commerce</t>
        </is>
      </c>
      <c r="D30" s="6" t="n">
        <v>58</v>
      </c>
      <c r="E30" s="6" t="n">
        <v>15</v>
      </c>
      <c r="F30" s="6" t="n">
        <v>43</v>
      </c>
    </row>
    <row r="31">
      <c r="A31" s="6" t="inlineStr">
        <is>
          <t>B07 Aviation &amp; Aerospace Suppli</t>
        </is>
      </c>
      <c r="B31" s="6" t="inlineStr">
        <is>
          <t>B</t>
        </is>
      </c>
      <c r="C31" s="6" t="inlineStr">
        <is>
          <t>Aviation &amp; Aerospace Supplie</t>
        </is>
      </c>
      <c r="D31" s="6" t="n">
        <v>38</v>
      </c>
      <c r="E31" s="6" t="n">
        <v>17</v>
      </c>
      <c r="F31" s="6" t="n">
        <v>21</v>
      </c>
    </row>
    <row r="32">
      <c r="A32" s="6" t="inlineStr">
        <is>
          <t>B08 Sporting Goods &amp; Fitness</t>
        </is>
      </c>
      <c r="B32" s="6" t="inlineStr">
        <is>
          <t>B</t>
        </is>
      </c>
      <c r="C32" s="6" t="inlineStr">
        <is>
          <t>Sporting Goods &amp; Fitness</t>
        </is>
      </c>
      <c r="D32" s="6" t="n">
        <v>30</v>
      </c>
      <c r="E32" s="6" t="n">
        <v>11</v>
      </c>
      <c r="F32" s="6" t="n">
        <v>19</v>
      </c>
    </row>
    <row r="33">
      <c r="A33" s="6" t="inlineStr">
        <is>
          <t>B09 Maritime, Shipping &amp; Ports</t>
        </is>
      </c>
      <c r="B33" s="6" t="inlineStr">
        <is>
          <t>B</t>
        </is>
      </c>
      <c r="C33" s="6" t="inlineStr">
        <is>
          <t>Maritime, Shipping &amp; Ports</t>
        </is>
      </c>
      <c r="D33" s="6" t="n">
        <v>38</v>
      </c>
      <c r="E33" s="6" t="n">
        <v>17</v>
      </c>
      <c r="F33" s="6" t="n">
        <v>21</v>
      </c>
    </row>
    <row r="34">
      <c r="A34" s="6" t="inlineStr">
        <is>
          <t>B10 Batteries, EV, Waste &amp; Wate</t>
        </is>
      </c>
      <c r="B34" s="6" t="inlineStr">
        <is>
          <t>B</t>
        </is>
      </c>
      <c r="C34" s="6" t="inlineStr">
        <is>
          <t>Batteries, EV, Waste &amp; Water</t>
        </is>
      </c>
      <c r="D34" s="6" t="n">
        <v>14</v>
      </c>
      <c r="E34" s="6" t="n">
        <v>4</v>
      </c>
      <c r="F34" s="6" t="n">
        <v>10</v>
      </c>
    </row>
    <row r="35">
      <c r="A35" s="6" t="inlineStr">
        <is>
          <t>B11 Engineering Consultancies &amp;</t>
        </is>
      </c>
      <c r="B35" s="6" t="inlineStr">
        <is>
          <t>B</t>
        </is>
      </c>
      <c r="C35" s="6" t="inlineStr">
        <is>
          <t>Engineering Consultancies &amp;</t>
        </is>
      </c>
      <c r="D35" s="6" t="n">
        <v>35</v>
      </c>
      <c r="E35" s="6" t="n">
        <v>13</v>
      </c>
      <c r="F35" s="6" t="n">
        <v>22</v>
      </c>
    </row>
    <row r="36">
      <c r="A36" s="6" t="inlineStr">
        <is>
          <t>B12 Rail, Transit &amp; Road Infra</t>
        </is>
      </c>
      <c r="B36" s="6" t="inlineStr">
        <is>
          <t>B</t>
        </is>
      </c>
      <c r="C36" s="6" t="inlineStr">
        <is>
          <t>Rail, Transit &amp; Road Infra</t>
        </is>
      </c>
      <c r="D36" s="6" t="n">
        <v>34</v>
      </c>
      <c r="E36" s="6" t="n">
        <v>17</v>
      </c>
      <c r="F36" s="6" t="n">
        <v>17</v>
      </c>
    </row>
    <row r="37">
      <c r="A37" s="6" t="inlineStr">
        <is>
          <t>B13 Industrial &amp; MRO Distributi</t>
        </is>
      </c>
      <c r="B37" s="6" t="inlineStr">
        <is>
          <t>B</t>
        </is>
      </c>
      <c r="C37" s="6" t="inlineStr">
        <is>
          <t>Industrial &amp; MRO Distributio</t>
        </is>
      </c>
      <c r="D37" s="6" t="n">
        <v>35</v>
      </c>
      <c r="E37" s="6" t="n">
        <v>10</v>
      </c>
      <c r="F37" s="6" t="n">
        <v>25</v>
      </c>
    </row>
    <row r="38">
      <c r="A38" s="6" t="inlineStr">
        <is>
          <t xml:space="preserve">B14 Intralogistics &amp; Warehouse </t>
        </is>
      </c>
      <c r="B38" s="6" t="inlineStr">
        <is>
          <t>B</t>
        </is>
      </c>
      <c r="C38" s="6" t="inlineStr">
        <is>
          <t>Intralogistics &amp; Warehouse A</t>
        </is>
      </c>
      <c r="D38" s="6" t="n">
        <v>24</v>
      </c>
      <c r="E38" s="6" t="n">
        <v>11</v>
      </c>
      <c r="F38" s="6" t="n">
        <v>13</v>
      </c>
    </row>
    <row r="39">
      <c r="A39" s="6" t="inlineStr">
        <is>
          <t>B15 Consumer Electronics &amp; Audi</t>
        </is>
      </c>
      <c r="B39" s="6" t="inlineStr">
        <is>
          <t>B</t>
        </is>
      </c>
      <c r="C39" s="6" t="inlineStr">
        <is>
          <t>Consumer Electronics &amp; Audio</t>
        </is>
      </c>
      <c r="D39" s="6" t="n">
        <v>14</v>
      </c>
      <c r="E39" s="6" t="n">
        <v>6</v>
      </c>
      <c r="F39" s="6" t="n">
        <v>8</v>
      </c>
    </row>
    <row r="40">
      <c r="A40" s="6" t="inlineStr">
        <is>
          <t>B16 Specialty Chemicals &amp; Coati</t>
        </is>
      </c>
      <c r="B40" s="6" t="inlineStr">
        <is>
          <t>B</t>
        </is>
      </c>
      <c r="C40" s="6" t="inlineStr">
        <is>
          <t>Specialty Chemicals &amp; Coatin</t>
        </is>
      </c>
      <c r="D40" s="6" t="n">
        <v>24</v>
      </c>
      <c r="E40" s="6" t="n">
        <v>14</v>
      </c>
      <c r="F40" s="6" t="n">
        <v>10</v>
      </c>
    </row>
    <row r="41">
      <c r="A41" s="6" t="inlineStr">
        <is>
          <t>B17 Private 5G &amp; Telecom Equipm</t>
        </is>
      </c>
      <c r="B41" s="6" t="inlineStr">
        <is>
          <t>B</t>
        </is>
      </c>
      <c r="C41" s="6" t="inlineStr">
        <is>
          <t>Private 5G &amp; Telecom Equipme</t>
        </is>
      </c>
      <c r="D41" s="6" t="n">
        <v>4</v>
      </c>
      <c r="E41" s="6" t="n">
        <v>1</v>
      </c>
      <c r="F41" s="6" t="n">
        <v>3</v>
      </c>
    </row>
    <row r="42">
      <c r="A42" s="6" t="inlineStr">
        <is>
          <t>B18 Quantum Computing</t>
        </is>
      </c>
      <c r="B42" s="6" t="inlineStr">
        <is>
          <t>B</t>
        </is>
      </c>
      <c r="C42" s="6" t="inlineStr">
        <is>
          <t>Quantum Computing</t>
        </is>
      </c>
      <c r="D42" s="6" t="n">
        <v>1</v>
      </c>
      <c r="E42" s="6" t="n">
        <v>0</v>
      </c>
      <c r="F42" s="6" t="n">
        <v>1</v>
      </c>
    </row>
    <row r="43">
      <c r="A43" s="4" t="inlineStr">
        <is>
          <t>C. Brand-new sectors, built and verified</t>
        </is>
      </c>
      <c r="B43" s="5" t="n"/>
      <c r="C43" s="5" t="n"/>
      <c r="D43" s="5" t="n"/>
      <c r="E43" s="5" t="n"/>
      <c r="F43" s="5" t="n"/>
    </row>
    <row r="44">
      <c r="A44" s="6" t="inlineStr">
        <is>
          <t>C19 Pet Care &amp; Nutrition</t>
        </is>
      </c>
      <c r="B44" s="6" t="inlineStr">
        <is>
          <t>C</t>
        </is>
      </c>
      <c r="C44" s="6" t="inlineStr">
        <is>
          <t>Pet Care &amp; Nutrition</t>
        </is>
      </c>
      <c r="D44" s="6" t="n">
        <v>6</v>
      </c>
      <c r="E44" s="6" t="n">
        <v>0</v>
      </c>
      <c r="F44" s="6" t="n">
        <v>6</v>
      </c>
    </row>
    <row r="45">
      <c r="A45" s="6" t="inlineStr">
        <is>
          <t>C20 Fitness, Sports Nutrition &amp;</t>
        </is>
      </c>
      <c r="B45" s="6" t="inlineStr">
        <is>
          <t>C</t>
        </is>
      </c>
      <c r="C45" s="6" t="inlineStr">
        <is>
          <t>Fitness, Sports Nutrition &amp; Recovery</t>
        </is>
      </c>
      <c r="D45" s="6" t="n">
        <v>6</v>
      </c>
      <c r="E45" s="6" t="n">
        <v>0</v>
      </c>
      <c r="F45" s="6" t="n">
        <v>6</v>
      </c>
    </row>
    <row r="46">
      <c r="A46" s="6" t="inlineStr">
        <is>
          <t>C21 Watches &amp; Jewellery</t>
        </is>
      </c>
      <c r="B46" s="6" t="inlineStr">
        <is>
          <t>C</t>
        </is>
      </c>
      <c r="C46" s="6" t="inlineStr">
        <is>
          <t>Watches &amp; Jewellery</t>
        </is>
      </c>
      <c r="D46" s="6" t="n">
        <v>4</v>
      </c>
      <c r="E46" s="6" t="n">
        <v>0</v>
      </c>
      <c r="F46" s="6" t="n">
        <v>4</v>
      </c>
    </row>
    <row r="47">
      <c r="A47" s="6" t="inlineStr">
        <is>
          <t>C22 Grooming &amp; Men's Care</t>
        </is>
      </c>
      <c r="B47" s="6" t="inlineStr">
        <is>
          <t>C</t>
        </is>
      </c>
      <c r="C47" s="6" t="inlineStr">
        <is>
          <t>Grooming &amp; Men's Care</t>
        </is>
      </c>
      <c r="D47" s="6" t="n">
        <v>1</v>
      </c>
      <c r="E47" s="6" t="n">
        <v>0</v>
      </c>
      <c r="F47" s="6" t="n">
        <v>1</v>
      </c>
    </row>
    <row r="48">
      <c r="A48" s="6" t="inlineStr">
        <is>
          <t>C23 Gaming Hardware &amp; Periphera</t>
        </is>
      </c>
      <c r="B48" s="6" t="inlineStr">
        <is>
          <t>C</t>
        </is>
      </c>
      <c r="C48" s="6" t="inlineStr">
        <is>
          <t>Gaming Hardware &amp; Peripherals</t>
        </is>
      </c>
      <c r="D48" s="6" t="n">
        <v>4</v>
      </c>
      <c r="E48" s="6" t="n">
        <v>0</v>
      </c>
      <c r="F48" s="6" t="n">
        <v>4</v>
      </c>
    </row>
    <row r="49">
      <c r="A49" s="6" t="inlineStr">
        <is>
          <t>C24 Ticketing, Live Events &amp; Ex</t>
        </is>
      </c>
      <c r="B49" s="6" t="inlineStr">
        <is>
          <t>C</t>
        </is>
      </c>
      <c r="C49" s="6" t="inlineStr">
        <is>
          <t>Ticketing, Live Events &amp; Experiences</t>
        </is>
      </c>
      <c r="D49" s="6" t="n">
        <v>10</v>
      </c>
      <c r="E49" s="6" t="n">
        <v>1</v>
      </c>
      <c r="F49" s="6" t="n">
        <v>9</v>
      </c>
    </row>
    <row r="50">
      <c r="A50" s="6" t="inlineStr">
        <is>
          <t>C25 Wealth Mgmt &amp; Private Banki</t>
        </is>
      </c>
      <c r="B50" s="6" t="inlineStr">
        <is>
          <t>C</t>
        </is>
      </c>
      <c r="C50" s="6" t="inlineStr">
        <is>
          <t>Wealth Mgmt &amp; Private Banking</t>
        </is>
      </c>
      <c r="D50" s="6" t="n">
        <v>27</v>
      </c>
      <c r="E50" s="6" t="n">
        <v>9</v>
      </c>
      <c r="F50" s="6" t="n">
        <v>18</v>
      </c>
    </row>
    <row r="51">
      <c r="A51" s="6" t="inlineStr">
        <is>
          <t>C26 Insurance Brokers &amp; Reinsur</t>
        </is>
      </c>
      <c r="B51" s="6" t="inlineStr">
        <is>
          <t>C</t>
        </is>
      </c>
      <c r="C51" s="6" t="inlineStr">
        <is>
          <t>Insurance Brokers &amp; Reinsurance</t>
        </is>
      </c>
      <c r="D51" s="6" t="n">
        <v>21</v>
      </c>
      <c r="E51" s="6" t="n">
        <v>2</v>
      </c>
      <c r="F51" s="6" t="n">
        <v>19</v>
      </c>
    </row>
    <row r="52">
      <c r="A52" s="6" t="inlineStr">
        <is>
          <t>C27 Payroll, EOR &amp; Global Emplo</t>
        </is>
      </c>
      <c r="B52" s="6" t="inlineStr">
        <is>
          <t>C</t>
        </is>
      </c>
      <c r="C52" s="6" t="inlineStr">
        <is>
          <t>Payroll, EOR &amp; Global Employment</t>
        </is>
      </c>
      <c r="D52" s="6" t="n">
        <v>6</v>
      </c>
      <c r="E52" s="6" t="n">
        <v>0</v>
      </c>
      <c r="F52" s="6" t="n">
        <v>6</v>
      </c>
    </row>
    <row r="53">
      <c r="A53" s="6" t="inlineStr">
        <is>
          <t>C28 Franchise Groups</t>
        </is>
      </c>
      <c r="B53" s="6" t="inlineStr">
        <is>
          <t>C</t>
        </is>
      </c>
      <c r="C53" s="6" t="inlineStr">
        <is>
          <t>Franchise Groups</t>
        </is>
      </c>
      <c r="D53" s="6" t="n">
        <v>6</v>
      </c>
      <c r="E53" s="6" t="n">
        <v>1</v>
      </c>
      <c r="F53" s="6" t="n">
        <v>5</v>
      </c>
    </row>
    <row r="54">
      <c r="A54" s="6" t="inlineStr">
        <is>
          <t>C29 Water Tech &amp; Desalination</t>
        </is>
      </c>
      <c r="B54" s="6" t="inlineStr">
        <is>
          <t>C</t>
        </is>
      </c>
      <c r="C54" s="6" t="inlineStr">
        <is>
          <t>Water Tech &amp; Desalination</t>
        </is>
      </c>
      <c r="D54" s="6" t="n">
        <v>4</v>
      </c>
      <c r="E54" s="6" t="n">
        <v>0</v>
      </c>
      <c r="F54" s="6" t="n">
        <v>4</v>
      </c>
    </row>
    <row r="55">
      <c r="A55" s="6" t="inlineStr">
        <is>
          <t>C30 Waste, Recycling &amp; Circular</t>
        </is>
      </c>
      <c r="B55" s="6" t="inlineStr">
        <is>
          <t>C</t>
        </is>
      </c>
      <c r="C55" s="6" t="inlineStr">
        <is>
          <t>Waste, Recycling &amp; Circular</t>
        </is>
      </c>
      <c r="D55" s="6" t="n">
        <v>7</v>
      </c>
      <c r="E55" s="6" t="n">
        <v>3</v>
      </c>
      <c r="F55" s="6" t="n">
        <v>4</v>
      </c>
    </row>
    <row r="56">
      <c r="A56" s="6" t="inlineStr">
        <is>
          <t>C31 Agritech &amp; Ag Inputs</t>
        </is>
      </c>
      <c r="B56" s="6" t="inlineStr">
        <is>
          <t>C</t>
        </is>
      </c>
      <c r="C56" s="6" t="inlineStr">
        <is>
          <t>Agritech &amp; Ag Inputs</t>
        </is>
      </c>
      <c r="D56" s="6" t="n">
        <v>9</v>
      </c>
      <c r="E56" s="6" t="n">
        <v>2</v>
      </c>
      <c r="F56" s="6" t="n">
        <v>7</v>
      </c>
    </row>
    <row r="57">
      <c r="A57" s="6" t="inlineStr">
        <is>
          <t>C32 Mining Services &amp; Equipment</t>
        </is>
      </c>
      <c r="B57" s="6" t="inlineStr">
        <is>
          <t>C</t>
        </is>
      </c>
      <c r="C57" s="6" t="inlineStr">
        <is>
          <t>Mining Services &amp; Equipment</t>
        </is>
      </c>
      <c r="D57" s="6" t="n">
        <v>8</v>
      </c>
      <c r="E57" s="6" t="n">
        <v>4</v>
      </c>
      <c r="F57" s="6" t="n">
        <v>4</v>
      </c>
    </row>
    <row r="58">
      <c r="A58" s="6" t="inlineStr">
        <is>
          <t>C33 Marine, Yachting &amp; Superyac</t>
        </is>
      </c>
      <c r="B58" s="6" t="inlineStr">
        <is>
          <t>C</t>
        </is>
      </c>
      <c r="C58" s="6" t="inlineStr">
        <is>
          <t>Marine, Yachting &amp; Superyacht</t>
        </is>
      </c>
      <c r="D58" s="6" t="n">
        <v>3</v>
      </c>
      <c r="E58" s="6" t="n">
        <v>0</v>
      </c>
      <c r="F58" s="6" t="n">
        <v>3</v>
      </c>
    </row>
    <row r="59">
      <c r="A59" s="6" t="inlineStr">
        <is>
          <t>C34 Private Aviation &amp; Business</t>
        </is>
      </c>
      <c r="B59" s="6" t="inlineStr">
        <is>
          <t>C</t>
        </is>
      </c>
      <c r="C59" s="6" t="inlineStr">
        <is>
          <t>Private Aviation &amp; Business Jets</t>
        </is>
      </c>
      <c r="D59" s="6" t="n">
        <v>4</v>
      </c>
      <c r="E59" s="6" t="n">
        <v>0</v>
      </c>
      <c r="F59" s="6" t="n">
        <v>4</v>
      </c>
    </row>
    <row r="60">
      <c r="A60" s="6" t="inlineStr">
        <is>
          <t>C35 Sports Tech &amp; Fan Engagemen</t>
        </is>
      </c>
      <c r="B60" s="6" t="inlineStr">
        <is>
          <t>C</t>
        </is>
      </c>
      <c r="C60" s="6" t="inlineStr">
        <is>
          <t>Sports Tech &amp; Fan Engagement</t>
        </is>
      </c>
      <c r="D60" s="6" t="n">
        <v>3</v>
      </c>
      <c r="E60" s="6" t="n">
        <v>2</v>
      </c>
      <c r="F60" s="6" t="n">
        <v>1</v>
      </c>
    </row>
    <row r="61">
      <c r="A61" s="6" t="inlineStr">
        <is>
          <t>C36 Creator Economy &amp; Influence</t>
        </is>
      </c>
      <c r="B61" s="6" t="inlineStr">
        <is>
          <t>C</t>
        </is>
      </c>
      <c r="C61" s="6" t="inlineStr">
        <is>
          <t>Creator Economy &amp; Influencer Platforms</t>
        </is>
      </c>
      <c r="D61" s="6" t="n">
        <v>3</v>
      </c>
      <c r="E61" s="6" t="n">
        <v>0</v>
      </c>
      <c r="F61" s="6" t="n">
        <v>3</v>
      </c>
    </row>
    <row r="62">
      <c r="A62" s="6" t="inlineStr">
        <is>
          <t>C37 Travel Tech &amp; Airline IT</t>
        </is>
      </c>
      <c r="B62" s="6" t="inlineStr">
        <is>
          <t>C</t>
        </is>
      </c>
      <c r="C62" s="6" t="inlineStr">
        <is>
          <t>Travel Tech &amp; Airline IT</t>
        </is>
      </c>
      <c r="D62" s="6" t="n">
        <v>4</v>
      </c>
      <c r="E62" s="6" t="n">
        <v>0</v>
      </c>
      <c r="F62" s="6" t="n">
        <v>4</v>
      </c>
    </row>
    <row r="63">
      <c r="A63" s="6" t="inlineStr">
        <is>
          <t>C38 Africa Champions</t>
        </is>
      </c>
      <c r="B63" s="6" t="inlineStr">
        <is>
          <t>C</t>
        </is>
      </c>
      <c r="C63" s="6" t="inlineStr">
        <is>
          <t>Africa Champions</t>
        </is>
      </c>
      <c r="D63" s="6" t="n">
        <v>15</v>
      </c>
      <c r="E63" s="6" t="n">
        <v>4</v>
      </c>
      <c r="F63" s="6" t="n">
        <v>11</v>
      </c>
    </row>
    <row r="64">
      <c r="A64" s="6" t="inlineStr">
        <is>
          <t>C39 Central Asia &amp; Caucasus Cha</t>
        </is>
      </c>
      <c r="B64" s="6" t="inlineStr">
        <is>
          <t>C</t>
        </is>
      </c>
      <c r="C64" s="6" t="inlineStr">
        <is>
          <t>Central Asia &amp; Caucasus Champions</t>
        </is>
      </c>
      <c r="D64" s="6" t="n">
        <v>7</v>
      </c>
      <c r="E64" s="6" t="n">
        <v>0</v>
      </c>
      <c r="F64" s="6" t="n">
        <v>7</v>
      </c>
    </row>
    <row r="65">
      <c r="A65" s="6" t="inlineStr">
        <is>
          <t>C40 SE Asia Private Conglomerat</t>
        </is>
      </c>
      <c r="B65" s="6" t="inlineStr">
        <is>
          <t>C</t>
        </is>
      </c>
      <c r="C65" s="6" t="inlineStr">
        <is>
          <t>SE Asia Private Conglomerates</t>
        </is>
      </c>
      <c r="D65" s="6" t="n">
        <v>18</v>
      </c>
      <c r="E65" s="6" t="n">
        <v>10</v>
      </c>
      <c r="F65" s="6" t="n">
        <v>8</v>
      </c>
    </row>
    <row r="66">
      <c r="A66" s="6" t="inlineStr">
        <is>
          <t>C41 LatAm Consumer &amp; Retail Cha</t>
        </is>
      </c>
      <c r="B66" s="6" t="inlineStr">
        <is>
          <t>C</t>
        </is>
      </c>
      <c r="C66" s="6" t="inlineStr">
        <is>
          <t>LatAm Consumer &amp; Retail Champions</t>
        </is>
      </c>
      <c r="D66" s="6" t="n">
        <v>14</v>
      </c>
      <c r="E66" s="6" t="n">
        <v>5</v>
      </c>
      <c r="F66" s="6" t="n">
        <v>9</v>
      </c>
    </row>
    <row r="67">
      <c r="A67" s="4" t="inlineStr">
        <is>
          <t>D. Rejects and change log</t>
        </is>
      </c>
      <c r="B67" s="5" t="n"/>
      <c r="C67" s="5" t="n"/>
      <c r="D67" s="5" t="n"/>
      <c r="E67" s="5" t="n"/>
      <c r="F67" s="5" t="n"/>
    </row>
    <row r="68">
      <c r="A68" s="6" t="inlineStr">
        <is>
          <t>D1 REJECTS (expansion)</t>
        </is>
      </c>
      <c r="B68" s="6" t="inlineStr">
        <is>
          <t>D</t>
        </is>
      </c>
      <c r="C68" s="6" t="inlineStr">
        <is>
          <t>Names screened and rejected, with reasons</t>
        </is>
      </c>
      <c r="D68" s="6" t="n">
        <v>548</v>
      </c>
    </row>
    <row r="69">
      <c r="A69" s="6" t="inlineStr">
        <is>
          <t>D2 CHANGE LOG</t>
        </is>
      </c>
      <c r="B69" s="6" t="inlineStr">
        <is>
          <t>D</t>
        </is>
      </c>
      <c r="C69" s="6" t="inlineStr">
        <is>
          <t>Chronological log of every change and the parameters used</t>
        </is>
      </c>
    </row>
    <row r="70">
      <c r="A70" s="7" t="inlineStr">
        <is>
          <t>TOTAL (Parts B + C, verified expansion keepers)</t>
        </is>
      </c>
      <c r="D70" s="7" t="n">
        <v>798</v>
      </c>
      <c r="E70" s="7" t="n">
        <v>277</v>
      </c>
      <c r="F70" s="7" t="n">
        <v>521</v>
      </c>
    </row>
    <row r="71">
      <c r="A71" s="7" t="inlineStr">
        <is>
          <t>TOTAL (Part A, new brands in the master, tab A0)</t>
        </is>
      </c>
      <c r="D71" s="7" t="n">
        <v>342</v>
      </c>
      <c r="E71" s="7" t="n">
        <v>189</v>
      </c>
      <c r="F71" s="7" t="n">
        <v>153</v>
      </c>
    </row>
    <row r="72">
      <c r="A72" s="8" t="inlineStr">
        <is>
          <t>Counts are static values computed at build time (28 Sep 2026) from the tabs in this workbook.</t>
        </is>
      </c>
    </row>
  </sheetData>
  <mergeCells count="7">
    <mergeCell ref="A5:F5"/>
    <mergeCell ref="A9:F9"/>
    <mergeCell ref="A8:F8"/>
    <mergeCell ref="A6:F6"/>
    <mergeCell ref="A4:F4"/>
    <mergeCell ref="A3:F3"/>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45"/>
  <sheetViews>
    <sheetView workbookViewId="0">
      <pane ySplit="3" topLeftCell="A4" activePane="bottomLeft" state="frozen"/>
      <selection pane="bottomLeft" activeCell="A1" sqref="A1"/>
    </sheetView>
  </sheetViews>
  <sheetFormatPr baseColWidth="8" defaultRowHeight="15"/>
  <cols>
    <col width="5" customWidth="1" min="1" max="1"/>
    <col width="7" customWidth="1" min="2" max="2"/>
    <col width="24" customWidth="1" min="3" max="3"/>
    <col width="9" customWidth="1" min="4" max="4"/>
    <col width="30" customWidth="1" min="5" max="5"/>
    <col width="22" customWidth="1" min="6" max="6"/>
    <col width="20" customWidth="1" min="7" max="7"/>
    <col width="40" customWidth="1" min="8" max="8"/>
    <col width="16" customWidth="1" min="9" max="9"/>
    <col width="10" customWidth="1" min="10" max="10"/>
    <col width="14" customWidth="1" min="11" max="11"/>
    <col width="60" customWidth="1" min="12" max="12"/>
    <col width="70" customWidth="1" min="13" max="13"/>
  </cols>
  <sheetData>
    <row r="1">
      <c r="A1" s="1" t="inlineStr">
        <is>
          <t>ALL NEW BRANDS ADDED TO THE MASTER, WAVES 1-13 - 342 brands, ranked by priority</t>
        </is>
      </c>
    </row>
    <row r="2">
      <c r="A2" s="8" t="inlineStr">
        <is>
          <t>Every brand added to F1-MASTER-CONSOLIDATED-2026-09.xlsx by the gap-fill waves (key_brand = NEW-W#). Same rows as the per-wave tabs that follow, in one list. Blue = verified-new, amber = verified-stretch.</t>
        </is>
      </c>
    </row>
    <row r="3" ht="30" customHeight="1">
      <c r="A3" s="9" t="inlineStr">
        <is>
          <t>#</t>
        </is>
      </c>
      <c r="B3" s="9" t="inlineStr">
        <is>
          <t>wave</t>
        </is>
      </c>
      <c r="C3" s="9" t="inlineStr">
        <is>
          <t>sector_tab</t>
        </is>
      </c>
      <c r="D3" s="9" t="inlineStr">
        <is>
          <t>priority_score</t>
        </is>
      </c>
      <c r="E3" s="9" t="inlineStr">
        <is>
          <t>company</t>
        </is>
      </c>
      <c r="F3" s="9" t="inlineStr">
        <is>
          <t>domain</t>
        </is>
      </c>
      <c r="G3" s="9" t="inlineStr">
        <is>
          <t>hq_country</t>
        </is>
      </c>
      <c r="H3" s="9" t="inlineStr">
        <is>
          <t>niche</t>
        </is>
      </c>
      <c r="I3" s="9" t="inlineStr">
        <is>
          <t>employees_est</t>
        </is>
      </c>
      <c r="J3" s="9" t="inlineStr">
        <is>
          <t>size_band</t>
        </is>
      </c>
      <c r="K3" s="9" t="inlineStr">
        <is>
          <t>tag</t>
        </is>
      </c>
      <c r="L3" s="9" t="inlineStr">
        <is>
          <t>affordability</t>
        </is>
      </c>
      <c r="M3" s="9" t="inlineStr">
        <is>
          <t>why_f1</t>
        </is>
      </c>
    </row>
    <row r="4">
      <c r="A4" s="10" t="n">
        <v>1</v>
      </c>
      <c r="B4" s="10" t="inlineStr">
        <is>
          <t>W2</t>
        </is>
      </c>
      <c r="C4" s="10" t="inlineStr">
        <is>
          <t>01 Banking &amp; Insurance</t>
        </is>
      </c>
      <c r="D4" s="10" t="n">
        <v>92</v>
      </c>
      <c r="E4" s="10" t="inlineStr">
        <is>
          <t>ASR Nederland (a.s.r.)</t>
        </is>
      </c>
      <c r="F4" s="10" t="inlineStr">
        <is>
          <t>asrnl.com</t>
        </is>
      </c>
      <c r="G4" s="10" t="inlineStr">
        <is>
          <t>Utrecht, Netherlands</t>
        </is>
      </c>
      <c r="H4" s="10" t="inlineStr">
        <is>
          <t>Life, non-life insurance and pensions in the Netherlands</t>
        </is>
      </c>
      <c r="I4" s="10" t="inlineStr">
        <is>
          <t>~5,000 (est.; likely higher post-Aegon Netherlands merger)</t>
        </is>
      </c>
      <c r="J4" s="10" t="inlineStr">
        <is>
          <t>5k-10k</t>
        </is>
      </c>
      <c r="K4" s="10" t="inlineStr">
        <is>
          <t>verified-new</t>
        </is>
      </c>
      <c r="L4" s="10" t="inlineStr">
        <is>
          <t>€21.2B FY2025 gross (premiums + investment income) (source: alphaspread.com/ad-hoc-news.de) | ~€14.4B / ~$16B market cap as of Sept 2026 (source: companiesmarketcap.com/stockanalysis.com)</t>
        </is>
      </c>
      <c r="M4" s="10" t="inlineStr">
        <is>
          <t>[VERIFIED NEW W2] Post-merger 'largest Dutch insurer' growth story, with a natural home-market tie-in to the Dutch Grand Prix at Zandvoort. | Mega-cap, fully private, profitable and growing post-merger insurer with no ownership or capacity red flags.</t>
        </is>
      </c>
    </row>
    <row r="5">
      <c r="A5" s="10" t="n">
        <v>2</v>
      </c>
      <c r="B5" s="10" t="inlineStr">
        <is>
          <t>W4</t>
        </is>
      </c>
      <c r="C5" s="10" t="inlineStr">
        <is>
          <t>05 HPC &amp; Supercomputing</t>
        </is>
      </c>
      <c r="D5" s="10" t="n">
        <v>92</v>
      </c>
      <c r="E5" s="10" t="inlineStr">
        <is>
          <t>Accton Technology Corporation</t>
        </is>
      </c>
      <c r="F5" s="10" t="inlineStr">
        <is>
          <t>accton.com</t>
        </is>
      </c>
      <c r="G5" s="10" t="n"/>
      <c r="H5" s="10" t="inlineStr">
        <is>
          <t>Designs and manufactures high-speed Ethernet/white-box networking switches for hyperscale AI and cloud data centers</t>
        </is>
      </c>
      <c r="I5" s="10" t="n"/>
      <c r="J5" s="10" t="inlineStr">
        <is>
          <t>unknown</t>
        </is>
      </c>
      <c r="K5" s="10" t="inlineStr">
        <is>
          <t>verified-new</t>
        </is>
      </c>
      <c r="L5" s="10" t="inlineStr">
        <is>
          <t xml:space="preserve"> | ~NT$1.19T (~$37-40B, sources range $36.7-45.9B across 2026) market cap (TPE:2345), Aug-Sep 2026 -- up from $17.5B est Aug 2025 on explosive AI-networking demand | flags: No marketing/sponsorship track record found to date -- would be a first-time </t>
        </is>
      </c>
      <c r="M5" s="10" t="inlineStr">
        <is>
          <t>[VERIFIED NEW W4] AI-infrastructure/networking-backbone story -- "the switches behind the AI that powers race strategy" -- pitched as a technology partner riding the same AI-compute narrative that has already brought networking and server brands into</t>
        </is>
      </c>
    </row>
    <row r="6">
      <c r="A6" s="10" t="n">
        <v>3</v>
      </c>
      <c r="B6" s="10" t="inlineStr">
        <is>
          <t>W2</t>
        </is>
      </c>
      <c r="C6" s="10" t="inlineStr">
        <is>
          <t>01 Banking &amp; Insurance</t>
        </is>
      </c>
      <c r="D6" s="10" t="n">
        <v>92</v>
      </c>
      <c r="E6" s="10" t="inlineStr">
        <is>
          <t>Aditya Birla Capital</t>
        </is>
      </c>
      <c r="F6" s="10" t="inlineStr">
        <is>
          <t>adityabirlacapital.com</t>
        </is>
      </c>
      <c r="G6" s="10" t="inlineStr">
        <is>
          <t>Mumbai, India</t>
        </is>
      </c>
      <c r="H6" s="10" t="inlineStr">
        <is>
          <t>NBFC lending, life/health insurance, and asset management under the Aditya Birla Group umbrella</t>
        </is>
      </c>
      <c r="I6" s="10" t="inlineStr">
        <is>
          <t>~30,000 (est.)</t>
        </is>
      </c>
      <c r="J6" s="10" t="inlineStr">
        <is>
          <t>10k+</t>
        </is>
      </c>
      <c r="K6" s="10" t="inlineStr">
        <is>
          <t>verified-new</t>
        </is>
      </c>
      <c r="L6" s="10" t="inlineStr">
        <is>
          <t>$6.12B consolidated revenue, FY2026 (ended Mar-2026: Rs 53,871 Cr, +14% YoY) - Eulerpool/company results | ~$12.6B market cap as of early Aug 2026 (~Rs 1.11 lakh Cr; +70% YoY, crossed Rs 1 lakh Cr milestone in 2026) - multibagg/stockanalysis | flags:</t>
        </is>
      </c>
      <c r="M6" s="10" t="inlineStr">
        <is>
          <t>[VERIFIED NEW W2] Leverage Aditya Birla Group's existing global industrial/manufacturing footprint and brand-investment appetite; growth-stage financial-services story fits F1's push into emerging high-growth markets. | Mega-brand-scale, fast-growing</t>
        </is>
      </c>
    </row>
    <row r="7">
      <c r="A7" s="10" t="n">
        <v>4</v>
      </c>
      <c r="B7" s="10" t="inlineStr">
        <is>
          <t>W2</t>
        </is>
      </c>
      <c r="C7" s="10" t="inlineStr">
        <is>
          <t>01 Banking &amp; Insurance</t>
        </is>
      </c>
      <c r="D7" s="10" t="n">
        <v>92</v>
      </c>
      <c r="E7" s="10" t="inlineStr">
        <is>
          <t>Aflac Incorporated</t>
        </is>
      </c>
      <c r="F7" s="10" t="inlineStr">
        <is>
          <t>aflac.com</t>
        </is>
      </c>
      <c r="G7" s="10" t="inlineStr">
        <is>
          <t>Columbus, GA, USA</t>
        </is>
      </c>
      <c r="H7" s="10" t="inlineStr">
        <is>
          <t>Supplemental health and life insurance in the US and Japan</t>
        </is>
      </c>
      <c r="I7" s="10" t="inlineStr">
        <is>
          <t>10,000–20,000</t>
        </is>
      </c>
      <c r="J7" s="10" t="inlineStr">
        <is>
          <t>10k+</t>
        </is>
      </c>
      <c r="K7" s="10" t="inlineStr">
        <is>
          <t>verified-new</t>
        </is>
      </c>
      <c r="L7" s="10" t="inlineStr">
        <is>
          <t>$17.2B FY2025 total revenues (down 9.3% from $18.9B FY2024, mainly yen/hedging-driven, not fundamental), per Q4 2025 earnings release | ~$57–60B market cap (Sept 2026; stock ~$117/share early Sept 2026, off all-time high $128.90 in Jul 2026) | flags:</t>
        </is>
      </c>
      <c r="M7" s="10" t="inlineStr">
        <is>
          <t>[VERIFIED NEW W2] Lead with the Aflac Duck as a highly shareable, family-friendly F1 activation mascot/paddock character, paired with the Japan angle (Suzuka GP) given Aflac's outsized Japan business. | Mega-cap, mascot-led global consumer brand with</t>
        </is>
      </c>
    </row>
    <row r="8">
      <c r="A8" s="10" t="n">
        <v>5</v>
      </c>
      <c r="B8" s="10" t="inlineStr">
        <is>
          <t>W6</t>
        </is>
      </c>
      <c r="C8" s="10" t="inlineStr">
        <is>
          <t>43 Mobility &amp; Automotive</t>
        </is>
      </c>
      <c r="D8" s="10" t="n">
        <v>92</v>
      </c>
      <c r="E8" s="10" t="inlineStr">
        <is>
          <t>Allegheny Technologies Incorporated (ATI)</t>
        </is>
      </c>
      <c r="F8" s="10" t="inlineStr">
        <is>
          <t>atimaterials.com</t>
        </is>
      </c>
      <c r="G8" s="10" t="n"/>
      <c r="H8" s="10" t="inlineStr">
        <is>
          <t>Specialty metals (titanium, nickel alloys) for aerospace, defense and industrial customers (non-prime materials supplier</t>
        </is>
      </c>
      <c r="I8" s="10" t="n"/>
      <c r="J8" s="10" t="inlineStr">
        <is>
          <t>unknown</t>
        </is>
      </c>
      <c r="K8" s="10" t="inlineStr">
        <is>
          <t>verified-new</t>
        </is>
      </c>
      <c r="L8" s="10" t="inlineStr">
        <is>
          <t xml:space="preserve"> |  | flags: Market cap ($26.1B) came in more than 2.5x the input's ~$10B estimate on a strong 2026 rally (stock ~$190 vs. 52-week low of $75) - budget/scale expectations should be reset upward.; Customer base is aerospace/defense-concentrated, not m</t>
        </is>
      </c>
      <c r="M8" s="10" t="inlineStr">
        <is>
          <t xml:space="preserve">[VERIFIED NEW W6] 'Materials that push performance limits' story - ATI's titanium/superalloy leadership in aerospace (68% of revenue) translates naturally into an F1 chassis/suspension/engine-component materials-science narrative, an open lane since </t>
        </is>
      </c>
    </row>
    <row r="9">
      <c r="A9" s="10" t="n">
        <v>6</v>
      </c>
      <c r="B9" s="10" t="inlineStr">
        <is>
          <t>W13</t>
        </is>
      </c>
      <c r="C9" s="10" t="inlineStr">
        <is>
          <t>TIC</t>
        </is>
      </c>
      <c r="D9" s="10" t="n">
        <v>92</v>
      </c>
      <c r="E9" s="10" t="inlineStr">
        <is>
          <t>Applus Services, S.A. (Applus+)</t>
        </is>
      </c>
      <c r="F9" s="10" t="inlineStr">
        <is>
          <t>applus.com</t>
        </is>
      </c>
      <c r="G9" s="10" t="inlineStr">
        <is>
          <t>Barcelona, Spain</t>
        </is>
      </c>
      <c r="H9" s="10" t="inlineStr">
        <is>
          <t>Testing, inspection, certification (TIC) services across automotive, energy, industry and infrastructure sectors, 70+ countries</t>
        </is>
      </c>
      <c r="I9" s="10" t="inlineStr">
        <is>
          <t>10k-10k+ (~26,000 employees, per company/TDR Capital materials, 2024)</t>
        </is>
      </c>
      <c r="J9" s="10" t="inlineStr">
        <is>
          <t>~26,000 employees, per company/TDR Capital materials, 2024</t>
        </is>
      </c>
      <c r="K9" s="10" t="inlineStr">
        <is>
          <t>verified-new</t>
        </is>
      </c>
      <c r="L9" s="10" t="inlineStr">
        <is>
          <t>9-month 2024 revenue EUR1.63B (+7.5% YoY, +7.6% organic); implies FY2024 ~EUR2.2-2.3B (source: Applus+ Q3 2024 Trading Update, applus.com) | Taken private June 2024 by TDR Capital + I Squared Capital for ~EUR1.7B deal value (source: TDR Capital, PE H</t>
        </is>
      </c>
      <c r="M9" s="10" t="inlineStr">
        <is>
          <t>[VERIFIED NEW W13] Position Applus+ as F1's 'independent verification' story: the same rigor F1 uses to certify car legality, safety cells and parts maps onto Applus+'s testing/inspection/certification business - an open category with no incumbent TI</t>
        </is>
      </c>
    </row>
    <row r="10">
      <c r="A10" s="10" t="n">
        <v>7</v>
      </c>
      <c r="B10" s="10" t="inlineStr">
        <is>
          <t>W8</t>
        </is>
      </c>
      <c r="C10" s="10" t="inlineStr">
        <is>
          <t>18 Services &amp; Other</t>
        </is>
      </c>
      <c r="D10" s="10" t="n">
        <v>92</v>
      </c>
      <c r="E10" s="10" t="inlineStr">
        <is>
          <t>Aramark</t>
        </is>
      </c>
      <c r="F10" s="10" t="inlineStr">
        <is>
          <t>aramark.com</t>
        </is>
      </c>
      <c r="G10" s="10" t="inlineStr">
        <is>
          <t>Philadelphia, PA, USA</t>
        </is>
      </c>
      <c r="H10" s="10" t="inlineStr">
        <is>
          <t>Foodservice, facilities management and hospitality services to corporates, stadiums, arenas, colleges, healthcare (note:</t>
        </is>
      </c>
      <c r="I10" s="10" t="inlineStr">
        <is>
          <t>~250,000 (100k+ / mega)</t>
        </is>
      </c>
      <c r="J10" s="10" t="inlineStr">
        <is>
          <t>10k+</t>
        </is>
      </c>
      <c r="K10" s="10" t="inlineStr">
        <is>
          <t>verified-new</t>
        </is>
      </c>
      <c r="L10" s="10" t="inlineStr">
        <is>
          <t>~$18.6B revenue FY2024 (10-K) | ~$14.8-15.5B market cap (WebSearch, mid-Sept 2026, NYSE:ARMK; up from input est. of $10-11B) | flags: Low-single-digit-margin foodservice model (thin but stable margins, not a red flag alone); 2023 Vestis spinoff means</t>
        </is>
      </c>
      <c r="M10" s="10" t="inlineStr">
        <is>
          <t>[VERIFIED NEW W8] Warm-start off existing local F1 Grand Prix culinary/hospitality activations (Spain GP) - pitch as trackside/paddock hospitality &amp; catering vendor or official hospitality partner, leveraging its stadium-operations pedigree. | Large,</t>
        </is>
      </c>
    </row>
    <row r="11">
      <c r="A11" s="10" t="n">
        <v>8</v>
      </c>
      <c r="B11" s="10" t="inlineStr">
        <is>
          <t>W4</t>
        </is>
      </c>
      <c r="C11" s="10" t="inlineStr">
        <is>
          <t>34 DC Power &amp; Cooling</t>
        </is>
      </c>
      <c r="D11" s="10" t="n">
        <v>92</v>
      </c>
      <c r="E11" s="10" t="inlineStr">
        <is>
          <t>Asia Vital Components Co., Ltd. (AVC)</t>
        </is>
      </c>
      <c r="F11" s="10" t="inlineStr">
        <is>
          <t>avc.com.tw</t>
        </is>
      </c>
      <c r="G11" s="10" t="n"/>
      <c r="H11" s="10" t="inlineStr">
        <is>
          <t>Thermal management systems (fans, heat pipes, liquid cooling) for AI servers, GPUs and consumer electronics, sold to ser</t>
        </is>
      </c>
      <c r="I11" s="10" t="n"/>
      <c r="J11" s="10" t="inlineStr">
        <is>
          <t>unknown</t>
        </is>
      </c>
      <c r="K11" s="10" t="inlineStr">
        <is>
          <t>verified-new</t>
        </is>
      </c>
      <c r="L11" s="10" t="inlineStr">
        <is>
          <t xml:space="preserve"> | ~NT$1.16T (~$36B) market cap (TPE:3017), late Aug 2026 -- up sharply from $5.7B est Aug 2025 on AI-liquid-cooling demand | flags: No marketing/sponsorship history found -- first-time sponsor; High valuation re-rating tied to AI-cooling cycle -- du</t>
        </is>
      </c>
      <c r="M11" s="10" t="inlineStr">
        <is>
          <t xml:space="preserve">[VERIFIED NEW W4] "Precision thermal management" story -- same cooling discipline that keeps AI-GPU racks running at the edge applied to race-car and power-unit thermal performance; strong creative parallel for trackside/technical-partner content. | </t>
        </is>
      </c>
    </row>
    <row r="12">
      <c r="A12" s="10" t="n">
        <v>9</v>
      </c>
      <c r="B12" s="10" t="inlineStr">
        <is>
          <t>W13</t>
        </is>
      </c>
      <c r="C12" s="10" t="inlineStr">
        <is>
          <t>Travel &amp; Hospitality</t>
        </is>
      </c>
      <c r="D12" s="10" t="n">
        <v>92</v>
      </c>
      <c r="E12" s="10" t="inlineStr">
        <is>
          <t>Barcelo Hotel Group</t>
        </is>
      </c>
      <c r="F12" s="10" t="inlineStr">
        <is>
          <t>barcelo.com</t>
        </is>
      </c>
      <c r="G12" s="10" t="inlineStr">
        <is>
          <t>Palma de Mallorca, Spain</t>
        </is>
      </c>
      <c r="H12" s="10" t="inlineStr">
        <is>
          <t>Multinational hotel group (Royal Hideaway, Occidental brands), Spain, Caribbean, Americas, Europe, Africa</t>
        </is>
      </c>
      <c r="I12" s="10" t="inlineStr">
        <is>
          <t>10k+</t>
        </is>
      </c>
      <c r="J12" s="10" t="inlineStr">
        <is>
          <t>10k+</t>
        </is>
      </c>
      <c r="K12" s="10" t="inlineStr">
        <is>
          <t>verified-new</t>
        </is>
      </c>
      <c r="L12" s="10" t="inlineStr">
        <is>
          <t>Barceló Group turnover &gt;€7.5B FY2024 (+~12-16% YoY vs €6.7B in 2023), €661M EBITDA, €301.8M net profit, debt eliminated (dominicantoday.com / Barceló Group 2024 Annual Report) | Private, no published valuation; family-owned, passes on revenue alone p</t>
        </is>
      </c>
      <c r="M12" s="10" t="inlineStr">
        <is>
          <t>[VERIFIED NEW W13] Global-hospitality-scale angle - a debt-free, family-run multinational hotel group spanning the Americas, Europe and Africa, offering F1 an open hospitality-category partner untouched by existing grid sponsors. | All hard filters p</t>
        </is>
      </c>
    </row>
    <row r="13">
      <c r="A13" s="10" t="n">
        <v>10</v>
      </c>
      <c r="B13" s="10" t="inlineStr">
        <is>
          <t>W8</t>
        </is>
      </c>
      <c r="C13" s="10" t="inlineStr">
        <is>
          <t>24 Logistics</t>
        </is>
      </c>
      <c r="D13" s="10" t="n">
        <v>92</v>
      </c>
      <c r="E13" s="10" t="inlineStr">
        <is>
          <t>Brambles Limited</t>
        </is>
      </c>
      <c r="F13" s="10" t="inlineStr">
        <is>
          <t>brambles.com</t>
        </is>
      </c>
      <c r="G13" s="10" t="inlineStr">
        <is>
          <t>Sydney, Australia</t>
        </is>
      </c>
      <c r="H13" s="10" t="inlineStr">
        <is>
          <t>Pallet and container pooling logistics (CHEP brand) to global supply chains</t>
        </is>
      </c>
      <c r="I13" s="10" t="inlineStr">
        <is>
          <t>~11,000 (10k-50k band)</t>
        </is>
      </c>
      <c r="J13" s="10" t="inlineStr">
        <is>
          <t>10k+</t>
        </is>
      </c>
      <c r="K13" s="10" t="inlineStr">
        <is>
          <t>verified-new</t>
        </is>
      </c>
      <c r="L13" s="10" t="inlineStr">
        <is>
          <t>~$6.1B USD revenue FY2024 (annual report) | ~A$25-26.5B (~$16-17B USD) market cap (WebSearch, mid-Sept 2026, ASX:BXB) | flags: No prior motorsport sponsorship precedent found - would be a new category for the brand</t>
        </is>
      </c>
      <c r="M13" s="10" t="inlineStr">
        <is>
          <t xml:space="preserve">[VERIFIED NEW W8] Supply-chain/sustainability efficiency story (circular pooling model) tied to F1 logistics operations (freight, paddock equipment movement) - CHEP's core competency maps directly onto F1's own freight challenge. | Large, profitable </t>
        </is>
      </c>
    </row>
    <row r="14">
      <c r="A14" s="10" t="n">
        <v>11</v>
      </c>
      <c r="B14" s="10" t="inlineStr">
        <is>
          <t>W13</t>
        </is>
      </c>
      <c r="C14" s="10" t="inlineStr">
        <is>
          <t>OT &amp; Physical Security</t>
        </is>
      </c>
      <c r="D14" s="10" t="n">
        <v>92</v>
      </c>
      <c r="E14" s="10" t="inlineStr">
        <is>
          <t>Brinks Company</t>
        </is>
      </c>
      <c r="F14" s="10" t="inlineStr">
        <is>
          <t>brinks.com</t>
        </is>
      </c>
      <c r="G14" s="10" t="inlineStr">
        <is>
          <t>Richmond, Virginia, US</t>
        </is>
      </c>
      <c r="H14" s="10" t="inlineStr">
        <is>
          <t>Cash logistics, ATM services and secure valuables transport to thousands of bank and retail customers globally</t>
        </is>
      </c>
      <c r="I14" s="10" t="inlineStr">
        <is>
          <t>10k+ (~20,000-21,000, est)</t>
        </is>
      </c>
      <c r="J14" s="10" t="inlineStr">
        <is>
          <t>~20,000-21,000, est</t>
        </is>
      </c>
      <c r="K14" s="10" t="inlineStr">
        <is>
          <t>verified-new</t>
        </is>
      </c>
      <c r="L14" s="10" t="inlineStr">
        <is>
          <t>$5.26B FY2025, +4.97% YoY (confirmed via WebSearch, Brink's Q4/FY2025 results release, reported ~Feb 2026) | Market cap ~$4.4-4.5B as of Sep 17, 2026 (confirmed via WebSearch, stockanalysis.com/companiesmarketcap.com)</t>
        </is>
      </c>
      <c r="M14" s="10" t="inlineStr">
        <is>
          <t>[VERIFIED NEW W13] Global secure-logistics/fintech-infrastructure story - 'trusted at speed' - open category, timed to Brink's tech-driven cash-management modernization push. | All hard filters pass cleanly: revenue and valuation well above bars, pro</t>
        </is>
      </c>
    </row>
    <row r="15">
      <c r="A15" s="10" t="n">
        <v>12</v>
      </c>
      <c r="B15" s="10" t="inlineStr">
        <is>
          <t>W3</t>
        </is>
      </c>
      <c r="C15" s="10" t="inlineStr">
        <is>
          <t>42 Health &amp; Wellness</t>
        </is>
      </c>
      <c r="D15" s="10" t="n">
        <v>92</v>
      </c>
      <c r="E15" s="10" t="inlineStr">
        <is>
          <t>Celltrion, Inc.</t>
        </is>
      </c>
      <c r="F15" s="10" t="inlineStr">
        <is>
          <t>celltrion.com</t>
        </is>
      </c>
      <c r="G15" s="10" t="inlineStr">
        <is>
          <t>South Korea</t>
        </is>
      </c>
      <c r="H15" s="10" t="inlineStr">
        <is>
          <t>Biosimilars (Remsima/infliximab, Truxima, Herzuma) sold globally to hospitals and health systems</t>
        </is>
      </c>
      <c r="I15" s="10" t="inlineStr">
        <is>
          <t>~3,500 (est., unverified this pass)</t>
        </is>
      </c>
      <c r="J15" s="10" t="inlineStr">
        <is>
          <t>1k-5k</t>
        </is>
      </c>
      <c r="K15" s="10" t="inlineStr">
        <is>
          <t>verified-new</t>
        </is>
      </c>
      <c r="L15" s="10" t="inlineStr">
        <is>
          <t>FY2025 consolidated revenue KRW4.16 trillion (~$2.84B), up 17% YoY - first time exceeding KRW4T; operating profit KRW1.16 trillion (~$817M), up 137.5% YoY, margin 28.1% - record results - source: Celltrion FY2025 earnings release | Market cap ~KRW42.</t>
        </is>
      </c>
      <c r="M15" s="10" t="inlineStr">
        <is>
          <t>[VERIFIED NEW W3] Global biosimilars-at-scale and precision-manufacturing narrative aimed at healthcare systems and investors across Celltrion's core US/EU/Asia markets | Mega-cap, record profitability, genuine global distribution scale, no F1 tie, a</t>
        </is>
      </c>
    </row>
    <row r="16">
      <c r="A16" s="10" t="n">
        <v>13</v>
      </c>
      <c r="B16" s="10" t="inlineStr">
        <is>
          <t>W13</t>
        </is>
      </c>
      <c r="C16" s="10" t="inlineStr">
        <is>
          <t>Packaging &amp; Food Machinery</t>
        </is>
      </c>
      <c r="D16" s="10" t="n">
        <v>92</v>
      </c>
      <c r="E16" s="10" t="inlineStr">
        <is>
          <t>Coesia Group</t>
        </is>
      </c>
      <c r="F16" s="10" t="inlineStr">
        <is>
          <t>coesia.com</t>
        </is>
      </c>
      <c r="G16" s="10" t="inlineStr">
        <is>
          <t>Bologna, Italy</t>
        </is>
      </c>
      <c r="H16" s="10" t="inlineStr">
        <is>
          <t>Packaging and industrial process machinery (holding group of 21 companies)</t>
        </is>
      </c>
      <c r="I16" s="10" t="inlineStr">
        <is>
          <t>5k-10k (8,000+ employees, per company materials)</t>
        </is>
      </c>
      <c r="J16" s="10" t="inlineStr">
        <is>
          <t>8,000+ employees, per company materials</t>
        </is>
      </c>
      <c r="K16" s="10" t="inlineStr">
        <is>
          <t>verified-new</t>
        </is>
      </c>
      <c r="L16" s="10" t="inlineStr">
        <is>
          <t>EUR2,107M (~$2.3B est), FY2024, per Coesia 2024 Sustainability Report/company reporting | n/a - family-owned (single shareholder), no published valuation -- passes on revenue alone | flags: family-owned, no published valuation; single-shareholder own</t>
        </is>
      </c>
      <c r="M16" s="10" t="inlineStr">
        <is>
          <t>[VERIFIED NEW W13] Industrial-technology holding-group story -- Coesia's 21 companies engineer the precision machinery behind global packaging and manufacturing supply chains, an 'engineering behind the scenes' angle in an open category. | All hard f</t>
        </is>
      </c>
    </row>
    <row r="17">
      <c r="A17" s="10" t="n">
        <v>14</v>
      </c>
      <c r="B17" s="10" t="inlineStr">
        <is>
          <t>W2</t>
        </is>
      </c>
      <c r="C17" s="10" t="inlineStr">
        <is>
          <t>01 Banking &amp; Insurance</t>
        </is>
      </c>
      <c r="D17" s="10" t="n">
        <v>92</v>
      </c>
      <c r="E17" s="10" t="inlineStr">
        <is>
          <t>Credicorp</t>
        </is>
      </c>
      <c r="F17" s="10" t="inlineStr">
        <is>
          <t>credicorp.com</t>
        </is>
      </c>
      <c r="G17" s="10" t="inlineStr">
        <is>
          <t>Lima, Peru (Bermuda-incorporated holding company)</t>
        </is>
      </c>
      <c r="H17" s="10" t="inlineStr">
        <is>
          <t>Banking (BCP), insurance (Pacifico), pensions (Prima AFP), and microfinance across Peru and the Andean region</t>
        </is>
      </c>
      <c r="I17" s="10" t="inlineStr">
        <is>
          <t>~35,000 (est.)</t>
        </is>
      </c>
      <c r="J17" s="10" t="inlineStr">
        <is>
          <t>10k+</t>
        </is>
      </c>
      <c r="K17" s="10" t="inlineStr">
        <is>
          <t>verified-new</t>
        </is>
      </c>
      <c r="L17" s="10" t="inlineStr">
        <is>
          <t>~$7.6-8.2B TTM revenue (Q2 2026 quarterly $2.17B; FY2025 annual $7.62B, +8.9% YoY) - stockanalysis/macrotrends | $30.3B market cap as of 12 Sep 2026 (79.4M shares) - Morningstar/stockanalysis</t>
        </is>
      </c>
      <c r="M17" s="10" t="inlineStr">
        <is>
          <t>[VERIFIED NEW W2] Flagship regional-champion pitch: dominant Andean financial brand with NYSE visibility and marketing budget scale to match a top-tier F1 partnership. | Largest, most profitable name in this batch with clean ownership and no F1 confl</t>
        </is>
      </c>
    </row>
    <row r="18">
      <c r="A18" s="10" t="n">
        <v>15</v>
      </c>
      <c r="B18" s="10" t="inlineStr">
        <is>
          <t>W3</t>
        </is>
      </c>
      <c r="C18" s="10" t="inlineStr">
        <is>
          <t>42 Health &amp; Wellness</t>
        </is>
      </c>
      <c r="D18" s="10" t="n">
        <v>92</v>
      </c>
      <c r="E18" s="10" t="inlineStr">
        <is>
          <t>Daiichi Sankyo Company, Limited</t>
        </is>
      </c>
      <c r="F18" s="10" t="inlineStr">
        <is>
          <t>daiichisankyo.com</t>
        </is>
      </c>
      <c r="G18" s="10" t="n"/>
      <c r="H18" s="10" t="n"/>
      <c r="I18" s="10" t="n"/>
      <c r="J18" s="10" t="inlineStr">
        <is>
          <t>unknown</t>
        </is>
      </c>
      <c r="K18" s="10" t="inlineStr">
        <is>
          <t>verified-new</t>
        </is>
      </c>
      <c r="L18" s="10" t="inlineStr">
        <is>
          <t xml:space="preserve"> |  | flags: Input's market cap estimate ($88-100B) was materially overstated versus verified ~$30-33B - use corrected figure for outreach sizing</t>
        </is>
      </c>
      <c r="M18" s="10" t="inlineStr">
        <is>
          <t xml:space="preserve">[VERIFIED NEW W3] Lead with Enhertu's global oncology momentum and Daiichi Sankyo's fastest-growing-large-pharma narrative; global reach and consistent double-digit growth make a strong sponsorship growth story. | </t>
        </is>
      </c>
    </row>
    <row r="19">
      <c r="A19" s="10" t="n">
        <v>16</v>
      </c>
      <c r="B19" s="10" t="inlineStr">
        <is>
          <t>W3</t>
        </is>
      </c>
      <c r="C19" s="10" t="inlineStr">
        <is>
          <t>42 Health &amp; Wellness</t>
        </is>
      </c>
      <c r="D19" s="10" t="n">
        <v>92</v>
      </c>
      <c r="E19" s="10" t="inlineStr">
        <is>
          <t>Dr. Reddy's Laboratories Ltd.</t>
        </is>
      </c>
      <c r="F19" s="10" t="inlineStr">
        <is>
          <t>drreddys.com</t>
        </is>
      </c>
      <c r="G19" s="10" t="n"/>
      <c r="H19" s="10" t="n"/>
      <c r="I19" s="10" t="n"/>
      <c r="J19" s="10" t="inlineStr">
        <is>
          <t>unknown</t>
        </is>
      </c>
      <c r="K19" s="10" t="inlineStr">
        <is>
          <t>verified-new</t>
        </is>
      </c>
      <c r="L19" s="10" t="inlineStr">
        <is>
          <t xml:space="preserve"> |  | flags: Input's market cap estimate ($12B) was somewhat overstated versus verified ~$9.6-10.4B - use corrected figure</t>
        </is>
      </c>
      <c r="M19" s="10" t="inlineStr">
        <is>
          <t xml:space="preserve">[VERIFIED NEW W3] Position around global manufacturing/export scale and biosimilars growth story; emphasize multi-region revenue diversification as brand-safety rationale for a global platform like F1. | </t>
        </is>
      </c>
    </row>
    <row r="20">
      <c r="A20" s="10" t="n">
        <v>17</v>
      </c>
      <c r="B20" s="10" t="inlineStr">
        <is>
          <t>W13</t>
        </is>
      </c>
      <c r="C20" s="10" t="inlineStr">
        <is>
          <t>Grid &amp; Transformers</t>
        </is>
      </c>
      <c r="D20" s="10" t="n">
        <v>92</v>
      </c>
      <c r="E20" s="10" t="inlineStr">
        <is>
          <t>Elecnor, S.A.</t>
        </is>
      </c>
      <c r="F20" s="10" t="inlineStr">
        <is>
          <t>elecnor.com</t>
        </is>
      </c>
      <c r="G20" s="10" t="inlineStr">
        <is>
          <t>Madrid, Spain</t>
        </is>
      </c>
      <c r="H20" s="10" t="inlineStr">
        <is>
          <t>Electrical grid/transmission infrastructure EPC, energy, telecoms, water, rail and environmental project development across 50+ countries</t>
        </is>
      </c>
      <c r="I20" s="10" t="inlineStr">
        <is>
          <t>10k+ (21,431 employees, per BME Exchange listing / 2024-2025 disclosures)</t>
        </is>
      </c>
      <c r="J20" s="10" t="inlineStr">
        <is>
          <t>21,431 employees, per BME Exchange listing / 2024-2025 disclosures</t>
        </is>
      </c>
      <c r="K20" s="10" t="inlineStr">
        <is>
          <t>verified-new</t>
        </is>
      </c>
      <c r="L20" s="10" t="inlineStr">
        <is>
          <t>EUR4.39B in FY2025 (+14.89% YoY vs EUR3.81B in FY2024) (source: MarketScreener 2025 Annual Results Report) | Market cap ~EUR3.25B (~$3.76-3.83B) as of May-June 2026 (source: stockanalysis.com/GuruFocus, 2026) | flags: est figures (input flag) - now s</t>
        </is>
      </c>
      <c r="M20" s="10" t="inlineStr">
        <is>
          <t>[VERIFIED NEW W13] Grid modernization and electrification-of-everything narrative - Elecnor's transmission/grid EPC expertise pairs naturally with F1's push toward sustainable fuels, hybrid power units and race-weekend electrification (est). | All ha</t>
        </is>
      </c>
    </row>
    <row r="21">
      <c r="A21" s="10" t="n">
        <v>18</v>
      </c>
      <c r="B21" s="10" t="inlineStr">
        <is>
          <t>W7</t>
        </is>
      </c>
      <c r="C21" s="10" t="inlineStr">
        <is>
          <t>02 Energy &amp; Industrial</t>
        </is>
      </c>
      <c r="D21" s="10" t="n">
        <v>92</v>
      </c>
      <c r="E21" s="10" t="inlineStr">
        <is>
          <t>Enbridge</t>
        </is>
      </c>
      <c r="F21" s="10" t="inlineStr">
        <is>
          <t>enbridge.com</t>
        </is>
      </c>
      <c r="G21" s="10" t="n"/>
      <c r="H21" s="10" t="inlineStr">
        <is>
          <t>Crude oil and natural gas pipelines, gas utility distribution, and growing renewable power portfolio across North Americ</t>
        </is>
      </c>
      <c r="I21" s="10" t="n"/>
      <c r="J21" s="10" t="inlineStr">
        <is>
          <t>unknown</t>
        </is>
      </c>
      <c r="K21" s="10" t="inlineStr">
        <is>
          <t>verified-new</t>
        </is>
      </c>
      <c r="L21" s="10" t="inlineStr">
        <is>
          <t>~$46.8B USD / ~$65.2B CAD FY2025, +22% YoY (stockanalysis.com); record 2025 results, Adjusted EBITDA $20.0B (+7% YoY) per enbridge.com |  | flags: CAD/USD dual reporting complicates deal-value framing; market cap figure partially estimate</t>
        </is>
      </c>
      <c r="M21" s="10" t="inlineStr">
        <is>
          <t xml:space="preserve">[VERIFIED NEW W7] Net Zero 2030 renewables (offshore wind/solar) story plus Canadian GP hospitality and fan engagement given home-market proximity. | </t>
        </is>
      </c>
    </row>
    <row r="22">
      <c r="A22" s="10" t="n">
        <v>19</v>
      </c>
      <c r="B22" s="10" t="inlineStr">
        <is>
          <t>W3</t>
        </is>
      </c>
      <c r="C22" s="10" t="inlineStr">
        <is>
          <t>42 Health &amp; Wellness</t>
        </is>
      </c>
      <c r="D22" s="10" t="n">
        <v>92</v>
      </c>
      <c r="E22" s="10" t="inlineStr">
        <is>
          <t>Fisher &amp; Paykel Healthcare</t>
        </is>
      </c>
      <c r="F22" s="10" t="inlineStr">
        <is>
          <t>fphcare.com</t>
        </is>
      </c>
      <c r="G22" s="10" t="inlineStr">
        <is>
          <t>New Zealand</t>
        </is>
      </c>
      <c r="H22" s="10" t="inlineStr">
        <is>
          <t>Respiratory humidification and sleep apnea (OSA) devices sold to hospitals and homecare patients</t>
        </is>
      </c>
      <c r="I22" s="10" t="inlineStr">
        <is>
          <t>5,000-10,000 (~7,000+ est)</t>
        </is>
      </c>
      <c r="J22" s="10" t="inlineStr">
        <is>
          <t>10k+</t>
        </is>
      </c>
      <c r="K22" s="10" t="inlineStr">
        <is>
          <t>verified-new</t>
        </is>
      </c>
      <c r="L22" s="10" t="inlineStr">
        <is>
          <t>FY2025 (year ended Mar 2025) total operating revenue NZD 2.02B (~$1.21B USD), +16% YoY, net profit +43% YoY to NZD 377.2M (WebSearch, fphcare.com record-results release) | ~NZD 22.65-23.34B / ~$13.6-14B USD market cap as of Apr-Jul 2026 (tradingecono</t>
        </is>
      </c>
      <c r="M22" s="10" t="inlineStr">
        <is>
          <t>[VERIFIED NEW W3] "Engineered breath, engineered speed" - humidification/respiratory airflow precision mirrored against race-car cooling/airflow engineering; hospital-grade credibility. | Record revenue (+16%) and profit (+43%) at mega-cap scale (~$1</t>
        </is>
      </c>
    </row>
    <row r="23">
      <c r="A23" s="10" t="n">
        <v>20</v>
      </c>
      <c r="B23" s="10" t="inlineStr">
        <is>
          <t>W1</t>
        </is>
      </c>
      <c r="C23" s="10" t="inlineStr">
        <is>
          <t>53 Consumer &amp; Lifestyle</t>
        </is>
      </c>
      <c r="D23" s="10" t="n">
        <v>92</v>
      </c>
      <c r="E23" s="10" t="inlineStr">
        <is>
          <t>Fomento Economico Mexicano, S.A.B. de C.V. (FEMSA)</t>
        </is>
      </c>
      <c r="F23" s="10" t="inlineStr">
        <is>
          <t>femsa.com</t>
        </is>
      </c>
      <c r="G23" s="10" t="inlineStr">
        <is>
          <t>Monterrey, Mexico</t>
        </is>
      </c>
      <c r="H23" s="10" t="inlineStr">
        <is>
          <t>OXXO convenience retail (~24,000+ stores), Coca-Cola bottling (via KOF), health/pharmacy retail and fuel stations across</t>
        </is>
      </c>
      <c r="I23" s="10" t="inlineStr">
        <is>
          <t>~380,000 employees (input est., consistent with OXXO's store-level headcount)</t>
        </is>
      </c>
      <c r="J23" s="10" t="inlineStr">
        <is>
          <t>10k+</t>
        </is>
      </c>
      <c r="K23" s="10" t="inlineStr">
        <is>
          <t>verified-new</t>
        </is>
      </c>
      <c r="L23" s="10" t="inlineStr">
        <is>
          <t>MXN 840,954M (~US$45.0B) FY2025, +7.6% YoY; TTM ~US$48.5B (company 20-F/6-K filings, verified Sept 2026) | ~US$40-45B market cap as of June 2026 (sources range $39.8B-$45.2B); well above the input's ~$28B estimate | flags: Indirect parent-brand adjac</t>
        </is>
      </c>
      <c r="M23" s="10" t="inlineStr">
        <is>
          <t>[VERIFIED NEW W1] OXXO trackside/street-team retail activation and fan-zone presence for the Mexico City GP, cross-promoted with FEMSA's broader LatAm retail footprint (health, fuel, convenience) rather than the Coca-Cola bottling business specifical</t>
        </is>
      </c>
    </row>
    <row r="24">
      <c r="A24" s="10" t="n">
        <v>21</v>
      </c>
      <c r="B24" s="10" t="inlineStr">
        <is>
          <t>W13</t>
        </is>
      </c>
      <c r="C24" s="10" t="inlineStr">
        <is>
          <t>Grid &amp; Transformers</t>
        </is>
      </c>
      <c r="D24" s="10" t="n">
        <v>92</v>
      </c>
      <c r="E24" s="10" t="inlineStr">
        <is>
          <t>GE Vernova T&amp;D India Limited</t>
        </is>
      </c>
      <c r="F24" s="10" t="inlineStr">
        <is>
          <t>gevernova.com</t>
        </is>
      </c>
      <c r="G24" s="10" t="inlineStr">
        <is>
          <t>Chennai, India</t>
        </is>
      </c>
      <c r="H24" s="10" t="inlineStr">
        <is>
          <t>Transformers, switchgear and grid equipment</t>
        </is>
      </c>
      <c r="I24" s="10" t="inlineStr">
        <is>
          <t>1k-5k</t>
        </is>
      </c>
      <c r="J24" s="10" t="inlineStr">
        <is>
          <t>1k-5k</t>
        </is>
      </c>
      <c r="K24" s="10" t="inlineStr">
        <is>
          <t>verified-new</t>
        </is>
      </c>
      <c r="L24" s="10" t="inlineStr">
        <is>
          <t>Rs.6,206.31 Cr FY2026 (~$746M USD, est FX conversion), +44.59% YoY; record order intake, EBITDA more than doubled, margins 27.2% (company FY25-26 results, 2026) | Market cap Rs.1,12,436.68 Cr (~$13.5B USD, est FX conversion) as of 21 Sep 2026 (NSE li</t>
        </is>
      </c>
      <c r="M24" s="10" t="inlineStr">
        <is>
          <t>[VERIFIED NEW W13] Energy-transition and grid-reliability technology story - GE Vernova's 'electrify and decarbonize' positioning pairs with F1's sustainability push, and the grid-equipment sponsor category is currently unclaimed on the grid (est). |</t>
        </is>
      </c>
    </row>
    <row r="25">
      <c r="A25" s="10" t="n">
        <v>22</v>
      </c>
      <c r="B25" s="10" t="inlineStr">
        <is>
          <t>W13</t>
        </is>
      </c>
      <c r="C25" s="10" t="inlineStr">
        <is>
          <t>Packaging &amp; Food Machinery</t>
        </is>
      </c>
      <c r="D25" s="10" t="n">
        <v>92</v>
      </c>
      <c r="E25" s="10" t="inlineStr">
        <is>
          <t>GEA Group Aktiengesellschaft</t>
        </is>
      </c>
      <c r="F25" s="10" t="inlineStr">
        <is>
          <t>gea.com</t>
        </is>
      </c>
      <c r="G25" s="10" t="inlineStr">
        <is>
          <t>Duesseldorf, Germany</t>
        </is>
      </c>
      <c r="H25" s="10" t="inlineStr">
        <is>
          <t>Food and beverage processing machinery and process technology, global</t>
        </is>
      </c>
      <c r="I25" s="10" t="inlineStr">
        <is>
          <t>10k+ (19,670 employees, per company disclosures)</t>
        </is>
      </c>
      <c r="J25" s="10" t="inlineStr">
        <is>
          <t>19,670 employees, per company disclosures</t>
        </is>
      </c>
      <c r="K25" s="10" t="inlineStr">
        <is>
          <t>verified-new</t>
        </is>
      </c>
      <c r="L25" s="10" t="inlineStr">
        <is>
          <t>EUR5.5B in FY2025 (source: GEA 'reports profitable growth for 2025' press release, gea.com, 2026) | Market cap ~$10.4-12B as of 2026 (source: PitchBook/companiesmarketcap.com) | flags: input flag 'check dupe - may already be covered given scale' - no</t>
        </is>
      </c>
      <c r="M25" s="10" t="inlineStr">
        <is>
          <t>[VERIFIED NEW W13] Precision process-engineering/technology-transfer narrative - GEA's food-tech engineering rigor and global-ambition scale mirror F1's own engineering-excellence story (est). | All hard filters pass: revenue EUR5.5B and market cap ~</t>
        </is>
      </c>
    </row>
    <row r="26">
      <c r="A26" s="10" t="n">
        <v>23</v>
      </c>
      <c r="B26" s="10" t="inlineStr">
        <is>
          <t>W4</t>
        </is>
      </c>
      <c r="C26" s="10" t="inlineStr">
        <is>
          <t>05 HPC &amp; Supercomputing</t>
        </is>
      </c>
      <c r="D26" s="10" t="n">
        <v>92</v>
      </c>
      <c r="E26" s="10" t="inlineStr">
        <is>
          <t>GIGABYTE Technology Co., Ltd.</t>
        </is>
      </c>
      <c r="F26" s="10" t="inlineStr">
        <is>
          <t>gigabyte.com</t>
        </is>
      </c>
      <c r="G26" s="10" t="n"/>
      <c r="H26" s="10" t="inlineStr">
        <is>
          <t>PC motherboards, graphics cards and gaming laptops for consumers (AORUS brand); fast-growing AI/HPC server line for data</t>
        </is>
      </c>
      <c r="I26" s="10" t="n"/>
      <c r="J26" s="10" t="inlineStr">
        <is>
          <t>unknown</t>
        </is>
      </c>
      <c r="K26" s="10" t="inlineStr">
        <is>
          <t>verified-new</t>
        </is>
      </c>
      <c r="L26" s="10" t="inlineStr">
        <is>
          <t xml:space="preserve"> |  | flags: AI-server revenue is increasingly concentrated on Nvidia GPU allocation and a handful of hyperscaler customers -- a cyclical/customer-concentration risk typical of Taiwan AI-infrastructure suppliers if AI capex growth slows; Current spor</t>
        </is>
      </c>
      <c r="M26" s="10" t="inlineStr">
        <is>
          <t xml:space="preserve">[VERIFIED NEW W4] Pitch AORUS as an F1 team's official gaming-hardware/gaming-PC partner (natural sim-racing/gaming-audience crossover), paired with a 'power behind the data' angle tying in GIGABYTE's AI-server business for team engineering/strategy </t>
        </is>
      </c>
    </row>
    <row r="27">
      <c r="A27" s="10" t="n">
        <v>24</v>
      </c>
      <c r="B27" s="10" t="inlineStr">
        <is>
          <t>W6</t>
        </is>
      </c>
      <c r="C27" s="10" t="inlineStr">
        <is>
          <t>43 Mobility &amp; Automotive</t>
        </is>
      </c>
      <c r="D27" s="10" t="n">
        <v>92</v>
      </c>
      <c r="E27" s="10" t="inlineStr">
        <is>
          <t>GMR Airports Limited</t>
        </is>
      </c>
      <c r="F27" s="10" t="inlineStr">
        <is>
          <t>gmrgroup.in</t>
        </is>
      </c>
      <c r="G27" s="10" t="n"/>
      <c r="H27" s="10" t="inlineStr">
        <is>
          <t>Airport development and operations (Delhi and Hyderabad airports, plus international airport stakes)</t>
        </is>
      </c>
      <c r="I27" s="10" t="n"/>
      <c r="J27" s="10" t="inlineStr">
        <is>
          <t>unknown</t>
        </is>
      </c>
      <c r="K27" s="10" t="inlineStr">
        <is>
          <t>verified-new</t>
        </is>
      </c>
      <c r="L27" s="10" t="inlineStr">
        <is>
          <t xml:space="preserve"> |  | flags: Aéroports de Paris (part of the promoter group, ~49% stake since 2020) is itself ~50.6% owned by the French state - indirect/foreign governance note, not disqualifying since GMR is private-sector and the lead promoter.; FY26 profitabilit</t>
        </is>
      </c>
      <c r="M27" s="10" t="inlineStr">
        <is>
          <t xml:space="preserve">[VERIFIED NEW W6] Aviation-hub/mobility-infrastructure turnaround story tied to India's growing F1 fanbase and race-freight/fan-travel logistics into India - distinct from the already-crowded airline sponsor category (Emirates/Qatar/Etihad/Singapore </t>
        </is>
      </c>
    </row>
    <row r="28">
      <c r="A28" s="10" t="n">
        <v>25</v>
      </c>
      <c r="B28" s="10" t="inlineStr">
        <is>
          <t>W8</t>
        </is>
      </c>
      <c r="C28" s="10" t="inlineStr">
        <is>
          <t>24 Logistics</t>
        </is>
      </c>
      <c r="D28" s="10" t="n">
        <v>92</v>
      </c>
      <c r="E28" s="10" t="inlineStr">
        <is>
          <t>Goodman Group</t>
        </is>
      </c>
      <c r="F28" s="10" t="inlineStr">
        <is>
          <t>goodman.com</t>
        </is>
      </c>
      <c r="G28" s="10" t="n"/>
      <c r="H28" s="10" t="inlineStr">
        <is>
          <t>Industrial, logistics and data-center real estate (REIT/developer) across Asia-Pacific, Europe, Americas</t>
        </is>
      </c>
      <c r="I28" s="10" t="n"/>
      <c r="J28" s="10" t="inlineStr">
        <is>
          <t>unknown</t>
        </is>
      </c>
      <c r="K28" s="10" t="inlineStr">
        <is>
          <t>verified-new</t>
        </is>
      </c>
      <c r="L28" s="10" t="inlineStr">
        <is>
          <t xml:space="preserve"> | ~A$58.8B (~$38-39B) market cap (verified Sep 20, 2026, ASX:GMG - top-10 ASX entity by market cap) - higher than original A$35-40B estimate range midpoint</t>
        </is>
      </c>
      <c r="M28" s="10" t="inlineStr">
        <is>
          <t xml:space="preserve">[VERIFIED NEW W8] Global industrial/logistics/data-center real estate partner - large enough for a marquee multi-region F1 sponsorship, with APAC race tie-ins (Australian GP) as a natural regional hook. | </t>
        </is>
      </c>
    </row>
    <row r="29">
      <c r="A29" s="10" t="n">
        <v>26</v>
      </c>
      <c r="B29" s="10" t="inlineStr">
        <is>
          <t>W1</t>
        </is>
      </c>
      <c r="C29" s="10" t="inlineStr">
        <is>
          <t>04 Food &amp; Beverage</t>
        </is>
      </c>
      <c r="D29" s="10" t="n">
        <v>92</v>
      </c>
      <c r="E29" s="10" t="inlineStr">
        <is>
          <t>H-E-B</t>
        </is>
      </c>
      <c r="F29" s="10" t="inlineStr">
        <is>
          <t>heb.com</t>
        </is>
      </c>
      <c r="G29" s="10" t="inlineStr">
        <is>
          <t>San Antonio, Texas, USA</t>
        </is>
      </c>
      <c r="H29" s="10" t="inlineStr">
        <is>
          <t>Supermarket/grocery and retail chain, Texas/northern Mexico</t>
        </is>
      </c>
      <c r="I29" s="10" t="inlineStr">
        <is>
          <t>~145,000-150,000 employees (est., trade press)</t>
        </is>
      </c>
      <c r="J29" s="10" t="inlineStr">
        <is>
          <t>10k+</t>
        </is>
      </c>
      <c r="K29" s="10" t="inlineStr">
        <is>
          <t>verified-new</t>
        </is>
      </c>
      <c r="L29" s="10" t="inlineStr">
        <is>
          <t>$49.6B (FY2025, Forbes America's Largest Private Companies list, ranked #5) | Family-owned, no published valuation (private)</t>
        </is>
      </c>
      <c r="M29" s="10" t="inlineStr">
        <is>
          <t>[VERIFIED NEW W1] Official grocery/retail partner tied to the COTA US Grand Prix weekend (hospitality, in-store activations, Texas-pride positioning) — leverages H-E-B's home-market advantage and community-brand equity. | Top-tier revenue and stabili</t>
        </is>
      </c>
    </row>
    <row r="30">
      <c r="A30" s="10" t="n">
        <v>27</v>
      </c>
      <c r="B30" s="10" t="inlineStr">
        <is>
          <t>W4</t>
        </is>
      </c>
      <c r="C30" s="10" t="inlineStr">
        <is>
          <t>25 IT Services &amp; Consulting</t>
        </is>
      </c>
      <c r="D30" s="10" t="n">
        <v>92</v>
      </c>
      <c r="E30" s="10" t="inlineStr">
        <is>
          <t>HCL Technologies Limited</t>
        </is>
      </c>
      <c r="F30" s="10" t="inlineStr">
        <is>
          <t>hcltech.com</t>
        </is>
      </c>
      <c r="G30" s="10" t="n"/>
      <c r="H30" s="10" t="inlineStr">
        <is>
          <t>IT services, engineering R&amp;D and enterprise software (HCLSoftware) for cloud/AI transformation, sold to global enterpris</t>
        </is>
      </c>
      <c r="I30" s="10" t="n"/>
      <c r="J30" s="10" t="inlineStr">
        <is>
          <t>unknown</t>
        </is>
      </c>
      <c r="K30" s="10" t="inlineStr">
        <is>
          <t>verified-new</t>
        </is>
      </c>
      <c r="L30" s="10" t="inlineStr">
        <is>
          <t xml:space="preserve"> | ~INR 3.6T (~$40B) market cap (NSE:HCLTECH), 18 Sep 2026 | flags: Needs confirmation of exact Ferrari deal end date and whether any exclusivity/non-compete lingers; As a former F1 sponsor, HCL already has internal buy-in and a proven willingness to</t>
        </is>
      </c>
      <c r="M30" s="10" t="inlineStr">
        <is>
          <t>[VERIFIED NEW W4] Win-back/re-engagement angle: HCL already knows the F1 sponsorship playbook and ROI from its Ferrari run -- pitch a fresh team partnership (framed around HCLSoftware's AI/cloud stack) as the next chapter, explicitly distinct from th</t>
        </is>
      </c>
    </row>
    <row r="31">
      <c r="A31" s="10" t="n">
        <v>28</v>
      </c>
      <c r="B31" s="10" t="inlineStr">
        <is>
          <t>W3</t>
        </is>
      </c>
      <c r="C31" s="10" t="inlineStr">
        <is>
          <t>42 Health &amp; Wellness</t>
        </is>
      </c>
      <c r="D31" s="10" t="n">
        <v>92</v>
      </c>
      <c r="E31" s="10" t="inlineStr">
        <is>
          <t>Haleon plc</t>
        </is>
      </c>
      <c r="F31" s="10" t="inlineStr">
        <is>
          <t>haleon.com</t>
        </is>
      </c>
      <c r="G31" s="10" t="n"/>
      <c r="H31" s="10" t="inlineStr">
        <is>
          <t>Consumer health (Sensodyne, Panadol, Advil, Centrum, Voltaren), GSK/Pfizer consumer-health spinoff (2022 IPO)</t>
        </is>
      </c>
      <c r="I31" s="10" t="n"/>
      <c r="J31" s="10" t="inlineStr">
        <is>
          <t>unknown</t>
        </is>
      </c>
      <c r="K31" s="10" t="inlineStr">
        <is>
          <t>verified-new</t>
        </is>
      </c>
      <c r="L31" s="10" t="inlineStr">
        <is>
          <t>£11.0B FY2025 (full-year results, reported ~Jan/Feb 2026); organic growth +3.0%, reported revenue down due to divestment of non-US Smokers' Health business and FX |  | flags: dignity framing required - avoid overmedicalized or fear-based OTC health m</t>
        </is>
      </c>
      <c r="M31" s="10" t="inlineStr">
        <is>
          <t>[VERIFIED NEW W3] Multi-brand activation across the F1 calendar - Centrum tied to driver/fan performance &amp; recovery content, Advil/Voltaren pain-relief recovery messaging at trackside, Sensodyne oral-health lifestyle campaigns - leveraging Haleon's b</t>
        </is>
      </c>
    </row>
    <row r="32">
      <c r="A32" s="10" t="n">
        <v>29</v>
      </c>
      <c r="B32" s="10" t="inlineStr">
        <is>
          <t>W13</t>
        </is>
      </c>
      <c r="C32" s="10" t="inlineStr">
        <is>
          <t>Photonics &amp; Optical</t>
        </is>
      </c>
      <c r="D32" s="10" t="n">
        <v>92</v>
      </c>
      <c r="E32" s="10" t="inlineStr">
        <is>
          <t>Han's Laser Technology Industry Group Co., Ltd.</t>
        </is>
      </c>
      <c r="F32" s="10" t="inlineStr">
        <is>
          <t>hanslaser.com</t>
        </is>
      </c>
      <c r="G32" s="10" t="inlineStr">
        <is>
          <t>Shenzhen, China</t>
        </is>
      </c>
      <c r="H32" s="10" t="inlineStr">
        <is>
          <t>Industrial laser processing/cutting/welding equipment and PCB equipment to thousands of manufacturing customers in consumer electronics, PCB, and AI/new-energy sectors globally</t>
        </is>
      </c>
      <c r="I32" s="10" t="inlineStr">
        <is>
          <t>10k+ (~17,000-20,000, 2023-2025 company data)</t>
        </is>
      </c>
      <c r="J32" s="10" t="inlineStr">
        <is>
          <t>~17,000-20,000, 2023-2025 company data</t>
        </is>
      </c>
      <c r="K32" s="10" t="inlineStr">
        <is>
          <t>verified-new</t>
        </is>
      </c>
      <c r="L32" s="10" t="inlineStr">
        <is>
          <t>$2.67B / CNY18.7B, FY2025, +27% YoY, NPAT (excl. one-offs) +82% (Han's Laser investor release, reported via MarketScreener, 2026) | ~$15.3B market cap as of Sept 18, 2026 (PitchBook) | flags: Chinese tech exporter - general export-control/geopolitica</t>
        </is>
      </c>
      <c r="M32" s="10" t="inlineStr">
        <is>
          <t>[VERIFIED NEW W13] Position Han's Laser as the precision-engineering backbone behind F1's manufacturing supply chain - 'the laser technology shaping the cars before they hit the track' - claiming the open photonics/laser-tech category, timed to its r</t>
        </is>
      </c>
    </row>
    <row r="33">
      <c r="A33" s="10" t="n">
        <v>30</v>
      </c>
      <c r="B33" s="10" t="inlineStr">
        <is>
          <t>W13</t>
        </is>
      </c>
      <c r="C33" s="10" t="inlineStr">
        <is>
          <t>Grid &amp; Transformers</t>
        </is>
      </c>
      <c r="D33" s="10" t="n">
        <v>92</v>
      </c>
      <c r="E33" s="10" t="inlineStr">
        <is>
          <t>Hitachi Energy India Limited</t>
        </is>
      </c>
      <c r="F33" s="10" t="inlineStr">
        <is>
          <t>hitachienergy.com</t>
        </is>
      </c>
      <c r="G33" s="10" t="inlineStr">
        <is>
          <t>Chennai, India</t>
        </is>
      </c>
      <c r="H33" s="10" t="inlineStr">
        <is>
          <t>Transformers, grid automation and HVDC equipment</t>
        </is>
      </c>
      <c r="I33" s="10" t="inlineStr">
        <is>
          <t>1k-5k</t>
        </is>
      </c>
      <c r="J33" s="10" t="inlineStr">
        <is>
          <t>1k-5k</t>
        </is>
      </c>
      <c r="K33" s="10" t="inlineStr">
        <is>
          <t>verified-new</t>
        </is>
      </c>
      <c r="L33" s="10" t="inlineStr">
        <is>
          <t>Annual revenue Rs.63.85B for FY ending Dec 2025 (~$768M USD, est FX conversion), +21.91% YoY (stockanalysis.com, 2026); Q1 FY27 (Jun 2026) revenue Rs.2,441 Cr | Market cap Rs.1,45,751.60 Cr (~$17.5B USD, est FX conversion) as of 18 Sep 2026, +54.5% o</t>
        </is>
      </c>
      <c r="M33" s="10" t="inlineStr">
        <is>
          <t>[VERIFIED NEW W13] Lead with the HVDC/grid-modernization and energy-transition technology story, timed to F1's hybrid power-unit/sustainability narrative - grid/energy-infrastructure is an open sponsorship category on the current grid (est). | All ha</t>
        </is>
      </c>
    </row>
    <row r="34">
      <c r="A34" s="10" t="n">
        <v>31</v>
      </c>
      <c r="B34" s="10" t="inlineStr">
        <is>
          <t>W13</t>
        </is>
      </c>
      <c r="C34" s="10" t="inlineStr">
        <is>
          <t>SaaS</t>
        </is>
      </c>
      <c r="D34" s="10" t="n">
        <v>92</v>
      </c>
      <c r="E34" s="10" t="inlineStr">
        <is>
          <t>Info Edge (India)</t>
        </is>
      </c>
      <c r="F34" s="10" t="inlineStr">
        <is>
          <t>infoedge.com</t>
        </is>
      </c>
      <c r="G34" s="10" t="inlineStr">
        <is>
          <t>Noida, India</t>
        </is>
      </c>
      <c r="H34" s="10" t="inlineStr">
        <is>
          <t>Online recruitment, real estate, and matrimony marketplace platforms (Naukri, Naukrigulf, 99acres, Jeevansathi)</t>
        </is>
      </c>
      <c r="I34" s="10" t="inlineStr">
        <is>
          <t>5k-10k</t>
        </is>
      </c>
      <c r="J34" s="10" t="inlineStr">
        <is>
          <t>5k-10k</t>
        </is>
      </c>
      <c r="K34" s="10" t="inlineStr">
        <is>
          <t>verified-new</t>
        </is>
      </c>
      <c r="L34" s="10" t="inlineStr">
        <is>
          <t>INR 31.65B (~$381M at ~INR83/$) FY2025, up from INR 27.57B FY2024 (~15% YoY) - source: stockanalysis.com / company filings | INR 863.43B market cap (~$10.4B) as of Sept 2026 - source: companiesmarketcap.com | flags: Sector fit debatable: primarily an</t>
        </is>
      </c>
      <c r="M34" s="10" t="inlineStr">
        <is>
          <t>[VERIFIED NEW W13] India + Gulf 'precision matching' campaign timed to the region's F1 calendar (Abu Dhabi, Saudi Arabia, Qatar, Bahrain GPs), positioning Naukri/Naukrigulf as the platform connecting ambitious talent to global opportunity, into the s</t>
        </is>
      </c>
    </row>
    <row r="35">
      <c r="A35" s="10" t="n">
        <v>32</v>
      </c>
      <c r="B35" s="10" t="inlineStr">
        <is>
          <t>W3</t>
        </is>
      </c>
      <c r="C35" s="10" t="inlineStr">
        <is>
          <t>42 Health &amp; Wellness</t>
        </is>
      </c>
      <c r="D35" s="10" t="n">
        <v>92</v>
      </c>
      <c r="E35" s="10" t="inlineStr">
        <is>
          <t>Ipsen S.A.</t>
        </is>
      </c>
      <c r="F35" s="10" t="inlineStr">
        <is>
          <t>ipsen.com</t>
        </is>
      </c>
      <c r="G35" s="10" t="n"/>
      <c r="H35" s="10" t="n"/>
      <c r="I35" s="10" t="n"/>
      <c r="J35" s="10" t="inlineStr">
        <is>
          <t>unknown</t>
        </is>
      </c>
      <c r="K35" s="10" t="inlineStr">
        <is>
          <t>verified-new</t>
        </is>
      </c>
      <c r="L35" s="10" t="inlineStr">
        <is>
          <t xml:space="preserve"> |  | flags: Family-controlled (Mayroy) majority ownership - confirm sponsorship decisions can be made without extended family-holding approval chains; Input's market cap estimate ($11-12B) was understated versus verified ~$14.7-15.1B</t>
        </is>
      </c>
      <c r="M35" s="10" t="inlineStr">
        <is>
          <t xml:space="preserve">[VERIFIED NEW W3] Emphasize Ipsen's strong growth trajectory and margin expansion story, and its global specialty-pharma footprint spanning oncology, neuroscience and rare disease. | </t>
        </is>
      </c>
    </row>
    <row r="36">
      <c r="A36" s="10" t="n">
        <v>33</v>
      </c>
      <c r="B36" s="10" t="inlineStr">
        <is>
          <t>W13</t>
        </is>
      </c>
      <c r="C36" s="10" t="inlineStr">
        <is>
          <t>Machine Tools &amp; 3D Print</t>
        </is>
      </c>
      <c r="D36" s="10" t="n">
        <v>92</v>
      </c>
      <c r="E36" s="10" t="inlineStr">
        <is>
          <t>Jyoti CNC Automation Limited</t>
        </is>
      </c>
      <c r="F36" s="10" t="inlineStr">
        <is>
          <t>jyoti.co.in</t>
        </is>
      </c>
      <c r="G36" s="10" t="inlineStr">
        <is>
          <t>Rajkot, India</t>
        </is>
      </c>
      <c r="H36" s="10" t="inlineStr">
        <is>
          <t>CNC machine tools (including simultaneous 5-axis machining centers)</t>
        </is>
      </c>
      <c r="I36" s="10" t="inlineStr">
        <is>
          <t>1k-5k (confirmed 3,845 employees as of Mar 2026, up 7.9% YoY, per company filings)</t>
        </is>
      </c>
      <c r="J36" s="10" t="inlineStr">
        <is>
          <t>confirmed 3,845 employees as of Mar 2026, up 7.9% YoY, per company filings</t>
        </is>
      </c>
      <c r="K36" s="10" t="inlineStr">
        <is>
          <t>verified-new</t>
        </is>
      </c>
      <c r="L36" s="10" t="inlineStr">
        <is>
          <t>FY2025 revenue ~INR2,191 crore / INR18.18B (~$249M est), up 35.8% YoY, per Screener.in/company financial filings | Market cap ~INR23,873 crore (~$2.85B) as of Sep 18, 2026, per stockanalysis.com/NSE -- clears the $1B bar | flags: recently listed (Jan</t>
        </is>
      </c>
      <c r="M36" s="10" t="inlineStr">
        <is>
          <t>[VERIFIED NEW W13] India's fastest-growing CNC machine-tool maker (35.8% YoY revenue growth, recent IPO) expanding into aerospace/EV/semiconductor machining -- a market-timing + 'engineering India's manufacturing rise' angle in an open category. | Al</t>
        </is>
      </c>
    </row>
    <row r="37">
      <c r="A37" s="10" t="n">
        <v>34</v>
      </c>
      <c r="B37" s="10" t="inlineStr">
        <is>
          <t>W6</t>
        </is>
      </c>
      <c r="C37" s="10" t="inlineStr">
        <is>
          <t>43 Mobility &amp; Automotive</t>
        </is>
      </c>
      <c r="D37" s="10" t="n">
        <v>92</v>
      </c>
      <c r="E37" s="10" t="inlineStr">
        <is>
          <t>Knight-Swift Transportation Holdings</t>
        </is>
      </c>
      <c r="F37" s="10" t="inlineStr">
        <is>
          <t>knight-swift.com</t>
        </is>
      </c>
      <c r="G37" s="10" t="n"/>
      <c r="H37" s="10" t="n"/>
      <c r="I37" s="10" t="n"/>
      <c r="J37" s="10" t="inlineStr">
        <is>
          <t>unknown</t>
        </is>
      </c>
      <c r="K37" s="10" t="inlineStr">
        <is>
          <t>verified-new</t>
        </is>
      </c>
      <c r="L37" s="10" t="inlineStr">
        <is>
          <t>{'value': '$7.47B FY2025, up 0.8% YoY; Adjusted Operating Ratio improved to 94.1% (from 94.7%); net income down 43.9% YoY to $65.9M but Adjusted EPS up to $1.26 (from $1.06)', 'source': 'Knight-Swift 10-K / Q4 2025 earnings (SEC filings, TradingView)</t>
        </is>
      </c>
      <c r="M37" s="10" t="inlineStr">
        <is>
          <t xml:space="preserve">[VERIFIED NEW W6] 'Largest US trucking company' domestic logistics/fleet partner story, ideally for a team with strong US fan-base ties, framed at team/regional level given DHL's series category. | </t>
        </is>
      </c>
    </row>
    <row r="38">
      <c r="A38" s="10" t="n">
        <v>35</v>
      </c>
      <c r="B38" s="10" t="inlineStr">
        <is>
          <t>W8</t>
        </is>
      </c>
      <c r="C38" s="10" t="inlineStr">
        <is>
          <t>24 Logistics</t>
        </is>
      </c>
      <c r="D38" s="10" t="n">
        <v>92</v>
      </c>
      <c r="E38" s="10" t="inlineStr">
        <is>
          <t>Lineage Inc</t>
        </is>
      </c>
      <c r="F38" s="10" t="inlineStr">
        <is>
          <t>onelineage.com</t>
        </is>
      </c>
      <c r="G38" s="10" t="n"/>
      <c r="H38" s="10" t="inlineStr">
        <is>
          <t>Temperature-controlled warehouse/cold-storage logistics real estate (REIT), IPO'd July 2024</t>
        </is>
      </c>
      <c r="I38" s="10" t="n"/>
      <c r="J38" s="10" t="inlineStr">
        <is>
          <t>unknown</t>
        </is>
      </c>
      <c r="K38" s="10" t="inlineStr">
        <is>
          <t>verified-new</t>
        </is>
      </c>
      <c r="L38" s="10" t="inlineStr">
        <is>
          <t xml:space="preserve"> | ~$10.3-10.6B market cap (verified Sep 2026, NASDAQ:LINE; $10.54B per stockanalysis.com, up from $9.86B in May 2026) | flags: Newly public (July 2024 IPO) - shorter public track record; stock down materially from IPO-era valuation; Adjusted EBITDA </t>
        </is>
      </c>
      <c r="M38" s="10" t="inlineStr">
        <is>
          <t xml:space="preserve">[VERIFIED NEW W8] Global cold-chain logistics partner narrative at larger scale than Americold - ideal for a marquee 'supply chain reliability/sustainability' F1 partnership emphasizing worldwide reach and AI-driven warehouse tech. | </t>
        </is>
      </c>
    </row>
    <row r="39">
      <c r="A39" s="10" t="n">
        <v>36</v>
      </c>
      <c r="B39" s="10" t="inlineStr">
        <is>
          <t>W13</t>
        </is>
      </c>
      <c r="C39" s="10" t="inlineStr">
        <is>
          <t>Packaging &amp; Food Machinery</t>
        </is>
      </c>
      <c r="D39" s="10" t="n">
        <v>92</v>
      </c>
      <c r="E39" s="10" t="inlineStr">
        <is>
          <t>Marchesini Group S.p.A.</t>
        </is>
      </c>
      <c r="F39" s="10" t="inlineStr">
        <is>
          <t>marchesini.com</t>
        </is>
      </c>
      <c r="G39" s="10" t="inlineStr">
        <is>
          <t>Bologna, Italy</t>
        </is>
      </c>
      <c r="H39" s="10" t="inlineStr">
        <is>
          <t>Pharmaceutical and packaging machinery</t>
        </is>
      </c>
      <c r="I39" s="10" t="inlineStr">
        <is>
          <t>1k-5k (1,612 employees, per company filings)</t>
        </is>
      </c>
      <c r="J39" s="10" t="inlineStr">
        <is>
          <t>1,612 employees, per company filings</t>
        </is>
      </c>
      <c r="K39" s="10" t="inlineStr">
        <is>
          <t>verified-new</t>
        </is>
      </c>
      <c r="L39" s="10" t="inlineStr">
        <is>
          <t>EUR369.4M FY2024, per company filings (aziende.it/Bilancio 2024); net result EUR62.7M -- strong margin | n/a - family-owned, no published valuation -- passes on revenue alone | flags: family-owned, no published valuation</t>
        </is>
      </c>
      <c r="M39" s="10" t="inlineStr">
        <is>
          <t>[VERIFIED NEW W13] Precision pharma-machinery story -- Marchesini engineers the automated lines behind global medicine packaging, a 'precision at speed' angle resonant with F1 engineering culture, in an open category. | All hard filters pass: revenue</t>
        </is>
      </c>
    </row>
    <row r="40">
      <c r="A40" s="10" t="n">
        <v>37</v>
      </c>
      <c r="B40" s="10" t="inlineStr">
        <is>
          <t>W8</t>
        </is>
      </c>
      <c r="C40" s="10" t="inlineStr">
        <is>
          <t>02 Energy &amp; Industrial</t>
        </is>
      </c>
      <c r="D40" s="10" t="n">
        <v>92</v>
      </c>
      <c r="E40" s="10" t="inlineStr">
        <is>
          <t>Marubeni Corporation</t>
        </is>
      </c>
      <c r="F40" s="10" t="inlineStr">
        <is>
          <t>marubeni.com</t>
        </is>
      </c>
      <c r="G40" s="10" t="inlineStr">
        <is>
          <t>Tokyo, Japan</t>
        </is>
      </c>
      <c r="H40" s="10" t="inlineStr">
        <is>
          <t>General trading house: grain/food, power, chemicals, machinery distribution</t>
        </is>
      </c>
      <c r="I40" s="10" t="inlineStr">
        <is>
          <t>~40,000 group (10k-50k band)</t>
        </is>
      </c>
      <c r="J40" s="10" t="inlineStr">
        <is>
          <t>10k+</t>
        </is>
      </c>
      <c r="K40" s="10" t="inlineStr">
        <is>
          <t>verified-new</t>
        </is>
      </c>
      <c r="L40" s="10" t="inlineStr">
        <is>
          <t>~JPY8.4T (~$56B) revenue FY ended Mar 2025 (co. filings) | ~JPY8.1-8.6T (~$54-58B USD) market cap (WebSearch, Sept 2026, TSE:8002; up ~92% YoY, well above input est. of $30-37B) | flags: Very strong recent share-price run may mean management is focus</t>
        </is>
      </c>
      <c r="M40" s="10" t="inlineStr">
        <is>
          <t>[VERIFIED NEW W8] Growth/momentum narrative - align F1 sponsorship pitch with Marubeni's current investor-facing 'value creation' story and food/energy supply-chain visibility. | Large, highly profitable, fast-growing private-sector trading house wit</t>
        </is>
      </c>
    </row>
    <row r="41">
      <c r="A41" s="10" t="n">
        <v>38</v>
      </c>
      <c r="B41" s="10" t="inlineStr">
        <is>
          <t>W1</t>
        </is>
      </c>
      <c r="C41" s="10" t="inlineStr">
        <is>
          <t>16 Travel &amp; Hospitality</t>
        </is>
      </c>
      <c r="D41" s="10" t="n">
        <v>92</v>
      </c>
      <c r="E41" s="10" t="inlineStr">
        <is>
          <t>Oetker Collection</t>
        </is>
      </c>
      <c r="F41" s="10" t="inlineStr">
        <is>
          <t>oetkercollection.com</t>
        </is>
      </c>
      <c r="G41" s="10" t="inlineStr">
        <is>
          <t>Paris, France / Bielefeld, Germany</t>
        </is>
      </c>
      <c r="H41" s="10" t="inlineStr">
        <is>
          <t>ultra-luxury hotel portfolio (Hotel du Cap-Eden-Roc, Le Bristol Paris, The Lanesborough, Eden Rock-St Barths, and others</t>
        </is>
      </c>
      <c r="I41" s="10" t="inlineStr">
        <is>
          <t>1,000-5,000</t>
        </is>
      </c>
      <c r="J41" s="10" t="inlineStr">
        <is>
          <t>5k-10k</t>
        </is>
      </c>
      <c r="K41" s="10" t="inlineStr">
        <is>
          <t>verified-new</t>
        </is>
      </c>
      <c r="L41" s="10" t="inlineStr">
        <is>
          <t xml:space="preserve">~EUR141M (hotel-division-specific, FY2025, +1.3% YoY) - note the wider 'Oetker Collection'/Oetker Group corporate reporting cites ~EUR2.57B, but that figure spans the full Oetker Group conglomerate (food, banking, shipping-legacy interests), not the </t>
        </is>
      </c>
      <c r="M41" s="10" t="inlineStr">
        <is>
          <t>[VERIFIED NEW W1] Ultra-luxury VIP retreat partner angle - Hotel du Cap-Eden-Roc or Le Bristol Paris as the exclusive off-track hospitality partner for Monaco/French GP weekends; coordinate messaging with any parallel Dr. Oetker (F&amp;B) outreach via th</t>
        </is>
      </c>
    </row>
    <row r="42">
      <c r="A42" s="10" t="n">
        <v>39</v>
      </c>
      <c r="B42" s="10" t="inlineStr">
        <is>
          <t>W7</t>
        </is>
      </c>
      <c r="C42" s="10" t="inlineStr">
        <is>
          <t>02 Energy &amp; Industrial</t>
        </is>
      </c>
      <c r="D42" s="10" t="n">
        <v>92</v>
      </c>
      <c r="E42" s="10" t="inlineStr">
        <is>
          <t>Ormat Technologies</t>
        </is>
      </c>
      <c r="F42" s="10" t="inlineStr">
        <is>
          <t>ormat.com</t>
        </is>
      </c>
      <c r="G42" s="10" t="n"/>
      <c r="H42" s="10" t="inlineStr">
        <is>
          <t xml:space="preserve">Geothermal and battery-storage power generation and geothermal equipment, sold as power (PPAs) and turnkey equipment to </t>
        </is>
      </c>
      <c r="I42" s="10" t="n"/>
      <c r="J42" s="10" t="inlineStr">
        <is>
          <t>unknown</t>
        </is>
      </c>
      <c r="K42" s="10" t="inlineStr">
        <is>
          <t>verified-new</t>
        </is>
      </c>
      <c r="L42" s="10" t="inlineStr">
        <is>
          <t xml:space="preserve"> |  | flags: not F1-tied; not state-owned; dual US/Israel HQ - geopolitical sensitivity worth noting but not disqualifying; market cap updated upward from estimate</t>
        </is>
      </c>
      <c r="M42" s="10" t="inlineStr">
        <is>
          <t>[VERIFIED NEW W7] Unique 'always-on clean baseload power' narrative - no other geothermal brand is in the F1 paddock, differentiates from wind/solar sponsors already in market; pairs well with Net Zero 2030 messaging. | Only large-cap pure-play geoth</t>
        </is>
      </c>
    </row>
    <row r="43">
      <c r="A43" s="10" t="n">
        <v>40</v>
      </c>
      <c r="B43" s="10" t="inlineStr">
        <is>
          <t>W1</t>
        </is>
      </c>
      <c r="C43" s="10" t="inlineStr">
        <is>
          <t>53 Consumer &amp; Lifestyle</t>
        </is>
      </c>
      <c r="D43" s="10" t="n">
        <v>92</v>
      </c>
      <c r="E43" s="10" t="inlineStr">
        <is>
          <t>POP MART International Group Limited</t>
        </is>
      </c>
      <c r="F43" s="10" t="inlineStr">
        <is>
          <t>popmart.com</t>
        </is>
      </c>
      <c r="G43" s="10" t="inlineStr">
        <is>
          <t>Beijing, China</t>
        </is>
      </c>
      <c r="H43" s="10" t="inlineStr">
        <is>
          <t>Designer/collectible toys (Labubu and other IP) sold globally via retail, blind-box and e-commerce</t>
        </is>
      </c>
      <c r="I43" s="10" t="inlineStr">
        <is>
          <t>5K-10K (~9,000)</t>
        </is>
      </c>
      <c r="J43" s="10" t="inlineStr">
        <is>
          <t>10k+</t>
        </is>
      </c>
      <c r="K43" s="10" t="inlineStr">
        <is>
          <t>verified-new</t>
        </is>
      </c>
      <c r="L43" s="10" t="inlineStr">
        <is>
          <t>RMB37.12B (~$5.1B) FY2025, +184.71% YoY; net profit RMB13.0B, +293.3% YoY; overseas revenue +291.9% YoY (Americas +748.4%) — source: company FY2025 annual results (reported Mar 27, 2026) | ~$26.73B market cap as of Aug 2026, consistent with input's c</t>
        </is>
      </c>
      <c r="M43" s="10" t="inlineStr">
        <is>
          <t xml:space="preserve">[VERIFIED NEW W1] Exclusive F1-branded blind-box/collectible figure drops timed to marquee races (Miami, Las Vegas, Shanghai), leveraging POP MART's retail presence in host cities and its youth-collector fanbase. | A fast-growing, highly profitable, </t>
        </is>
      </c>
    </row>
    <row r="44">
      <c r="A44" s="10" t="n">
        <v>41</v>
      </c>
      <c r="B44" s="10" t="inlineStr">
        <is>
          <t>W13</t>
        </is>
      </c>
      <c r="C44" s="10" t="inlineStr">
        <is>
          <t>Automation &amp; Robotics</t>
        </is>
      </c>
      <c r="D44" s="10" t="n">
        <v>92</v>
      </c>
      <c r="E44" s="10" t="inlineStr">
        <is>
          <t>Phoenix Contact GmbH &amp; Co. KG</t>
        </is>
      </c>
      <c r="F44" s="10" t="inlineStr">
        <is>
          <t>phoenixcontact.com</t>
        </is>
      </c>
      <c r="G44" s="10" t="inlineStr">
        <is>
          <t>Blomberg, Germany</t>
        </is>
      </c>
      <c r="H44" s="10" t="inlineStr">
        <is>
          <t>Industrial connectivity, automation and electrification components sold in 100+ countries</t>
        </is>
      </c>
      <c r="I44" s="10" t="inlineStr">
        <is>
          <t>10k+ (~22,000 employees group-wide, per company communications, 2022-2025)</t>
        </is>
      </c>
      <c r="J44" s="10" t="inlineStr">
        <is>
          <t>~22,000 employees group-wide, per company communications, 2022-2025</t>
        </is>
      </c>
      <c r="K44" s="10" t="inlineStr">
        <is>
          <t>verified-new</t>
        </is>
      </c>
      <c r="L44" s="10" t="inlineStr">
        <is>
          <t xml:space="preserve">EUR3.04B in FY2024 (source: company disclosures cited via Zippia/craft.co, 2024); FY2024/2025 guidance from CEO Ulrich Leidecker anticipated revenue softening to ~EUR3.0B amid inventory de-stocking and geopolitical headwinds | n/a - family-owned, no </t>
        </is>
      </c>
      <c r="M44" s="10" t="inlineStr">
        <is>
          <t>[VERIFIED NEW W13] Industrial IoT/connectivity-powers-performance narrative: Phoenix Contact's connectivity and automation components could be framed as the 'nervous system' technology behind trackside and factory data systems (est). | All hard filte</t>
        </is>
      </c>
    </row>
    <row r="45">
      <c r="A45" s="10" t="n">
        <v>42</v>
      </c>
      <c r="B45" s="10" t="inlineStr">
        <is>
          <t>W1</t>
        </is>
      </c>
      <c r="C45" s="10" t="inlineStr">
        <is>
          <t>04 Food &amp; Beverage</t>
        </is>
      </c>
      <c r="D45" s="10" t="n">
        <v>92</v>
      </c>
      <c r="E45" s="10" t="inlineStr">
        <is>
          <t>Raising Cane's Chicken Fingers</t>
        </is>
      </c>
      <c r="F45" s="10" t="inlineStr">
        <is>
          <t>raisingcanes.com</t>
        </is>
      </c>
      <c r="G45" s="10" t="inlineStr">
        <is>
          <t>Plano, Texas, USA</t>
        </is>
      </c>
      <c r="H45" s="10" t="inlineStr">
        <is>
          <t>Quick-service chicken restaurant chain, national US + international expansion</t>
        </is>
      </c>
      <c r="I45" s="10" t="inlineStr">
        <is>
          <t>~50,000 employees (est., 1,000+ restaurants)</t>
        </is>
      </c>
      <c r="J45" s="10" t="inlineStr">
        <is>
          <t>10k+</t>
        </is>
      </c>
      <c r="K45" s="10" t="inlineStr">
        <is>
          <t>verified-new</t>
        </is>
      </c>
      <c r="L45" s="10" t="inlineStr">
        <is>
          <t>$5.6B systemwide sales (2025, trade press/Forbes reporting) | Founder-owned, no published valuation (private)</t>
        </is>
      </c>
      <c r="M45" s="10" t="inlineStr">
        <is>
          <t>[VERIFIED NEW W1] Youth-culture/fan-engagement partnership tied to US GP weekends (Miami, Las Vegas, Austin) — trackside QSR activation, driver partnerships, and 'Caniac' fan-club crossover promotions. | Best overall fit in the batch: strong growth t</t>
        </is>
      </c>
    </row>
    <row r="46">
      <c r="A46" s="10" t="n">
        <v>43</v>
      </c>
      <c r="B46" s="10" t="inlineStr">
        <is>
          <t>W8</t>
        </is>
      </c>
      <c r="C46" s="10" t="inlineStr">
        <is>
          <t>18 Services &amp; Other</t>
        </is>
      </c>
      <c r="D46" s="10" t="n">
        <v>92</v>
      </c>
      <c r="E46" s="10" t="inlineStr">
        <is>
          <t>Realty Income Corporation</t>
        </is>
      </c>
      <c r="F46" s="10" t="inlineStr">
        <is>
          <t>realtyincome.com</t>
        </is>
      </c>
      <c r="G46" s="10" t="n"/>
      <c r="H46" s="10" t="inlineStr">
        <is>
          <t>Diversified net-lease real estate (retail, industrial, gaming) - "The Monthly Dividend Company" (REIT)</t>
        </is>
      </c>
      <c r="I46" s="10" t="n"/>
      <c r="J46" s="10" t="inlineStr">
        <is>
          <t>unknown</t>
        </is>
      </c>
      <c r="K46" s="10" t="inlineStr">
        <is>
          <t>verified-new</t>
        </is>
      </c>
      <c r="L46" s="10" t="inlineStr">
        <is>
          <t xml:space="preserve"> | ~$54B market cap (verified Sep 16-18, 2026, NYSE:O per stockanalysis.com/seekingalpha) - consistent with original estimate</t>
        </is>
      </c>
      <c r="M46" s="10" t="inlineStr">
        <is>
          <t>[VERIFIED NEW W8] High consumer-brand-recognition REIT partner - leverage 'The Monthly Dividend Company' consumer trust/reliability positioning for a broad-audience F1 hospitality or fan-engagement partnership rather than a purely B2B logistics angle</t>
        </is>
      </c>
    </row>
    <row r="47">
      <c r="A47" s="10" t="n">
        <v>44</v>
      </c>
      <c r="B47" s="10" t="inlineStr">
        <is>
          <t>W13</t>
        </is>
      </c>
      <c r="C47" s="10" t="inlineStr">
        <is>
          <t>DC Power &amp; Cooling</t>
        </is>
      </c>
      <c r="D47" s="10" t="n">
        <v>92</v>
      </c>
      <c r="E47" s="10" t="inlineStr">
        <is>
          <t>Rittal GmbH &amp; Co. KG (Friedhelm Loh Group)</t>
        </is>
      </c>
      <c r="F47" s="10" t="inlineStr">
        <is>
          <t>rittal.com</t>
        </is>
      </c>
      <c r="G47" s="10" t="inlineStr">
        <is>
          <t>Herborn, Germany</t>
        </is>
      </c>
      <c r="H47" s="10" t="inlineStr">
        <is>
          <t>Enclosures, cooling and DC power infrastructure for data centers and industry</t>
        </is>
      </c>
      <c r="I47" s="10" t="inlineStr">
        <is>
          <t>10k+ (Rittal alone cited at 12,000+; Friedhelm Loh Group ~15,000+ across 95+ international subsidiaries)</t>
        </is>
      </c>
      <c r="J47" s="10" t="inlineStr">
        <is>
          <t>Rittal alone cited at 12,000+; Friedhelm Loh Group ~15,000+ across 95+ international subsidiaries</t>
        </is>
      </c>
      <c r="K47" s="10" t="inlineStr">
        <is>
          <t>verified-new</t>
        </is>
      </c>
      <c r="L47" s="10" t="inlineStr">
        <is>
          <t>Friedhelm Loh Group revenue EUR3.1B (2024) growing to EUR3.2B (2025), per company reporting/Wikipedia -- growing YoY | n/a - family-owned, no published valuation (private) -- passes on revenue alone | flags: family-owned, no published valuation</t>
        </is>
      </c>
      <c r="M47" s="10" t="inlineStr">
        <is>
          <t>[VERIFIED NEW W13] Data-center infrastructure boom angle -- Rittal's cooling/enclosure technology underpins the AI/data-center buildout, a live 'powering performance infrastructure' story that ties directly to F1's own technology-partner narrative, i</t>
        </is>
      </c>
    </row>
    <row r="48">
      <c r="A48" s="10" t="n">
        <v>45</v>
      </c>
      <c r="B48" s="10" t="inlineStr">
        <is>
          <t>W13</t>
        </is>
      </c>
      <c r="C48" s="10" t="inlineStr">
        <is>
          <t>Test &amp; Measurement</t>
        </is>
      </c>
      <c r="D48" s="10" t="n">
        <v>92</v>
      </c>
      <c r="E48" s="10" t="inlineStr">
        <is>
          <t>Rohde &amp; Schwarz GmbH &amp; Co KG</t>
        </is>
      </c>
      <c r="F48" s="10" t="inlineStr">
        <is>
          <t>rohde-schwarz.com</t>
        </is>
      </c>
      <c r="G48" s="10" t="inlineStr">
        <is>
          <t>Munich, Germany</t>
        </is>
      </c>
      <c r="H48" s="10" t="inlineStr">
        <is>
          <t>RF/microwave test equipment, broadcast, cybersecurity and secure communications, to a broad global customer base across telecom, defense, automotive and broadcast</t>
        </is>
      </c>
      <c r="I48" s="10" t="inlineStr">
        <is>
          <t>10k+ (&gt;15,000 employees group-wide, ~10,000 in Germany, FY2024/25 company release)</t>
        </is>
      </c>
      <c r="J48" s="10" t="inlineStr">
        <is>
          <t>&gt;15,000 employees group-wide, ~10,000 in Germany, FY2024/25 company release</t>
        </is>
      </c>
      <c r="K48" s="10" t="inlineStr">
        <is>
          <t>verified-new</t>
        </is>
      </c>
      <c r="L48" s="10" t="inlineStr">
        <is>
          <t>€3.16B FY2024/25, +7.8% YoY, first time above €3B, record order backlog &gt;€5B (Rohde &amp; Schwarz press release, Nov 28, 2025) | Family-owned, no published valuation - passes on revenue alone per policy | flags: family-owned</t>
        </is>
      </c>
      <c r="M48" s="10" t="inlineStr">
        <is>
          <t>[VERIFIED NEW W13] Anchor on R&amp;S's core competency in precision timing, RF and broadcast technology - the invisible infrastructure behind live sports broadcast and telemetry - positioning R&amp;S as the 'signal integrity' partner to F1's technology story</t>
        </is>
      </c>
    </row>
    <row r="49">
      <c r="A49" s="10" t="n">
        <v>46</v>
      </c>
      <c r="B49" s="10" t="inlineStr">
        <is>
          <t>W13</t>
        </is>
      </c>
      <c r="C49" s="10" t="inlineStr">
        <is>
          <t>IoT &amp; Connectivity</t>
        </is>
      </c>
      <c r="D49" s="10" t="n">
        <v>92</v>
      </c>
      <c r="E49" s="10" t="inlineStr">
        <is>
          <t>Ruijie Networks Co., Ltd.</t>
        </is>
      </c>
      <c r="F49" s="10" t="inlineStr">
        <is>
          <t>ruijie.com</t>
        </is>
      </c>
      <c r="G49" s="10" t="inlineStr">
        <is>
          <t>Fuzhou, China</t>
        </is>
      </c>
      <c r="H49" s="10" t="inlineStr">
        <is>
          <t>Enterprise networking and IoT connectivity equipment, sold in 140+ countries via 1,400+ Tier-2 partners, to enterprise, education, government and international customers</t>
        </is>
      </c>
      <c r="I49" s="10" t="inlineStr">
        <is>
          <t>5k-10k (6,681-6,701 employees, 2025-2026, stockanalysis.com/Revelio Labs)</t>
        </is>
      </c>
      <c r="J49" s="10" t="inlineStr">
        <is>
          <t>6,681-6,701 employees, 2025-2026, stockanalysis.com/Revelio Labs</t>
        </is>
      </c>
      <c r="K49" s="10" t="inlineStr">
        <is>
          <t>verified-new</t>
        </is>
      </c>
      <c r="L49" s="10" t="inlineStr">
        <is>
          <t>RMB 14.32B (~$2.0B) FY2025, +22.37% YoY; overseas revenue growing even faster (+42-85% YoY across recent periods) (stockanalysis.com; BigGo Finance, 2026) | ~RMB 130.9B (~$18.4B) market cap as of Sept 18, 2026 (stockanalysis.com) | flags: internation</t>
        </is>
      </c>
      <c r="M49" s="10" t="inlineStr">
        <is>
          <t>[VERIFIED NEW W13] Frame Ruijie as the AI-native networking backbone for global enterprise, leveraging its rapid international expansion (140+ countries) to use F1 as a platform for its overseas brand-building push, in the still-open enterprise-netwo</t>
        </is>
      </c>
    </row>
    <row r="50">
      <c r="A50" s="10" t="n">
        <v>47</v>
      </c>
      <c r="B50" s="10" t="inlineStr">
        <is>
          <t>W13</t>
        </is>
      </c>
      <c r="C50" s="10" t="inlineStr">
        <is>
          <t>Packaging &amp; Food Machinery</t>
        </is>
      </c>
      <c r="D50" s="10" t="n">
        <v>92</v>
      </c>
      <c r="E50" s="10" t="inlineStr">
        <is>
          <t>SACMI Imola S.C.</t>
        </is>
      </c>
      <c r="F50" s="10" t="inlineStr">
        <is>
          <t>sacmi.com</t>
        </is>
      </c>
      <c r="G50" s="10" t="inlineStr">
        <is>
          <t>Imola, Italy</t>
        </is>
      </c>
      <c r="H50" s="10" t="inlineStr">
        <is>
          <t>Packaging, ceramics and beverage processing machinery, global</t>
        </is>
      </c>
      <c r="I50" s="10" t="inlineStr">
        <is>
          <t>1k-5k (4,756 employees at end of 2024, per SACMI Group 2024 results)</t>
        </is>
      </c>
      <c r="J50" s="10" t="inlineStr">
        <is>
          <t>4,756 employees at end of 2024, per SACMI Group 2024 results</t>
        </is>
      </c>
      <c r="K50" s="10" t="inlineStr">
        <is>
          <t>verified-new</t>
        </is>
      </c>
      <c r="L50" s="10" t="inlineStr">
        <is>
          <t>EUR1.728B in 2024, a record year (+12% per some coverage); net profit &gt;EUR200M, EBITDA &gt;EUR323M (source: SACMI Group 2024 results, sacmi.it, 2025) | n/a - cooperative-owned, no published valuation; passes on revenue alone under the family/cooperative</t>
        </is>
      </c>
      <c r="M50" s="10" t="inlineStr">
        <is>
          <t>[VERIFIED NEW W13] Italian precision-engineering and 'record year' growth-momentum story, positioned alongside (or in place of) GEA Group in the Packaging &amp; Food Machinery slot given the two overlap (est). | All hard filters pass: revenue EUR1.728B c</t>
        </is>
      </c>
    </row>
    <row r="51">
      <c r="A51" s="10" t="n">
        <v>48</v>
      </c>
      <c r="B51" s="10" t="inlineStr">
        <is>
          <t>W13</t>
        </is>
      </c>
      <c r="C51" s="10" t="inlineStr">
        <is>
          <t>Machine Tools &amp; 3D Print</t>
        </is>
      </c>
      <c r="D51" s="10" t="n">
        <v>92</v>
      </c>
      <c r="E51" s="10" t="inlineStr">
        <is>
          <t>SCM Group S.p.A.</t>
        </is>
      </c>
      <c r="F51" s="10" t="inlineStr">
        <is>
          <t>scmgroup.com</t>
        </is>
      </c>
      <c r="G51" s="10" t="inlineStr">
        <is>
          <t>Rimini, Italy</t>
        </is>
      </c>
      <c r="H51" s="10" t="inlineStr">
        <is>
          <t>Woodworking and composite processing machinery</t>
        </is>
      </c>
      <c r="I51" s="10" t="inlineStr">
        <is>
          <t>1k-5k (cited range 1,000-5,000 employees; 26 locations worldwide)</t>
        </is>
      </c>
      <c r="J51" s="10" t="inlineStr">
        <is>
          <t>cited range 1,000-5,000 employees; 26 locations worldwide</t>
        </is>
      </c>
      <c r="K51" s="10" t="inlineStr">
        <is>
          <t>verified-new</t>
        </is>
      </c>
      <c r="L51" s="10" t="inlineStr">
        <is>
          <t>EUR900M consolidated group revenue, FY2024 (as of Dec 31, 2024), per SCM Group press release/RiminiToday (reported ~March 2025); parent SCM Group SpA standalone revenue EUR406.6M FY2024 with net profit EUR8.4M | n/a - family-owned, no published valua</t>
        </is>
      </c>
      <c r="M51" s="10" t="inlineStr">
        <is>
          <t xml:space="preserve">[VERIFIED NEW W13] Precision woodworking/composite-machinery technology story -- 'engineering the machines that shape performance materials' -- targeting the DACH/Italy manufacturing-technology seam, in a category not currently represented on the F1 </t>
        </is>
      </c>
    </row>
    <row r="52">
      <c r="A52" s="10" t="n">
        <v>49</v>
      </c>
      <c r="B52" s="10" t="inlineStr">
        <is>
          <t>W7</t>
        </is>
      </c>
      <c r="C52" s="10" t="inlineStr">
        <is>
          <t>02 Energy &amp; Industrial</t>
        </is>
      </c>
      <c r="D52" s="10" t="n">
        <v>92</v>
      </c>
      <c r="E52" s="10" t="inlineStr">
        <is>
          <t>SLB (Schlumberger)</t>
        </is>
      </c>
      <c r="F52" s="10" t="inlineStr">
        <is>
          <t>slb.com</t>
        </is>
      </c>
      <c r="G52" s="10" t="n"/>
      <c r="H52" s="10" t="inlineStr">
        <is>
          <t>Oilfield services, drilling technology, digital/AI subsurface software and new-energy (CCS, hydrogen, geothermal) soluti</t>
        </is>
      </c>
      <c r="I52" s="10" t="n"/>
      <c r="J52" s="10" t="inlineStr">
        <is>
          <t>unknown</t>
        </is>
      </c>
      <c r="K52" s="10" t="inlineStr">
        <is>
          <t>verified-new</t>
        </is>
      </c>
      <c r="L52" s="10" t="inlineStr">
        <is>
          <t>$35.71B FY2025, -1.6% YoY (macrotrends.net); TTM June 2026 $36.37B, +2.5% YoY (recovering) |  | flags: FY2025 revenue declined slightly YoY (oilfield-services cyclicality); true global footprint means complex multi-market sponsorship coordination</t>
        </is>
      </c>
      <c r="M52" s="10" t="inlineStr">
        <is>
          <t xml:space="preserve">[VERIFIED NEW W7] Global technical/engineering partner - New Energy (CCS, hydrogen, geothermal, lithium) innovation narrative as an official technology partner across the full F1 calendar. | </t>
        </is>
      </c>
    </row>
    <row r="53">
      <c r="A53" s="10" t="n">
        <v>50</v>
      </c>
      <c r="B53" s="10" t="inlineStr">
        <is>
          <t>W6</t>
        </is>
      </c>
      <c r="C53" s="10" t="inlineStr">
        <is>
          <t>43 Mobility &amp; Automotive</t>
        </is>
      </c>
      <c r="D53" s="10" t="n">
        <v>92</v>
      </c>
      <c r="E53" s="10" t="inlineStr">
        <is>
          <t>Samvardhana Motherson International Limited</t>
        </is>
      </c>
      <c r="F53" s="10" t="inlineStr">
        <is>
          <t>motherson.com</t>
        </is>
      </c>
      <c r="G53" s="10" t="inlineStr">
        <is>
          <t>Noida, India</t>
        </is>
      </c>
      <c r="H53" s="10" t="inlineStr">
        <is>
          <t>Auto components - mirrors, wiring harnesses, modules and interiors for global OEMs</t>
        </is>
      </c>
      <c r="I53" s="10" t="inlineStr">
        <is>
          <t>~190,000</t>
        </is>
      </c>
      <c r="J53" s="10" t="inlineStr">
        <is>
          <t>10k+</t>
        </is>
      </c>
      <c r="K53" s="10" t="inlineStr">
        <is>
          <t>verified-new</t>
        </is>
      </c>
      <c r="L53" s="10" t="inlineStr">
        <is>
          <t>~$13.4B FY2025 (ended Mar 2025), up from ~$11.8B FY2024 (company/press reporting); figures vary $12-13.4B across sources depending on currency/FY convention | ~$18.1B market cap as of 11-18 Sep 2026 (PitchBook; screener.in shows ~₹1.71-1.79T) | flags</t>
        </is>
      </c>
      <c r="M53" s="10" t="inlineStr">
        <is>
          <t>[VERIFIED NEW W6] Global engineering-partner narrative: wiring-harness, mirror and camera-module technology ties to F1 telemetry and driver-vision systems; India-based HQ dovetails with F1's growing Indian fan base and any future India-market activat</t>
        </is>
      </c>
    </row>
    <row r="54">
      <c r="A54" s="10" t="n">
        <v>51</v>
      </c>
      <c r="B54" s="10" t="inlineStr">
        <is>
          <t>W8</t>
        </is>
      </c>
      <c r="C54" s="10" t="inlineStr">
        <is>
          <t>02 Energy &amp; Industrial</t>
        </is>
      </c>
      <c r="D54" s="10" t="n">
        <v>92</v>
      </c>
      <c r="E54" s="10" t="inlineStr">
        <is>
          <t>Sojitz Corporation</t>
        </is>
      </c>
      <c r="F54" s="10" t="inlineStr">
        <is>
          <t>sojitz.com</t>
        </is>
      </c>
      <c r="G54" s="10" t="inlineStr">
        <is>
          <t>Tokyo, Japan</t>
        </is>
      </c>
      <c r="H54" s="10" t="inlineStr">
        <is>
          <t>General trading house: energy, chemicals, machinery, consumer goods distribution</t>
        </is>
      </c>
      <c r="I54" s="10" t="inlineStr">
        <is>
          <t>~20,000 group (10k-50k band)</t>
        </is>
      </c>
      <c r="J54" s="10" t="inlineStr">
        <is>
          <t>10k+</t>
        </is>
      </c>
      <c r="K54" s="10" t="inlineStr">
        <is>
          <t>verified-new</t>
        </is>
      </c>
      <c r="L54" s="10" t="inlineStr">
        <is>
          <t>~JPY2.4T (~$16B) revenue FY ended Mar 2025 (co. filings) | ~JPY1.18-1.34T (~$8-9B USD) market cap (WebSearch, Sept 2026, TSE:2768; up ~46% YoY, in line with input est.) | flags: Smaller / less internationally recognized brand than the 'big five' shos</t>
        </is>
      </c>
      <c r="M54" s="10" t="inlineStr">
        <is>
          <t>[VERIFIED NEW W8] Position as an underexposed-but-growing Japanese trading house looking to build international brand recognition outside Japan - F1 as a global stage differentiator versus larger, already sports-saturated peers. | Private-sector, pro</t>
        </is>
      </c>
    </row>
    <row r="55">
      <c r="A55" s="10" t="n">
        <v>52</v>
      </c>
      <c r="B55" s="10" t="inlineStr">
        <is>
          <t>W3</t>
        </is>
      </c>
      <c r="C55" s="10" t="inlineStr">
        <is>
          <t>42 Health &amp; Wellness</t>
        </is>
      </c>
      <c r="D55" s="10" t="n">
        <v>92</v>
      </c>
      <c r="E55" s="10" t="inlineStr">
        <is>
          <t>Sonova Holding AG</t>
        </is>
      </c>
      <c r="F55" s="10" t="inlineStr">
        <is>
          <t>sonova.com</t>
        </is>
      </c>
      <c r="G55" s="10" t="inlineStr">
        <is>
          <t>Switzerland</t>
        </is>
      </c>
      <c r="H55" s="10" t="inlineStr">
        <is>
          <t>Hearing aids (Phonak, Unitron) sold to audiologists and patients</t>
        </is>
      </c>
      <c r="I55" s="10" t="inlineStr">
        <is>
          <t>10,000-25,000 (~18,000 est)</t>
        </is>
      </c>
      <c r="J55" s="10" t="inlineStr">
        <is>
          <t>10k+</t>
        </is>
      </c>
      <c r="K55" s="10" t="inlineStr">
        <is>
          <t>verified-new</t>
        </is>
      </c>
      <c r="L55" s="10" t="inlineStr">
        <is>
          <t>FY2025/26 group sales CHF 3,605.9M (~$4.08B USD), +5.9% local-currency growth, normalized EBITA +17.3% (WebSearch, sonova.com results release) | ~$17.3B market cap as of Sep 4, 2026 (stockanalysis.com) | flags: dignity framing required - hearing-impa</t>
        </is>
      </c>
      <c r="M55" s="10" t="inlineStr">
        <is>
          <t>[VERIFIED NEW W3] "Hear every millisecond" - acoustic-engineering precision paired with trackside sound/telemetry storytelling; premium senior/affluent hearing-aid buyers. | Mega-cap ($17.3B), improving profitability (EBITA +17.3%), strong senior/aff</t>
        </is>
      </c>
    </row>
    <row r="56">
      <c r="A56" s="10" t="n">
        <v>53</v>
      </c>
      <c r="B56" s="10" t="inlineStr">
        <is>
          <t>W3</t>
        </is>
      </c>
      <c r="C56" s="10" t="inlineStr">
        <is>
          <t>42 Health &amp; Wellness</t>
        </is>
      </c>
      <c r="D56" s="10" t="n">
        <v>92</v>
      </c>
      <c r="E56" s="10" t="inlineStr">
        <is>
          <t>Straumann Holding AG</t>
        </is>
      </c>
      <c r="F56" s="10" t="inlineStr">
        <is>
          <t>straumann.com</t>
        </is>
      </c>
      <c r="G56" s="10" t="inlineStr">
        <is>
          <t>Switzerland</t>
        </is>
      </c>
      <c r="H56" s="10" t="inlineStr">
        <is>
          <t>Dental implants and clear aligners sold to dentists and dental clinics</t>
        </is>
      </c>
      <c r="I56" s="10" t="inlineStr">
        <is>
          <t>10,000-25,000 (~11,000 est)</t>
        </is>
      </c>
      <c r="J56" s="10" t="inlineStr">
        <is>
          <t>10k+</t>
        </is>
      </c>
      <c r="K56" s="10" t="inlineStr">
        <is>
          <t>verified-new</t>
        </is>
      </c>
      <c r="L56" s="10" t="inlineStr">
        <is>
          <t>FY2025 revenue CHF 2.6B (~$2.94B USD), +8.9% organic growth, core EBIT margin 26.5% (WebSearch, company FY2025 report) | ~CHF 14.86B / ~$16.8B USD market cap as of Aug 28, 2026 (marketscreener.com/mlq.ai) | flags: premium/elective dental work could r</t>
        </is>
      </c>
      <c r="M56" s="10" t="inlineStr">
        <is>
          <t>[VERIFIED NEW W3] "Precision smiles, precision engineering" - premium implant/aligner manufacturing tolerances positioned like race-car materials science; global, affluent dental-patient audience. | Mega-cap (~$16.8B), highly profitable (26.5% margin</t>
        </is>
      </c>
    </row>
    <row r="57">
      <c r="A57" s="10" t="n">
        <v>54</v>
      </c>
      <c r="B57" s="10" t="inlineStr">
        <is>
          <t>W8</t>
        </is>
      </c>
      <c r="C57" s="10" t="inlineStr">
        <is>
          <t>02 Energy &amp; Industrial</t>
        </is>
      </c>
      <c r="D57" s="10" t="n">
        <v>92</v>
      </c>
      <c r="E57" s="10" t="inlineStr">
        <is>
          <t>Sumitomo Corporation</t>
        </is>
      </c>
      <c r="F57" s="10" t="inlineStr">
        <is>
          <t>sumitomocorp.com</t>
        </is>
      </c>
      <c r="G57" s="10" t="inlineStr">
        <is>
          <t>Tokyo, Japan</t>
        </is>
      </c>
      <c r="H57" s="10" t="inlineStr">
        <is>
          <t>General trading house: metals, transportation/construction systems, media/digital, living-related goods</t>
        </is>
      </c>
      <c r="I57" s="10" t="inlineStr">
        <is>
          <t>~75,000 group (50k-100k band)</t>
        </is>
      </c>
      <c r="J57" s="10" t="inlineStr">
        <is>
          <t>10k+</t>
        </is>
      </c>
      <c r="K57" s="10" t="inlineStr">
        <is>
          <t>verified-new</t>
        </is>
      </c>
      <c r="L57" s="10" t="inlineStr">
        <is>
          <t>~JPY6.8T (~$45B) revenue FY ended Mar 2025 (co. filings) | ~JPY7.3-7.4T (~$50B USD) market cap (WebSearch, Sept 2026, TSE:8053; up ~62% YoY, well above input est. of $27-32B) | flags: Brand-confusion risk with separately-listed Sumitomo Electric/Sumi</t>
        </is>
      </c>
      <c r="M57" s="10" t="inlineStr">
        <is>
          <t>[VERIFIED NEW W8] Media/digital division angle (Sumitomo Corp has a media &amp; digital business unit) could tie into F1's broadcast/fan-engagement ecosystem as a differentiated entry point versus commodity-only trading houses. | Large, profitable, growi</t>
        </is>
      </c>
    </row>
    <row r="58">
      <c r="A58" s="10" t="n">
        <v>55</v>
      </c>
      <c r="B58" s="10" t="inlineStr">
        <is>
          <t>W3</t>
        </is>
      </c>
      <c r="C58" s="10" t="inlineStr">
        <is>
          <t>42 Health &amp; Wellness</t>
        </is>
      </c>
      <c r="D58" s="10" t="n">
        <v>92</v>
      </c>
      <c r="E58" s="10" t="inlineStr">
        <is>
          <t>Sun Pharmaceutical Industries Ltd.</t>
        </is>
      </c>
      <c r="F58" s="10" t="inlineStr">
        <is>
          <t>sunpharma.com</t>
        </is>
      </c>
      <c r="G58" s="10" t="n"/>
      <c r="H58" s="10" t="n"/>
      <c r="I58" s="10" t="n"/>
      <c r="J58" s="10" t="inlineStr">
        <is>
          <t>unknown</t>
        </is>
      </c>
      <c r="K58" s="10" t="inlineStr">
        <is>
          <t>verified-new</t>
        </is>
      </c>
      <c r="L58" s="10" t="inlineStr">
        <is>
          <t xml:space="preserve"> |  | flags: No prior global motorsport sponsorship experience (cricket/IPL is its only major sports platform so far) - first F1 activation would be a step-change, not an extension</t>
        </is>
      </c>
      <c r="M58" s="10" t="inlineStr">
        <is>
          <t xml:space="preserve">[VERIFIED NEW W3] Pitch F1 as the natural global-stage extension of Sun Pharma's newly announced IPL/RCB sports sponsorship strategy, translating domestic cricket sponsorship success into international brand-building. | </t>
        </is>
      </c>
    </row>
    <row r="59">
      <c r="A59" s="10" t="n">
        <v>56</v>
      </c>
      <c r="B59" s="10" t="inlineStr">
        <is>
          <t>W7</t>
        </is>
      </c>
      <c r="C59" s="10" t="inlineStr">
        <is>
          <t>02 Energy &amp; Industrial</t>
        </is>
      </c>
      <c r="D59" s="10" t="n">
        <v>92</v>
      </c>
      <c r="E59" s="10" t="inlineStr">
        <is>
          <t>Svenska Cellulosa AB (SCA)</t>
        </is>
      </c>
      <c r="F59" s="10" t="inlineStr">
        <is>
          <t>sca.com</t>
        </is>
      </c>
      <c r="G59" s="10" t="n"/>
      <c r="H59" s="10" t="inlineStr">
        <is>
          <t>Forestry, sawn timber, pulp, renewable energy (wind on own land) and biofuel products to European industrial buyers</t>
        </is>
      </c>
      <c r="I59" s="10" t="n"/>
      <c r="J59" s="10" t="inlineStr">
        <is>
          <t>unknown</t>
        </is>
      </c>
      <c r="K59" s="10" t="inlineStr">
        <is>
          <t>verified-new</t>
        </is>
      </c>
      <c r="L59" s="10" t="inlineStr">
        <is>
          <t xml:space="preserve"> |  | flags: not F1-tied; not state-owned; concentrated private ownership (Handelsbanken/Kempe sphere) - governance note, not disqualifying; revenue/market cap both confirmed close to estimate</t>
        </is>
      </c>
      <c r="M59" s="10" t="inlineStr">
        <is>
          <t>[VERIFIED NEW W7] Sustainable-materials + on-land renewable energy (wind/biofuel) story for Net Zero 2030, strong resonance with F1's European fanbase and Scandinavian GP-adjacent markets. | Confirmed as Europe's largest private forest owner with gro</t>
        </is>
      </c>
    </row>
    <row r="60">
      <c r="A60" s="10" t="n">
        <v>57</v>
      </c>
      <c r="B60" s="10" t="inlineStr">
        <is>
          <t>W2</t>
        </is>
      </c>
      <c r="C60" s="10" t="inlineStr">
        <is>
          <t>01 Banking &amp; Insurance</t>
        </is>
      </c>
      <c r="D60" s="10" t="n">
        <v>92</v>
      </c>
      <c r="E60" s="10" t="inlineStr">
        <is>
          <t>Swiss Life Holding</t>
        </is>
      </c>
      <c r="F60" s="10" t="inlineStr">
        <is>
          <t>swisslife.com</t>
        </is>
      </c>
      <c r="G60" s="10" t="inlineStr">
        <is>
          <t>Zurich, Switzerland</t>
        </is>
      </c>
      <c r="H60" s="10" t="inlineStr">
        <is>
          <t>Life insurance, pensions, and asset management across Switzerland, France, Germany and broader Europe</t>
        </is>
      </c>
      <c r="I60" s="10" t="inlineStr">
        <is>
          <t>~11,000 (est.) core group employees</t>
        </is>
      </c>
      <c r="J60" s="10" t="inlineStr">
        <is>
          <t>10k+</t>
        </is>
      </c>
      <c r="K60" s="10" t="inlineStr">
        <is>
          <t>verified-new</t>
        </is>
      </c>
      <c r="L60" s="10" t="inlineStr">
        <is>
          <t>CHF 11.7B FY2025 (~$13.2B); company guiding CHF 12.8B for 2026 (source: Simply Wall St / companiesmarketcap.com, Aug 2026) | CHF 26.7B market cap as of 13 Aug 2026 (~$30B) (source: ad-hoc-news.de) | flags: Headcount is an estimate (public disclosures</t>
        </is>
      </c>
      <c r="M60" s="10" t="inlineStr">
        <is>
          <t>[VERIFIED NEW W2] Pan-European retail insurance/pensions brand looking for premium visibility - tie into F1's European calendar (Monaco, Spa, Monza) and wealth/pension-planning hospitality activations. | Large, profitable, growing mega-cap insurer wi</t>
        </is>
      </c>
    </row>
    <row r="61">
      <c r="A61" s="10" t="n">
        <v>58</v>
      </c>
      <c r="B61" s="10" t="inlineStr">
        <is>
          <t>W7</t>
        </is>
      </c>
      <c r="C61" s="10" t="inlineStr">
        <is>
          <t>02 Energy &amp; Industrial</t>
        </is>
      </c>
      <c r="D61" s="10" t="n">
        <v>92</v>
      </c>
      <c r="E61" s="10" t="inlineStr">
        <is>
          <t>Targa Resources</t>
        </is>
      </c>
      <c r="F61" s="10" t="inlineStr">
        <is>
          <t>targaresources.com</t>
        </is>
      </c>
      <c r="G61" s="10" t="n"/>
      <c r="H61" s="10" t="inlineStr">
        <is>
          <t>NGL gathering, processing, fractionation, storage and export (Permian-focused) to petrochemical and export buyers</t>
        </is>
      </c>
      <c r="I61" s="10" t="n"/>
      <c r="J61" s="10" t="inlineStr">
        <is>
          <t>unknown</t>
        </is>
      </c>
      <c r="K61" s="10" t="inlineStr">
        <is>
          <t>verified-new</t>
        </is>
      </c>
      <c r="L61" s="10" t="inlineStr">
        <is>
          <t>$17.0B FY2025 (targaresources.com / last10k.com 10-K), net income $1.92B |  | flags: geographic concentration in the Permian basin</t>
        </is>
      </c>
      <c r="M61" s="10" t="inlineStr">
        <is>
          <t xml:space="preserve">[VERIFIED NEW W7] Fastest-growing US energy-infrastructure story; Houston/Texas hospitality tie-in with the US GP (COTA). | </t>
        </is>
      </c>
    </row>
    <row r="62">
      <c r="A62" s="10" t="n">
        <v>59</v>
      </c>
      <c r="B62" s="10" t="inlineStr">
        <is>
          <t>W7</t>
        </is>
      </c>
      <c r="C62" s="10" t="inlineStr">
        <is>
          <t>02 Energy &amp; Industrial</t>
        </is>
      </c>
      <c r="D62" s="10" t="n">
        <v>92</v>
      </c>
      <c r="E62" s="10" t="inlineStr">
        <is>
          <t>TechnipFMC</t>
        </is>
      </c>
      <c r="F62" s="10" t="inlineStr">
        <is>
          <t>technipfmc.com</t>
        </is>
      </c>
      <c r="G62" s="10" t="n"/>
      <c r="H62" s="10" t="inlineStr">
        <is>
          <t>Subsea production systems, surface technologies and engineering for offshore oil &amp; gas operators</t>
        </is>
      </c>
      <c r="I62" s="10" t="n"/>
      <c r="J62" s="10" t="inlineStr">
        <is>
          <t>unknown</t>
        </is>
      </c>
      <c r="K62" s="10" t="inlineStr">
        <is>
          <t>verified-new</t>
        </is>
      </c>
      <c r="L62" s="10" t="inlineStr">
        <is>
          <t>$9.8B FY2025 revenue (confirmed via SEC 8-K/10-Q filings and FY2026 guidance of ~$10.4-10.9B combined Subsea + Surface Technologies); materially above input's $6.9B est. |  | flags: market cap materially higher than input est. ($29.4B vs $16B) - reco</t>
        </is>
      </c>
      <c r="M62" s="10" t="inlineStr">
        <is>
          <t xml:space="preserve">[VERIFIED NEW W7] Precision subsea engineering &amp; advanced-materials technology partner - deepwater robotics, digital twin and high-pressure systems parallel F1's extreme-engineering story. | </t>
        </is>
      </c>
    </row>
    <row r="63">
      <c r="A63" s="10" t="n">
        <v>60</v>
      </c>
      <c r="B63" s="10" t="inlineStr">
        <is>
          <t>W6</t>
        </is>
      </c>
      <c r="C63" s="10" t="inlineStr">
        <is>
          <t>43 Mobility &amp; Automotive</t>
        </is>
      </c>
      <c r="D63" s="10" t="n">
        <v>92</v>
      </c>
      <c r="E63" s="10" t="inlineStr">
        <is>
          <t>Teledyne Technologies Incorporated</t>
        </is>
      </c>
      <c r="F63" s="10" t="inlineStr">
        <is>
          <t>teledyne.com</t>
        </is>
      </c>
      <c r="G63" s="10" t="n"/>
      <c r="H63" s="10" t="inlineStr">
        <is>
          <t>Sensors, digital-imaging systems, instrumentation and aerospace/defense electronics (non-prime component/technology supp</t>
        </is>
      </c>
      <c r="I63" s="10" t="n"/>
      <c r="J63" s="10" t="inlineStr">
        <is>
          <t>unknown</t>
        </is>
      </c>
      <c r="K63" s="10" t="inlineStr">
        <is>
          <t>verified-new</t>
        </is>
      </c>
      <c r="L63" s="10" t="inlineStr">
        <is>
          <t xml:space="preserve"> |  | flags: Market cap ($27.9B) and revenue ($6.1B) both came in well above the input's estimates - larger, more resourced prospect than originally scoped.; Low public-brand recognition despite scale (pure B2B technical supplier) - narrative needs t</t>
        </is>
      </c>
      <c r="M63" s="10" t="inlineStr">
        <is>
          <t xml:space="preserve">[VERIFIED NEW W6] 'Technology behind the data' story - Teledyne's precision imaging, sensing and instrumentation portfolio maps directly onto F1's telemetry, broadcast-camera and data-capture narrative. | </t>
        </is>
      </c>
    </row>
    <row r="64">
      <c r="A64" s="10" t="n">
        <v>61</v>
      </c>
      <c r="B64" s="10" t="inlineStr">
        <is>
          <t>W3</t>
        </is>
      </c>
      <c r="C64" s="10" t="inlineStr">
        <is>
          <t>42 Health &amp; Wellness</t>
        </is>
      </c>
      <c r="D64" s="10" t="n">
        <v>92</v>
      </c>
      <c r="E64" s="10" t="inlineStr">
        <is>
          <t>The Cigna Group</t>
        </is>
      </c>
      <c r="F64" s="10" t="inlineStr">
        <is>
          <t>cigna.com</t>
        </is>
      </c>
      <c r="G64" s="10" t="n"/>
      <c r="H64" s="10" t="n"/>
      <c r="I64" s="10" t="n"/>
      <c r="J64" s="10" t="inlineStr">
        <is>
          <t>unknown</t>
        </is>
      </c>
      <c r="K64" s="10" t="inlineStr">
        <is>
          <t>verified-new</t>
        </is>
      </c>
      <c r="L64" s="10" t="inlineStr">
        <is>
          <t>FY2025 total revenue $275B (+11% YoY, includes Evernorth/Express Scripts PBM top line) - company press release |  | flags: dignity framing required - insurance/PBM messaging is sensitive for patients; figures partly estimated for exact Sept 2026 mark</t>
        </is>
      </c>
      <c r="M64" s="10" t="inlineStr">
        <is>
          <t>[VERIFIED NEW W3] Global health-services brand narrative tied to F1's international footprint - employer/traveler wellness programs, global workforce health, or team-logistics-adjacent health services messaging; avoid claims/insurance-specific conten</t>
        </is>
      </c>
    </row>
    <row r="65">
      <c r="A65" s="10" t="n">
        <v>62</v>
      </c>
      <c r="B65" s="10" t="inlineStr">
        <is>
          <t>W13</t>
        </is>
      </c>
      <c r="C65" s="10" t="inlineStr">
        <is>
          <t>Materials &amp; Mech Parts</t>
        </is>
      </c>
      <c r="D65" s="10" t="n">
        <v>92</v>
      </c>
      <c r="E65" s="10" t="inlineStr">
        <is>
          <t>The Timken Company</t>
        </is>
      </c>
      <c r="F65" s="10" t="inlineStr">
        <is>
          <t>timken.com</t>
        </is>
      </c>
      <c r="G65" s="10" t="inlineStr">
        <is>
          <t>North Canton, Ohio, USA</t>
        </is>
      </c>
      <c r="H65" s="10" t="inlineStr">
        <is>
          <t>Bearings and mechanical power transmission products</t>
        </is>
      </c>
      <c r="I65" s="10" t="inlineStr">
        <is>
          <t>10k+</t>
        </is>
      </c>
      <c r="J65" s="10" t="inlineStr">
        <is>
          <t>10k+</t>
        </is>
      </c>
      <c r="K65" s="10" t="inlineStr">
        <is>
          <t>verified-new</t>
        </is>
      </c>
      <c r="L65" s="10" t="inlineStr">
        <is>
          <t>$4.6B in FY2025, +0.2% YoY (Timken Q4/FY2025 results press release, 4 Feb 2026) - far exceeds the $100M hard bar | Market cap ~$9.61B USD as of Jul 2026 (stockanalysis.com) - far exceeds the $1B hard bar | flags: Revenue growth essentially flat (+0.2</t>
        </is>
      </c>
      <c r="M65" s="10" t="inlineStr">
        <is>
          <t>[VERIFIED NEW W13] Precision-engineering/performance-under-extreme-load story - bearings and power-transmission components are a natural technical fit for F1's engineering narrative, and the category is open on the current grid (est). | All hard filt</t>
        </is>
      </c>
    </row>
    <row r="66">
      <c r="A66" s="10" t="n">
        <v>63</v>
      </c>
      <c r="B66" s="10" t="inlineStr">
        <is>
          <t>W7</t>
        </is>
      </c>
      <c r="C66" s="10" t="inlineStr">
        <is>
          <t>02 Energy &amp; Industrial</t>
        </is>
      </c>
      <c r="D66" s="10" t="n">
        <v>92</v>
      </c>
      <c r="E66" s="10" t="inlineStr">
        <is>
          <t>TransAlta Corporation</t>
        </is>
      </c>
      <c r="F66" s="10" t="inlineStr">
        <is>
          <t>transalta.com</t>
        </is>
      </c>
      <c r="G66" s="10" t="n"/>
      <c r="H66" s="10" t="inlineStr">
        <is>
          <t>Wind, hydro, solar and gas power generation sold via PPAs to North American and Australian markets</t>
        </is>
      </c>
      <c r="I66" s="10" t="n"/>
      <c r="J66" s="10" t="inlineStr">
        <is>
          <t>unknown</t>
        </is>
      </c>
      <c r="K66" s="10" t="inlineStr">
        <is>
          <t>verified-new</t>
        </is>
      </c>
      <c r="L66" s="10" t="inlineStr">
        <is>
          <t xml:space="preserve"> |  | flags: not F1-tied; not state-owned; revenue updated upward from original estimate</t>
        </is>
      </c>
      <c r="M66" s="10" t="inlineStr">
        <is>
          <t>[VERIFIED NEW W7] Coal-to-clean 'transition proof point' narrative, ideal for Net Zero 2030 storytelling, paired with Canadian GP hospitality. | Long-established, fully independent Canadian IPP with a completed coal-to-clean transition, confirmed fin</t>
        </is>
      </c>
    </row>
    <row r="67">
      <c r="A67" s="10" t="n">
        <v>64</v>
      </c>
      <c r="B67" s="10" t="inlineStr">
        <is>
          <t>W7</t>
        </is>
      </c>
      <c r="C67" s="10" t="inlineStr">
        <is>
          <t>02 Energy &amp; Industrial</t>
        </is>
      </c>
      <c r="D67" s="10" t="n">
        <v>92</v>
      </c>
      <c r="E67" s="10" t="inlineStr">
        <is>
          <t>UPM-Kymmene</t>
        </is>
      </c>
      <c r="F67" s="10" t="inlineStr">
        <is>
          <t>upm.com</t>
        </is>
      </c>
      <c r="G67" s="10" t="n"/>
      <c r="H67" s="10" t="inlineStr">
        <is>
          <t>Pulp, paper, biofuels, biochemicals and forest products (incl. renewable diesel/biofuel from UPM Biofuels) to global ind</t>
        </is>
      </c>
      <c r="I67" s="10" t="n"/>
      <c r="J67" s="10" t="inlineStr">
        <is>
          <t>unknown</t>
        </is>
      </c>
      <c r="K67" s="10" t="inlineStr">
        <is>
          <t>verified-new</t>
        </is>
      </c>
      <c r="L67" s="10" t="inlineStr">
        <is>
          <t xml:space="preserve"> |  | flags: not F1-tied; not state-owned (confirmed institutional free float); commodity/paper-price cyclicality inherent to forestry sector - judge on actuals at outreach; market cap modestly below original estimate - update</t>
        </is>
      </c>
      <c r="M67" s="10" t="inlineStr">
        <is>
          <t>[VERIFIED NEW W7] Bio-feedstock / renewable-diesel supplier angle tied directly to F1's 2026 100%-sustainable-fuel era - a credible, non-fossil energy-adjacent story distinct from typical oil-major fuel partners. | Confirmed large-cap forestry/biomat</t>
        </is>
      </c>
    </row>
    <row r="68">
      <c r="A68" s="10" t="n">
        <v>65</v>
      </c>
      <c r="B68" s="10" t="inlineStr">
        <is>
          <t>W13</t>
        </is>
      </c>
      <c r="C68" s="10" t="inlineStr">
        <is>
          <t>Automation &amp; Robotics</t>
        </is>
      </c>
      <c r="D68" s="10" t="n">
        <v>92</v>
      </c>
      <c r="E68" s="10" t="inlineStr">
        <is>
          <t>Weidmuller Group</t>
        </is>
      </c>
      <c r="F68" s="10" t="inlineStr">
        <is>
          <t>weidmuller.com</t>
        </is>
      </c>
      <c r="G68" s="10" t="inlineStr">
        <is>
          <t>Detmold, Germany</t>
        </is>
      </c>
      <c r="H68" s="10" t="inlineStr">
        <is>
          <t>Industrial connectivity and automation components</t>
        </is>
      </c>
      <c r="I68" s="10" t="inlineStr">
        <is>
          <t>5k-10k (~5,500 employees group-wide, per company facts &amp; figures, 2024)</t>
        </is>
      </c>
      <c r="J68" s="10" t="inlineStr">
        <is>
          <t>~5,500 employees group-wide, per company facts &amp; figures, 2024</t>
        </is>
      </c>
      <c r="K68" s="10" t="inlineStr">
        <is>
          <t>verified-new</t>
        </is>
      </c>
      <c r="L68" s="10" t="inlineStr">
        <is>
          <t>EUR980M in 2024 (source: company disclosures, 2024) | n/a - family-owned, no published valuation; passes on revenue alone per family-owned exception | flags: est figures (input flag) - revenue confirmed at EUR980M vs the input's EUR1.1B estimate; dir</t>
        </is>
      </c>
      <c r="M68" s="10" t="inlineStr">
        <is>
          <t>[VERIFIED NEW W13] Same industrial-connectivity-meets-precision-engineering story as larger peers, pitched at a scrappier/challenger-brand tier given its smaller-but-still-qualifying scale (est). | All hard filters pass: revenue EUR980M clears the $1</t>
        </is>
      </c>
    </row>
    <row r="69">
      <c r="A69" s="10" t="n">
        <v>66</v>
      </c>
      <c r="B69" s="10" t="inlineStr">
        <is>
          <t>W8</t>
        </is>
      </c>
      <c r="C69" s="10" t="inlineStr">
        <is>
          <t>18 Services &amp; Other</t>
        </is>
      </c>
      <c r="D69" s="10" t="n">
        <v>92</v>
      </c>
      <c r="E69" s="10" t="inlineStr">
        <is>
          <t>Wesfarmers Limited</t>
        </is>
      </c>
      <c r="F69" s="10" t="inlineStr">
        <is>
          <t>wesfarmers.com.au</t>
        </is>
      </c>
      <c r="G69" s="10" t="inlineStr">
        <is>
          <t>Perth, Australia</t>
        </is>
      </c>
      <c r="H69" s="10" t="inlineStr">
        <is>
          <t>Diversified conglomerate: retail distribution (Bunnings, Kmart, Officeworks), chemicals, industrial/safety products</t>
        </is>
      </c>
      <c r="I69" s="10" t="inlineStr">
        <is>
          <t>~120,000+ (100k+/mega)</t>
        </is>
      </c>
      <c r="J69" s="10" t="inlineStr">
        <is>
          <t>10k+</t>
        </is>
      </c>
      <c r="K69" s="10" t="inlineStr">
        <is>
          <t>verified-new</t>
        </is>
      </c>
      <c r="L69" s="10" t="inlineStr">
        <is>
          <t>~A$44B (~$29B USD) revenue FY2024 (annual report) | ~A$84-90B (~$56-60B USD) market cap (WebSearch, Sept 2026, ASX:WES; briefly crossed A$100B mid-2026, well above input est. of $50-56B) | flags: Primarily domestic Australian retail conglomerate, not</t>
        </is>
      </c>
      <c r="M69" s="10" t="inlineStr">
        <is>
          <t>[VERIFIED NEW W8] ANZ market-entry/regional angle - leverage Wesfarmers' industrial/safety-products division (WesCEF) and retail household reach for a region-specific F1 activation rather than a global title deal. | Financially strong, profitable, la</t>
        </is>
      </c>
    </row>
    <row r="70">
      <c r="A70" s="10" t="n">
        <v>67</v>
      </c>
      <c r="B70" s="10" t="inlineStr">
        <is>
          <t>W7</t>
        </is>
      </c>
      <c r="C70" s="10" t="inlineStr">
        <is>
          <t>02 Energy &amp; Industrial</t>
        </is>
      </c>
      <c r="D70" s="10" t="n">
        <v>92</v>
      </c>
      <c r="E70" s="10" t="inlineStr">
        <is>
          <t>Weyerhaeuser</t>
        </is>
      </c>
      <c r="F70" s="10" t="inlineStr">
        <is>
          <t>weyerhaeuser.com</t>
        </is>
      </c>
      <c r="G70" s="10" t="n"/>
      <c r="H70" s="10" t="inlineStr">
        <is>
          <t>Timberland management, wood products and forest carbon/mitigation-bank credits to construction, industrial and carbon-ma</t>
        </is>
      </c>
      <c r="I70" s="10" t="n"/>
      <c r="J70" s="10" t="inlineStr">
        <is>
          <t>unknown</t>
        </is>
      </c>
      <c r="K70" s="10" t="inlineStr">
        <is>
          <t>verified-new</t>
        </is>
      </c>
      <c r="L70" s="10" t="inlineStr">
        <is>
          <t xml:space="preserve"> |  | flags: not F1-tied; not state-owned; REIT structure (dividend-focused capital allocation - confirm marketing budget authority); revenue/market cap both confirmed close to estimate</t>
        </is>
      </c>
      <c r="M70" s="10" t="inlineStr">
        <is>
          <t>[VERIFIED NEW W7] Nature-based-solutions / forest-carbon-credit narrative - among the strongest 'real' sustainability stories in the pool for Net Zero 2030 messaging; REIT scale supports sponsorship budget capacity. | Confirmed as the largest private</t>
        </is>
      </c>
    </row>
    <row r="71">
      <c r="A71" s="10" t="n">
        <v>68</v>
      </c>
      <c r="B71" s="10" t="inlineStr">
        <is>
          <t>W6</t>
        </is>
      </c>
      <c r="C71" s="10" t="inlineStr">
        <is>
          <t>43 Mobility &amp; Automotive</t>
        </is>
      </c>
      <c r="D71" s="10" t="n">
        <v>92</v>
      </c>
      <c r="E71" s="10" t="inlineStr">
        <is>
          <t>XPO Inc</t>
        </is>
      </c>
      <c r="F71" s="10" t="inlineStr">
        <is>
          <t>xpo.com</t>
        </is>
      </c>
      <c r="G71" s="10" t="n"/>
      <c r="H71" s="10" t="n"/>
      <c r="I71" s="10" t="n"/>
      <c r="J71" s="10" t="inlineStr">
        <is>
          <t>unknown</t>
        </is>
      </c>
      <c r="K71" s="10" t="inlineStr">
        <is>
          <t>verified-new</t>
        </is>
      </c>
      <c r="L71" s="10" t="inlineStr">
        <is>
          <t>{'value': '$8.16B FY2025, up 1.05% YoY; Adjusted EBITDA $1.27B; LTL adjusted operating ratio improved ~80bps', 'source': 'XPO Reports Fourth Quarter 2025 Results, investors.xpo.com'} |  | flags: DHL holds F1's series-level 'Official Logistics Partner</t>
        </is>
      </c>
      <c r="M71" s="10" t="inlineStr">
        <is>
          <t xml:space="preserve">[VERIFIED NEW W6] North American team logistics/freight partner (parts, chassis and equipment transport) leaning on operational-precision parallels with F1, explicitly positioned below/around DHL's series-level category. | </t>
        </is>
      </c>
    </row>
    <row r="72">
      <c r="A72" s="10" t="n">
        <v>69</v>
      </c>
      <c r="B72" s="10" t="inlineStr">
        <is>
          <t>W13</t>
        </is>
      </c>
      <c r="C72" s="10" t="inlineStr">
        <is>
          <t>Trading &amp; Crypto</t>
        </is>
      </c>
      <c r="D72" s="10" t="n">
        <v>92</v>
      </c>
      <c r="E72" s="10" t="inlineStr">
        <is>
          <t>XTB S.A.</t>
        </is>
      </c>
      <c r="F72" s="10" t="inlineStr">
        <is>
          <t>xtb.com</t>
        </is>
      </c>
      <c r="G72" s="10" t="inlineStr">
        <is>
          <t>Warsaw, Poland</t>
        </is>
      </c>
      <c r="H72" s="10" t="inlineStr">
        <is>
          <t>Retail CFD/forex brokerage and trading platform, pan-European reach</t>
        </is>
      </c>
      <c r="I72" s="10" t="inlineStr">
        <is>
          <t>1k-5k</t>
        </is>
      </c>
      <c r="J72" s="10" t="inlineStr">
        <is>
          <t>1k-5k</t>
        </is>
      </c>
      <c r="K72" s="10" t="inlineStr">
        <is>
          <t>verified-new</t>
        </is>
      </c>
      <c r="L72" s="10" t="inlineStr">
        <is>
          <t>PLN 2.12B / ~$570M FY2025 (+14.3% YoY); TTM ~$833M as of Sept 2026 (stockanalysis.com) | Market cap ~$4.9B as of early Sept 2026 (stockanalysis.com) | flags: compliance-frame: leveraged retail CFD trading faces gambling-adjacent advertising/regulator</t>
        </is>
      </c>
      <c r="M72" s="10" t="inlineStr">
        <is>
          <t>[VERIFIED NEW W13] 'Return to the grid' angle - XTB already has a 2010 McLaren precedent; reintroduce as a modern trading-technology partner in an open CFD/retail-investing category, leaning on real-time data/precision parallels with F1. | All hard f</t>
        </is>
      </c>
    </row>
    <row r="73">
      <c r="A73" s="10" t="n">
        <v>70</v>
      </c>
      <c r="B73" s="10" t="inlineStr">
        <is>
          <t>W13</t>
        </is>
      </c>
      <c r="C73" s="10" t="inlineStr">
        <is>
          <t>Materials &amp; Mech Parts</t>
        </is>
      </c>
      <c r="D73" s="10" t="n">
        <v>92</v>
      </c>
      <c r="E73" s="10" t="inlineStr">
        <is>
          <t>voestalpine AG</t>
        </is>
      </c>
      <c r="F73" s="10" t="inlineStr">
        <is>
          <t>voestalpine.com</t>
        </is>
      </c>
      <c r="G73" s="10" t="inlineStr">
        <is>
          <t>Linz, Austria</t>
        </is>
      </c>
      <c r="H73" s="10" t="inlineStr">
        <is>
          <t>Specialty steel, high-performance metals and materials technology for automotive, aerospace, rail, energy and industrial sectors</t>
        </is>
      </c>
      <c r="I73" s="10" t="inlineStr">
        <is>
          <t>10k+ (~49,700 employees, FY2024/25, per voestalpine annual report)</t>
        </is>
      </c>
      <c r="J73" s="10" t="inlineStr">
        <is>
          <t>~49,700 employees, FY2024/25, per voestalpine annual report</t>
        </is>
      </c>
      <c r="K73" s="10" t="inlineStr">
        <is>
          <t>verified-new</t>
        </is>
      </c>
      <c r="L73" s="10" t="inlineStr">
        <is>
          <t xml:space="preserve">EUR15.7B in business year 2024/25 (source: voestalpine press release, June 2025) | Market cap ~$8.99B as of September 2026 (source: companiesmarketcap.com); clearly above the $1B bar under any recent measurement | flags: already a materials SUPPLIER </t>
        </is>
      </c>
      <c r="M73" s="10" t="inlineStr">
        <is>
          <t>[VERIFIED NEW W13] Turn an existing supplier relationship into a headline story: voestalpine already supplies precision components into F1 drivetrains via its Racing/HPM division - an official 'materials partner' deal would make that visible, credibl</t>
        </is>
      </c>
    </row>
    <row r="74">
      <c r="A74" s="10" t="n">
        <v>71</v>
      </c>
      <c r="B74" s="10" t="inlineStr">
        <is>
          <t>W6</t>
        </is>
      </c>
      <c r="C74" s="10" t="inlineStr">
        <is>
          <t>34 DC Power &amp; Cooling</t>
        </is>
      </c>
      <c r="D74" s="10" t="n">
        <v>84</v>
      </c>
      <c r="E74" s="10" t="inlineStr">
        <is>
          <t>AAON Inc</t>
        </is>
      </c>
      <c r="F74" s="10" t="inlineStr">
        <is>
          <t>aaon.com</t>
        </is>
      </c>
      <c r="G74" s="10" t="inlineStr">
        <is>
          <t>Tulsa, Oklahoma, USA</t>
        </is>
      </c>
      <c r="H74" s="10" t="inlineStr">
        <is>
          <t>Commercial/industrial HVAC and, via BASX, custom data-center air-side and liquid cooling systems</t>
        </is>
      </c>
      <c r="I74" s="10" t="inlineStr">
        <is>
          <t>~4,500</t>
        </is>
      </c>
      <c r="J74" s="10" t="inlineStr">
        <is>
          <t>1k-5k</t>
        </is>
      </c>
      <c r="K74" s="10" t="inlineStr">
        <is>
          <t>verified-new</t>
        </is>
      </c>
      <c r="L74" s="10" t="inlineStr">
        <is>
          <t>FY2025 revenue $1.44B, +20.1% YoY; Q4 revenue +43% on data-center demand, BASX segment revenue more than doubled, backlog +141% (source: AAON FY2025 results/8-K, stockanalysis.com, investors.aaon.com) | ~$6.6B market cap (Sep 11 2026, stockanalysis.c</t>
        </is>
      </c>
      <c r="M74" s="10" t="inlineStr">
        <is>
          <t>[VERIFIED NEW W6] AI/data-center cooling innovation leader - position thermal-management engineering (liquid cooling, free-cooling chillers) as a parallel to F1 power-unit and brake cooling challenges. | Explosive data-center cooling growth (BASX) gi</t>
        </is>
      </c>
    </row>
    <row r="75">
      <c r="A75" s="10" t="n">
        <v>72</v>
      </c>
      <c r="B75" s="10" t="inlineStr">
        <is>
          <t>W1</t>
        </is>
      </c>
      <c r="C75" s="10" t="inlineStr">
        <is>
          <t>53 Consumer &amp; Lifestyle</t>
        </is>
      </c>
      <c r="D75" s="10" t="n">
        <v>84</v>
      </c>
      <c r="E75" s="10" t="inlineStr">
        <is>
          <t>Aeon Co., Ltd.</t>
        </is>
      </c>
      <c r="F75" s="10" t="inlineStr">
        <is>
          <t>aeon.info</t>
        </is>
      </c>
      <c r="G75" s="10" t="inlineStr">
        <is>
          <t>Chiba, Japan</t>
        </is>
      </c>
      <c r="H75" s="10" t="inlineStr">
        <is>
          <t>Supermarkets, shopping malls (AEON Mall) and general merchandise store (GMS) retail conglomerate across Japan and Asia</t>
        </is>
      </c>
      <c r="I75" s="10" t="inlineStr">
        <is>
          <t>~180,000 employees (input est.)</t>
        </is>
      </c>
      <c r="J75" s="10" t="inlineStr">
        <is>
          <t>10k+</t>
        </is>
      </c>
      <c r="K75" s="10" t="inlineStr">
        <is>
          <t>verified-new</t>
        </is>
      </c>
      <c r="L75" s="10" t="inlineStr">
        <is>
          <t>¥10,715.3B (~US$72.9B) FY2025, up from ¥10,134.8B prior year; operating profit +13.8% YoY, net profit +167.5% YoY (company FY25 results, announced April 2026, verified Sept 2026) | ~¥4.87 trillion (~US$33.1B) market cap as of early 2026 (derived from</t>
        </is>
      </c>
      <c r="M75" s="10" t="inlineStr">
        <is>
          <t>[VERIFIED NEW W1] Suzuka (Japanese GP) retail/fan-zone activation leveraging AEON Mall's nationwide footfall for race-week promotions and in-store fan experiences. | Mega-scale, sharply improving profitability, and a genuine home race (Suzuka) make t</t>
        </is>
      </c>
    </row>
    <row r="76">
      <c r="A76" s="10" t="n">
        <v>73</v>
      </c>
      <c r="B76" s="10" t="inlineStr">
        <is>
          <t>W6</t>
        </is>
      </c>
      <c r="C76" s="10" t="inlineStr">
        <is>
          <t>43 Mobility &amp; Automotive</t>
        </is>
      </c>
      <c r="D76" s="10" t="n">
        <v>84</v>
      </c>
      <c r="E76" s="10" t="inlineStr">
        <is>
          <t>Agility Global PLC (aviation/logistics arm of Agility group; formerly filed under "Agility Public Warehousing Company KSCP")</t>
        </is>
      </c>
      <c r="F76" s="10" t="n"/>
      <c r="G76" s="10" t="n"/>
      <c r="H76" s="10" t="inlineStr">
        <is>
          <t>Aviation ground handling &amp; air cargo services (Menzies Aviation, world's largest ground/cargo handler by country count),</t>
        </is>
      </c>
      <c r="I76" s="10" t="n"/>
      <c r="J76" s="10" t="inlineStr">
        <is>
          <t>unknown</t>
        </is>
      </c>
      <c r="K76" s="10" t="inlineStr">
        <is>
          <t>verified-new</t>
        </is>
      </c>
      <c r="L76" s="10" t="inlineStr">
        <is>
          <t xml:space="preserve"> |  | flags: ENTITY MISMATCH: the input's financial/business description (revenue, GAC, Menzies Aviation) belongs to 'Agility Global PLC' (ADX: AGILITY), NOT the Kuwait-listed 'Agility Public Warehousing Company KSCP', which rebranded to 'Makhazen' (</t>
        </is>
      </c>
      <c r="M76" s="10" t="inlineStr">
        <is>
          <t>[VERIFIED NEW W6] Ground-handling/air-cargo logistics precision story via Menzies Aviation's 60-country network - position around 'the infrastructure that keeps world aviation (and race freight) moving,' distinct from the already-crowded airline spon</t>
        </is>
      </c>
    </row>
    <row r="77">
      <c r="A77" s="10" t="n">
        <v>74</v>
      </c>
      <c r="B77" s="10" t="inlineStr">
        <is>
          <t>W1</t>
        </is>
      </c>
      <c r="C77" s="10" t="inlineStr">
        <is>
          <t>04 Food &amp; Beverage</t>
        </is>
      </c>
      <c r="D77" s="10" t="n">
        <v>84</v>
      </c>
      <c r="E77" s="10" t="inlineStr">
        <is>
          <t>Alfred Ritter GmbH (Ritter Sport)</t>
        </is>
      </c>
      <c r="F77" s="10" t="inlineStr">
        <is>
          <t>ritter-sport.com</t>
        </is>
      </c>
      <c r="G77" s="10" t="inlineStr">
        <is>
          <t>Waldenbuch, Germany</t>
        </is>
      </c>
      <c r="H77" s="10" t="inlineStr">
        <is>
          <t>chocolate confectionery</t>
        </is>
      </c>
      <c r="I77" s="10" t="inlineStr">
        <is>
          <t>~2,200 (est.)</t>
        </is>
      </c>
      <c r="J77" s="10" t="inlineStr">
        <is>
          <t>1k-5k</t>
        </is>
      </c>
      <c r="K77" s="10" t="inlineStr">
        <is>
          <t>verified-new</t>
        </is>
      </c>
      <c r="L77" s="10" t="inlineStr">
        <is>
          <t>€605M group turnover (2024, up 7%+ YoY per company statement, yumda.com/confectioneryproduction.com) | family-owned, none published | flags: cocoa-price inflation cited by company as pressuring 2024 margins ('turbulent year') - watch budget capacity;</t>
        </is>
      </c>
      <c r="M77" s="10" t="inlineStr">
        <is>
          <t>[VERIFIED NEW W1] "Sport" brand-name wordplay campaign + square-chocolate trackside merchandising tied to US/Europe race weekends. | Growing global exporter with a brand name ('Sport') that is an unusually strong organic hook for F1 marketing, plus r</t>
        </is>
      </c>
    </row>
    <row r="78">
      <c r="A78" s="10" t="n">
        <v>75</v>
      </c>
      <c r="B78" s="10" t="inlineStr">
        <is>
          <t>W8</t>
        </is>
      </c>
      <c r="C78" s="10" t="inlineStr">
        <is>
          <t>24 Logistics</t>
        </is>
      </c>
      <c r="D78" s="10" t="n">
        <v>84</v>
      </c>
      <c r="E78" s="10" t="inlineStr">
        <is>
          <t>Americold Realty Trust Inc</t>
        </is>
      </c>
      <c r="F78" s="10" t="inlineStr">
        <is>
          <t>americold.com</t>
        </is>
      </c>
      <c r="G78" s="10" t="n"/>
      <c r="H78" s="10" t="inlineStr">
        <is>
          <t>Temperature-controlled (cold storage) warehouse real estate and logistics (REIT)</t>
        </is>
      </c>
      <c r="I78" s="10" t="n"/>
      <c r="J78" s="10" t="inlineStr">
        <is>
          <t>unknown</t>
        </is>
      </c>
      <c r="K78" s="10" t="inlineStr">
        <is>
          <t>verified-new</t>
        </is>
      </c>
      <c r="L78" s="10" t="inlineStr">
        <is>
          <t xml:space="preserve"> | ~$4.5-4.8B market cap (verified Sep 2026, NYSE:COLD; $4.57B as of Jun 2026 per Macrotrends/companiesmarketcap, stock roughly flat since) | flags: FY2025 GAAP net loss (~-$88M Q4; TTM net margin -3.54%) despite FFO margin improving to 7.8% - typica</t>
        </is>
      </c>
      <c r="M78" s="10" t="inlineStr">
        <is>
          <t>[VERIFIED NEW W8] Position as official cold-chain/temperature-controlled logistics partner, tying Americold's supply-chain reliability narrative to F1's own complex global freight and hospitality/catering logistics, with B2B brand visibility to groce</t>
        </is>
      </c>
    </row>
    <row r="79">
      <c r="A79" s="10" t="n">
        <v>76</v>
      </c>
      <c r="B79" s="10" t="inlineStr">
        <is>
          <t>W1</t>
        </is>
      </c>
      <c r="C79" s="10" t="inlineStr">
        <is>
          <t>03 Luxury &amp; Beauty</t>
        </is>
      </c>
      <c r="D79" s="10" t="n">
        <v>84</v>
      </c>
      <c r="E79" s="10" t="inlineStr">
        <is>
          <t>Amorepacific Corporation</t>
        </is>
      </c>
      <c r="F79" s="10" t="inlineStr">
        <is>
          <t>amorepacific.com</t>
        </is>
      </c>
      <c r="G79" s="10" t="inlineStr">
        <is>
          <t>South Korea</t>
        </is>
      </c>
      <c r="H79" s="10" t="inlineStr">
        <is>
          <t>Beauty brands (Sulwhasoo, Laneige, Innisfree); sold via department stores, specialty retail, e-commerce globally includi</t>
        </is>
      </c>
      <c r="I79" s="10" t="inlineStr">
        <is>
          <t>~5,000 employees</t>
        </is>
      </c>
      <c r="J79" s="10" t="inlineStr">
        <is>
          <t>5k-10k</t>
        </is>
      </c>
      <c r="K79" s="10" t="inlineStr">
        <is>
          <t>verified-new</t>
        </is>
      </c>
      <c r="L79" s="10" t="inlineStr">
        <is>
          <t>$3.0B (KRW4.62T), FY2025, source: Amorepacific Group FY2025 earnings summary | $6.7B market cap, as of Aug 2026, source: companiesmarketcap.com | flags: China optics - historical reliance on Chinese duty-free/tourist spend</t>
        </is>
      </c>
      <c r="M79" s="10" t="inlineStr">
        <is>
          <t>[VERIFIED NEW W1] K-beauty global growth story (Laneige, Sulwhasoo) actively expanding in North America - a natural fit for F1's Americas/Asia crossover audience. | 2025 revenue and operating profit both grew, with highest operating profit in six yea</t>
        </is>
      </c>
    </row>
    <row r="80">
      <c r="A80" s="10" t="n">
        <v>77</v>
      </c>
      <c r="B80" s="10" t="inlineStr">
        <is>
          <t>W1</t>
        </is>
      </c>
      <c r="C80" s="10" t="inlineStr">
        <is>
          <t>04 Food &amp; Beverage</t>
        </is>
      </c>
      <c r="D80" s="10" t="n">
        <v>84</v>
      </c>
      <c r="E80" s="10" t="inlineStr">
        <is>
          <t>Arca Continental, S.A.B. de C.V.</t>
        </is>
      </c>
      <c r="F80" s="10" t="inlineStr">
        <is>
          <t>arcacontal.com</t>
        </is>
      </c>
      <c r="G80" s="10" t="inlineStr">
        <is>
          <t>Monterrey, Mexico</t>
        </is>
      </c>
      <c r="H80" s="10" t="inlineStr">
        <is>
          <t>Coca-Cola bottling/distribution and Bokados/Wise snacks across Mexico, US Southwest, and South America (Ecuador, Peru, A</t>
        </is>
      </c>
      <c r="I80" s="10" t="inlineStr">
        <is>
          <t>~90,000 employees (input est., not independently re-verified)</t>
        </is>
      </c>
      <c r="J80" s="10" t="inlineStr">
        <is>
          <t>10k+</t>
        </is>
      </c>
      <c r="K80" s="10" t="inlineStr">
        <is>
          <t>verified-new</t>
        </is>
      </c>
      <c r="L80" s="10" t="inlineStr">
        <is>
          <t>~MXN 250.3B (~US$13.4B) FY2025, +4.5% YoY (source: stockanalysis.com/companiesmarketcap.com citing company financials, verified Sept 2026) | ~€18.1B (~US$19.5B) market cap as of June 2026 (companiesmarketcap.com) — corrects the input's ~$10B estimate</t>
        </is>
      </c>
      <c r="M80" s="10" t="inlineStr">
        <is>
          <t>[VERIFIED NEW W1] Mexico City GP hospitality/activation built around Arca's own snack brands (Bokados/Wise) and regional bottling business, positioned distinctly from Coca-Cola Co.'s existing McLaren deal to avoid trademark overlap. | Large, profitab</t>
        </is>
      </c>
    </row>
    <row r="81">
      <c r="A81" s="10" t="n">
        <v>78</v>
      </c>
      <c r="B81" s="10" t="inlineStr">
        <is>
          <t>W7</t>
        </is>
      </c>
      <c r="C81" s="10" t="inlineStr">
        <is>
          <t>02 Energy &amp; Industrial</t>
        </is>
      </c>
      <c r="D81" s="10" t="n">
        <v>84</v>
      </c>
      <c r="E81" s="10" t="inlineStr">
        <is>
          <t>Archrock</t>
        </is>
      </c>
      <c r="F81" s="10" t="inlineStr">
        <is>
          <t>archrock.com</t>
        </is>
      </c>
      <c r="G81" s="10" t="n"/>
      <c r="H81" s="10" t="inlineStr">
        <is>
          <t>Natural gas contract compression services and equipment to upstream and midstream operators</t>
        </is>
      </c>
      <c r="I81" s="10" t="n"/>
      <c r="J81" s="10" t="inlineStr">
        <is>
          <t>unknown</t>
        </is>
      </c>
      <c r="K81" s="10" t="inlineStr">
        <is>
          <t>verified-new</t>
        </is>
      </c>
      <c r="L81" s="10" t="inlineStr">
        <is>
          <t>$1.49B FY2025 revenue (confirmed, up 28.7% YoY from $1.16B in 2024 - well above input's $1.1B est.); FY2025 net income $322.3M, EPS $1.83 |  | flags: small headcount (~1,300 est.) relative to revenue/market cap - asset-heavy, low-headcount model; ver</t>
        </is>
      </c>
      <c r="M81" s="10" t="inlineStr">
        <is>
          <t xml:space="preserve">[VERIFIED NEW W7] Gas-infrastructure and compression technology partner - growth narrative tied to LNG buildout and energy-transition 'bridge fuel' positioning. | </t>
        </is>
      </c>
    </row>
    <row r="82">
      <c r="A82" s="10" t="n">
        <v>79</v>
      </c>
      <c r="B82" s="10" t="inlineStr">
        <is>
          <t>W1</t>
        </is>
      </c>
      <c r="C82" s="10" t="inlineStr">
        <is>
          <t>49 Home &amp; Living</t>
        </is>
      </c>
      <c r="D82" s="10" t="n">
        <v>84</v>
      </c>
      <c r="E82" s="10" t="inlineStr">
        <is>
          <t>Ashley Furniture Industries</t>
        </is>
      </c>
      <c r="F82" s="10" t="inlineStr">
        <is>
          <t>ashleyfurniture.com</t>
        </is>
      </c>
      <c r="G82" s="10" t="inlineStr">
        <is>
          <t>Arcadia, Wisconsin, USA</t>
        </is>
      </c>
      <c r="H82" s="10" t="inlineStr">
        <is>
          <t>furniture manufacturing and retail</t>
        </is>
      </c>
      <c r="I82" s="10" t="inlineStr">
        <is>
          <t>25,000+</t>
        </is>
      </c>
      <c r="J82" s="10" t="inlineStr">
        <is>
          <t>10k+</t>
        </is>
      </c>
      <c r="K82" s="10" t="inlineStr">
        <is>
          <t>verified-new</t>
        </is>
      </c>
      <c r="L82" s="10" t="inlineStr">
        <is>
          <t>~$9.5B (ZoomInfo, Aug 2026) - note original desk estimate was $5.4B; treat as est. range $5.4B-$9.5B given private disclosure | no published valuation (100% family-owned) | flags: revenue estimates vary widely by source ($5.4B-$9.5B); already an acti</t>
        </is>
      </c>
      <c r="M82" s="10" t="inlineStr">
        <is>
          <t>[VERIFIED NEW W1] "Step up to the global stage" pitch leveraging its existing NASCAR/ARCA entitlement sponsorship experience into an F1 home-and-lifestyle activation at Miami or Las Vegas GP | Revenue far exceeds $100M under any estimate; 100% family</t>
        </is>
      </c>
    </row>
    <row r="83">
      <c r="A83" s="10" t="n">
        <v>80</v>
      </c>
      <c r="B83" s="10" t="inlineStr">
        <is>
          <t>W1</t>
        </is>
      </c>
      <c r="C83" s="10" t="inlineStr">
        <is>
          <t>04 Food &amp; Beverage</t>
        </is>
      </c>
      <c r="D83" s="10" t="n">
        <v>84</v>
      </c>
      <c r="E83" s="10" t="inlineStr">
        <is>
          <t>August Storck KG (Storck)</t>
        </is>
      </c>
      <c r="F83" s="10" t="inlineStr">
        <is>
          <t>storck.com</t>
        </is>
      </c>
      <c r="G83" s="10" t="inlineStr">
        <is>
          <t>Berlin, Germany (manufacturing base Werther, Westphalia)</t>
        </is>
      </c>
      <c r="H83" s="10" t="inlineStr">
        <is>
          <t>confectionery (Werther's Original, Merci, Toffifee, Riesen)</t>
        </is>
      </c>
      <c r="I83" s="10" t="inlineStr">
        <is>
          <t>~7,000 (5,000+ per Forbes profile, est.)</t>
        </is>
      </c>
      <c r="J83" s="10" t="inlineStr">
        <is>
          <t>5k-10k</t>
        </is>
      </c>
      <c r="K83" s="10" t="inlineStr">
        <is>
          <t>verified-new</t>
        </is>
      </c>
      <c r="L83" s="10" t="inlineStr">
        <is>
          <t>~$2.0B global (est., Forbes/trade press); sold in 100+ countries | family-owned, none published - patriarch Axel Oberwelland &amp; family #2858 on Forbes 2026 Billionaires list, net worth est. $1.2-3.5B across sources (Forbes) | flags: estimates - privat</t>
        </is>
      </c>
      <c r="M83" s="10" t="inlineStr">
        <is>
          <t>[VERIFIED NEW W1] Werther's Original/Merci as a premium gifting &amp; hospitality partner targeting F1's affluent/senior fan segment globally. | Global reach, older/affluent-skewing core brand (Werther's/Merci), family wealth confirmed via Forbes billion</t>
        </is>
      </c>
    </row>
    <row r="84">
      <c r="A84" s="10" t="n">
        <v>81</v>
      </c>
      <c r="B84" s="10" t="inlineStr">
        <is>
          <t>W6</t>
        </is>
      </c>
      <c r="C84" s="10" t="inlineStr">
        <is>
          <t>43 Mobility &amp; Automotive</t>
        </is>
      </c>
      <c r="D84" s="10" t="n">
        <v>84</v>
      </c>
      <c r="E84" s="10" t="inlineStr">
        <is>
          <t>Autoliv Inc</t>
        </is>
      </c>
      <c r="F84" s="10" t="inlineStr">
        <is>
          <t>autoliv.com</t>
        </is>
      </c>
      <c r="G84" s="10" t="inlineStr">
        <is>
          <t>Stockholm, Sweden / Auburn Hills, Michigan, USA (dual HQ)</t>
        </is>
      </c>
      <c r="H84" s="10" t="inlineStr">
        <is>
          <t>Automotive safety systems - airbags, seatbelts - to global OEMs</t>
        </is>
      </c>
      <c r="I84" s="10" t="inlineStr">
        <is>
          <t>~66,000</t>
        </is>
      </c>
      <c r="J84" s="10" t="inlineStr">
        <is>
          <t>10k+</t>
        </is>
      </c>
      <c r="K84" s="10" t="inlineStr">
        <is>
          <t>verified-new</t>
        </is>
      </c>
      <c r="L84" s="10" t="inlineStr">
        <is>
          <t>$10.815B FY2025, +4% YoY (company full-year results) | $8.51B market cap as of 16 Sep 2026 (stockanalysis.com) - matches the input's estimate almost exactly | flags: tariff-related cost headwinds flagged in 2025/26 outlook commentary - monitor but no</t>
        </is>
      </c>
      <c r="M84" s="10" t="inlineStr">
        <is>
          <t>[VERIFIED NEW W6] Safety-innovation narrative - crash protection, biomechanics and restraint R&amp;D map directly onto F1's halo/safety-cell and driver-protection storyline, positioning Autoliv as the safety-technology partner behind the scenes. | Financ</t>
        </is>
      </c>
    </row>
    <row r="85">
      <c r="A85" s="10" t="n">
        <v>82</v>
      </c>
      <c r="B85" s="10" t="inlineStr">
        <is>
          <t>W11</t>
        </is>
      </c>
      <c r="C85" s="10" t="inlineStr">
        <is>
          <t>29 Tech Media &amp; Gaming</t>
        </is>
      </c>
      <c r="D85" s="10" t="n">
        <v>84</v>
      </c>
      <c r="E85" s="10" t="inlineStr">
        <is>
          <t>Axel Springer SE</t>
        </is>
      </c>
      <c r="F85" s="10" t="inlineStr">
        <is>
          <t>axelspringer.com</t>
        </is>
      </c>
      <c r="G85" s="10" t="n"/>
      <c r="H85" s="10" t="inlineStr">
        <is>
          <t>Digital publishing (Bild, Die Welt, Politico, Business Insider, Morning Brew)</t>
        </is>
      </c>
      <c r="I85" s="10" t="n"/>
      <c r="J85" s="10" t="inlineStr">
        <is>
          <t>unknown</t>
        </is>
      </c>
      <c r="K85" s="10" t="inlineStr">
        <is>
          <t>verified-new</t>
        </is>
      </c>
      <c r="L85" s="10" t="inlineStr">
        <is>
          <t>EUR2.2B pro forma FY2025 (confirmed, post-classifieds split) with adjusted EBIT up 29.4% to EUR241.4M - Yahoo Finance/company results, 2026. [Note: original input estimate of EUR4.2-4.5B included the now-separated Stepstone/AVIV classifieds business;</t>
        </is>
      </c>
      <c r="M85" s="10" t="inlineStr">
        <is>
          <t xml:space="preserve">[VERIFIED NEW W11] Editorial/content partnership via Bild (Germany, home market for multiple F1 teams/sponsors) or Politico/Business Insider policy and business-of-sport coverage tie-ins. | </t>
        </is>
      </c>
    </row>
    <row r="86">
      <c r="A86" s="10" t="n">
        <v>83</v>
      </c>
      <c r="B86" s="10" t="inlineStr">
        <is>
          <t>W2</t>
        </is>
      </c>
      <c r="C86" s="10" t="inlineStr">
        <is>
          <t>01 Banking &amp; Insurance</t>
        </is>
      </c>
      <c r="D86" s="10" t="n">
        <v>84</v>
      </c>
      <c r="E86" s="10" t="inlineStr">
        <is>
          <t>Banco Davivienda</t>
        </is>
      </c>
      <c r="F86" s="10" t="inlineStr">
        <is>
          <t>davivienda.com</t>
        </is>
      </c>
      <c r="G86" s="10" t="inlineStr">
        <is>
          <t>Bogota, Colombia</t>
        </is>
      </c>
      <c r="H86" s="10" t="inlineStr">
        <is>
          <t>Retail/commercial banking across Colombia and Central America, now integrating former Scotiabank Colombia, Costa Rica an</t>
        </is>
      </c>
      <c r="I86" s="10" t="inlineStr">
        <is>
          <t>~17,000 (est.)</t>
        </is>
      </c>
      <c r="J86" s="10" t="inlineStr">
        <is>
          <t>10k+</t>
        </is>
      </c>
      <c r="K86" s="10" t="inlineStr">
        <is>
          <t>verified-new</t>
        </is>
      </c>
      <c r="L86" s="10" t="inlineStr">
        <is>
          <t>~$2.8B annualized run-rate, 2026 est. (Q2 2026 revenue COP 2.84 trillion, +49% YoY on merger consolidation) - MarketScreener/Yahoo Finance | ~$3.2B market cap as of Aug 2026 (COP 12.35 trillion) - Yahoo Finance | flags: Market cap right at the large-</t>
        </is>
      </c>
      <c r="M86" s="10" t="inlineStr">
        <is>
          <t>[VERIFIED NEW W2] Newly-enlarged regional footprint (Colombia, Costa Rica, Panama) post-Scotiabank integration; DaviBank rebrand launch is a natural moment for a bold new marketing platform like F1. | Clears threshold with merger-driven growth moment</t>
        </is>
      </c>
    </row>
    <row r="87">
      <c r="A87" s="10" t="n">
        <v>84</v>
      </c>
      <c r="B87" s="10" t="inlineStr">
        <is>
          <t>W2</t>
        </is>
      </c>
      <c r="C87" s="10" t="inlineStr">
        <is>
          <t>01 Banking &amp; Insurance</t>
        </is>
      </c>
      <c r="D87" s="10" t="n">
        <v>84</v>
      </c>
      <c r="E87" s="10" t="inlineStr">
        <is>
          <t>Banco de Chile</t>
        </is>
      </c>
      <c r="F87" s="10" t="inlineStr">
        <is>
          <t>bancochile.cl</t>
        </is>
      </c>
      <c r="G87" s="10" t="inlineStr">
        <is>
          <t>Santiago, Chile</t>
        </is>
      </c>
      <c r="H87" s="10" t="inlineStr">
        <is>
          <t>Retail and corporate banking in Chile</t>
        </is>
      </c>
      <c r="I87" s="10" t="inlineStr">
        <is>
          <t>~13,000 (est.)</t>
        </is>
      </c>
      <c r="J87" s="10" t="inlineStr">
        <is>
          <t>10k+</t>
        </is>
      </c>
      <c r="K87" s="10" t="inlineStr">
        <is>
          <t>verified-new</t>
        </is>
      </c>
      <c r="L87" s="10" t="inlineStr">
        <is>
          <t xml:space="preserve">~$3.8B annualized run-rate, 2026 (Q2 2026 operating revenue CLP 922B, +20.9% YoY) - Investing.com/company results | $21.4B market cap as of 4 Sep 2026 (+44% YoY) - stockanalysis/companiesmarketcap | flags: Q1 2026 earnings dip on provisioning before </t>
        </is>
      </c>
      <c r="M87" s="10" t="inlineStr">
        <is>
          <t>[VERIFIED NEW W2] Century-plus heritage brand with Luksic family's broader international investment profile (Quinenco holds stakes across mining, beverages, shipping); position as a prestige, first-mover Chilean financial sponsor in F1. | Mega-cap, h</t>
        </is>
      </c>
    </row>
    <row r="88">
      <c r="A88" s="10" t="n">
        <v>85</v>
      </c>
      <c r="B88" s="10" t="inlineStr">
        <is>
          <t>W11</t>
        </is>
      </c>
      <c r="C88" s="10" t="inlineStr">
        <is>
          <t>29 Tech Media &amp; Gaming</t>
        </is>
      </c>
      <c r="D88" s="10" t="n">
        <v>84</v>
      </c>
      <c r="E88" s="10" t="inlineStr">
        <is>
          <t>Banijay Group Holding N.V.</t>
        </is>
      </c>
      <c r="F88" s="10" t="inlineStr">
        <is>
          <t>banijaygroup.com</t>
        </is>
      </c>
      <c r="G88" s="10" t="n"/>
      <c r="H88" s="10" t="inlineStr">
        <is>
          <t>TV/streaming content production and distribution (Big Brother, MasterChef, Survivor formats; Endemol Shine heritage libr</t>
        </is>
      </c>
      <c r="I88" s="10" t="n"/>
      <c r="J88" s="10" t="inlineStr">
        <is>
          <t>unknown</t>
        </is>
      </c>
      <c r="K88" s="10" t="inlineStr">
        <is>
          <t>verified-new</t>
        </is>
      </c>
      <c r="L88" s="10" t="inlineStr">
        <is>
          <t xml:space="preserve">EUR4.9B FY2025 (confirmed, up from EUR4.8B in FY2024; Adjusted EBITDA EUR961M) - Banijay Group FY2025 Results, Euronext/GlobeNewswire, 5 Mar 2026. [Original input estimate of ~EUR3.5B was too low; revised upward on verification.] |  | flags: Revenue </t>
        </is>
      </c>
      <c r="M88" s="10" t="inlineStr">
        <is>
          <t xml:space="preserve">[VERIFIED NEW W11] Content/format partnership - F1-branded docuseries or reality format co-production (Banijay's Drive to Survive-adjacent unscripted expertise), plus a separate approach to Banijay Gaming as a sports-betting sponsor prospect. | </t>
        </is>
      </c>
    </row>
    <row r="89">
      <c r="A89" s="10" t="n">
        <v>86</v>
      </c>
      <c r="B89" s="10" t="inlineStr">
        <is>
          <t>W1</t>
        </is>
      </c>
      <c r="C89" s="10" t="inlineStr">
        <is>
          <t>53 Consumer &amp; Lifestyle</t>
        </is>
      </c>
      <c r="D89" s="10" t="n">
        <v>84</v>
      </c>
      <c r="E89" s="10" t="inlineStr">
        <is>
          <t>Bestseller</t>
        </is>
      </c>
      <c r="F89" s="10" t="inlineStr">
        <is>
          <t>bestseller.com</t>
        </is>
      </c>
      <c r="G89" s="10" t="inlineStr">
        <is>
          <t>Brande, Denmark</t>
        </is>
      </c>
      <c r="H89" s="10" t="inlineStr">
        <is>
          <t>Fast-fashion apparel (Jack &amp; Jones, Vero Moda, Only, Vila, and others)</t>
        </is>
      </c>
      <c r="I89" s="10" t="inlineStr">
        <is>
          <t>~17,000 (est.)</t>
        </is>
      </c>
      <c r="J89" s="10" t="inlineStr">
        <is>
          <t>10k+</t>
        </is>
      </c>
      <c r="K89" s="10" t="inlineStr">
        <is>
          <t>verified-new</t>
        </is>
      </c>
      <c r="L89" s="10" t="inlineStr">
        <is>
          <t>DKK38.1B / ~$5.9B (FY2024/25, verified — Bestseller press release, Fibre2Fashion, Ecotextile News), up 7% YoY, record year in company's 50th anniversary | Family-owned, none published | flags: Anders Holch Povlsen is also majority shareholder of publ</t>
        </is>
      </c>
      <c r="M89" s="10" t="inlineStr">
        <is>
          <t>[VERIFIED NEW W1] Youth-fashion multi-brand tie-in (Jack &amp; Jones/Vero Moda/Only) at a European race weekend (Zandvoort/Spa/Monza) targeting F1's younger, fashion-conscious fan growth demographic. | Verified strong, growing revenue; genuinely global m</t>
        </is>
      </c>
    </row>
    <row r="90">
      <c r="A90" s="10" t="n">
        <v>87</v>
      </c>
      <c r="B90" s="10" t="inlineStr">
        <is>
          <t>W1</t>
        </is>
      </c>
      <c r="C90" s="10" t="inlineStr">
        <is>
          <t>53 Consumer &amp; Lifestyle</t>
        </is>
      </c>
      <c r="D90" s="10" t="n">
        <v>84</v>
      </c>
      <c r="E90" s="10" t="inlineStr">
        <is>
          <t>Birkenstock Holding plc</t>
        </is>
      </c>
      <c r="F90" s="10" t="inlineStr">
        <is>
          <t>birkenstock.com</t>
        </is>
      </c>
      <c r="G90" s="10" t="inlineStr">
        <is>
          <t>Linz am Rhein, Germany (Netherlands-incorporated, NYSE-listed)</t>
        </is>
      </c>
      <c r="H90" s="10" t="inlineStr">
        <is>
          <t>Birkenstock footwear sold globally via wholesale and DTC</t>
        </is>
      </c>
      <c r="I90" s="10" t="inlineStr">
        <is>
          <t>~7,500 employees (input est.)</t>
        </is>
      </c>
      <c r="J90" s="10" t="inlineStr">
        <is>
          <t>5k-10k</t>
        </is>
      </c>
      <c r="K90" s="10" t="inlineStr">
        <is>
          <t>verified-new</t>
        </is>
      </c>
      <c r="L90" s="10" t="inlineStr">
        <is>
          <t>EUR 2.1B (~US$2.27B) FY2025 (year ended Sept 30, 2025), +16% reported / +18% constant currency, beating guidance (company earnings release, verified Sept 2026) | ~US$8B market cap, confirmed via web search as of Sept 2026 (consistent with input)</t>
        </is>
      </c>
      <c r="M90" s="10" t="inlineStr">
        <is>
          <t>[VERIFIED NEW W1] Paddock Club / fan-zone comfort partnership (limited-edition GP-branded styles), targeting F1's growing affluent, younger, fashion-conscious fanbase; L Catterton's network could support a broader portfolio conversation. | Strong mar</t>
        </is>
      </c>
    </row>
    <row r="91">
      <c r="A91" s="10" t="n">
        <v>88</v>
      </c>
      <c r="B91" s="10" t="inlineStr">
        <is>
          <t>W7</t>
        </is>
      </c>
      <c r="C91" s="10" t="inlineStr">
        <is>
          <t>02 Energy &amp; Industrial</t>
        </is>
      </c>
      <c r="D91" s="10" t="n">
        <v>84</v>
      </c>
      <c r="E91" s="10" t="inlineStr">
        <is>
          <t>Brookfield Renewable</t>
        </is>
      </c>
      <c r="F91" s="10" t="inlineStr">
        <is>
          <t>brookfieldrenewable.com</t>
        </is>
      </c>
      <c r="G91" s="10" t="n"/>
      <c r="H91" s="10" t="inlineStr">
        <is>
          <t>Hydro, wind, solar and storage power generation and long-term PPAs, plus renewable project development, globally</t>
        </is>
      </c>
      <c r="I91" s="10" t="n"/>
      <c r="J91" s="10" t="inlineStr">
        <is>
          <t>unknown</t>
        </is>
      </c>
      <c r="K91" s="10" t="inlineStr">
        <is>
          <t>verified-new</t>
        </is>
      </c>
      <c r="L91" s="10" t="inlineStr">
        <is>
          <t>$3.72B FY2025 revenue (confirmed) - below the $5.3B input estimate |  | flags: revenue and market cap both came in below input estimates ($3.72B vs $5.3B revenue est.; ~$6.9B vs $9B cap est.) - re-baseline expectations; majority-controlled by Brookfi</t>
        </is>
      </c>
      <c r="M91" s="10" t="inlineStr">
        <is>
          <t xml:space="preserve">[VERIFIED NEW W7] Renewable power and Net Zero 2030 sustainability partner - hydro/wind/solar/storage platform aligns directly with F1's decarbonization and sustainable-fuels storyline. | </t>
        </is>
      </c>
    </row>
    <row r="92">
      <c r="A92" s="10" t="n">
        <v>89</v>
      </c>
      <c r="B92" s="10" t="inlineStr">
        <is>
          <t>W1</t>
        </is>
      </c>
      <c r="C92" s="10" t="inlineStr">
        <is>
          <t>53 Consumer &amp; Lifestyle</t>
        </is>
      </c>
      <c r="D92" s="10" t="n">
        <v>84</v>
      </c>
      <c r="E92" s="10" t="inlineStr">
        <is>
          <t>Buc-ee's</t>
        </is>
      </c>
      <c r="F92" s="10" t="inlineStr">
        <is>
          <t>buc-ees.com</t>
        </is>
      </c>
      <c r="G92" s="10" t="inlineStr">
        <is>
          <t>Lake Jackson, Texas, USA</t>
        </is>
      </c>
      <c r="H92" s="10" t="inlineStr">
        <is>
          <t>Travel-center / convenience retail chain and fuel stations (mega-stores)</t>
        </is>
      </c>
      <c r="I92" s="10" t="inlineStr">
        <is>
          <t>~10,000 (est.)</t>
        </is>
      </c>
      <c r="J92" s="10" t="inlineStr">
        <is>
          <t>10k+</t>
        </is>
      </c>
      <c r="K92" s="10" t="inlineStr">
        <is>
          <t>verified-new</t>
        </is>
      </c>
      <c r="L92" s="10" t="inlineStr">
        <is>
          <t>~$1.5-2B (2025, est. — sources conflict from $629M to $2.1B; privately held, no audited disclosure) | Family-owned, none published | flags: revenue estimates vary widely across sources (private company, no audited financials); existing motorsport aff</t>
        </is>
      </c>
      <c r="M92" s="10" t="inlineStr">
        <is>
          <t>[VERIFIED NEW W1] Position F1 (Austin COTA / Miami GP) as the next step up from Buc-ee's NASCAR dabbling — road-trip Americana brand activation (trackside retail/beaver mascot fan engagement) tied to its home-state US Grand Prix. | Large, well-capita</t>
        </is>
      </c>
    </row>
    <row r="93">
      <c r="A93" s="10" t="n">
        <v>90</v>
      </c>
      <c r="B93" s="10" t="inlineStr">
        <is>
          <t>W13</t>
        </is>
      </c>
      <c r="C93" s="10" t="inlineStr">
        <is>
          <t>Commercial Vehicles</t>
        </is>
      </c>
      <c r="D93" s="10" t="n">
        <v>84</v>
      </c>
      <c r="E93" s="10" t="inlineStr">
        <is>
          <t>Bucher Industries AG</t>
        </is>
      </c>
      <c r="F93" s="10" t="inlineStr">
        <is>
          <t>bucherindustries.com</t>
        </is>
      </c>
      <c r="G93" s="10" t="inlineStr">
        <is>
          <t>Niederweningen, Switzerland</t>
        </is>
      </c>
      <c r="H93" s="10" t="inlineStr">
        <is>
          <t>Municipal vehicles (street sweepers, Bucher Municipal), agricultural machinery (Kuhn) and specialty vehicle equipment</t>
        </is>
      </c>
      <c r="I93" s="10" t="inlineStr">
        <is>
          <t>10k+</t>
        </is>
      </c>
      <c r="J93" s="10" t="inlineStr">
        <is>
          <t>10k+</t>
        </is>
      </c>
      <c r="K93" s="10" t="inlineStr">
        <is>
          <t>verified-new</t>
        </is>
      </c>
      <c r="L93" s="10" t="inlineStr">
        <is>
          <t>CHF 2.9B (~$3.68B USD) in FY2025, reported with 2026 annual results (companiesmarketcap.com/investing.com, Mar 2026) - far exceeds the $100M hard bar | Market cap ranged ~CHF 2.88B-$4.9B across 2026 reporting dates (disfold.com/companiesmarketcap.com</t>
        </is>
      </c>
      <c r="M93" s="10" t="inlineStr">
        <is>
          <t xml:space="preserve">[VERIFIED NEW W13] Precision-agriculture technology story via the Kuhn brand (data-driven farming, efficiency/performance) paired with Bucher's global-champion narrative as a Swiss engineering group - commercial/municipal vehicles is an open sponsor </t>
        </is>
      </c>
    </row>
    <row r="94">
      <c r="A94" s="10" t="n">
        <v>91</v>
      </c>
      <c r="B94" s="10" t="inlineStr">
        <is>
          <t>W2</t>
        </is>
      </c>
      <c r="C94" s="10" t="inlineStr">
        <is>
          <t>01 Banking &amp; Insurance</t>
        </is>
      </c>
      <c r="D94" s="10" t="n">
        <v>84</v>
      </c>
      <c r="E94" s="10" t="inlineStr">
        <is>
          <t>CTBC Financial Holding</t>
        </is>
      </c>
      <c r="F94" s="10" t="inlineStr">
        <is>
          <t>ctbcholding.com</t>
        </is>
      </c>
      <c r="G94" s="10" t="inlineStr">
        <is>
          <t>Taiwan</t>
        </is>
      </c>
      <c r="H94" s="10" t="inlineStr">
        <is>
          <t>Banking, life insurance, securities to Taiwanese and regional (Asia) consumers/corporates</t>
        </is>
      </c>
      <c r="I94" s="10" t="inlineStr">
        <is>
          <t>25k-50k (~28,000 est., unverified this pass)</t>
        </is>
      </c>
      <c r="J94" s="10" t="inlineStr">
        <is>
          <t>10k+</t>
        </is>
      </c>
      <c r="K94" s="10" t="inlineStr">
        <is>
          <t>verified-new</t>
        </is>
      </c>
      <c r="L94" s="10" t="inlineStr">
        <is>
          <t>TTM revenue ~US$8B equivalent (reported as S$10.63B, Aug 2026); H1 2026 net profit TWD39.5B, up 10% YoY - record high, shareholders' equity +59.5% YoY - clearly profitable and growing | Market cap ~TWD1.28T (~US$39B at ~32.5 TWD/USD) as of Aug 19, 20</t>
        </is>
      </c>
      <c r="M94" s="10" t="inlineStr">
        <is>
          <t>[VERIFIED NEW W2] Leverage CTBC's proven heavy sports-marketing spend (baseball/basketball/esports ownership) to pitch F1 as the next step up to a global platform for its international growth ambitions | Mega-cap, record profits, no F1 tie, and an un</t>
        </is>
      </c>
    </row>
    <row r="95">
      <c r="A95" s="10" t="n">
        <v>92</v>
      </c>
      <c r="B95" s="10" t="inlineStr">
        <is>
          <t>W7</t>
        </is>
      </c>
      <c r="C95" s="10" t="inlineStr">
        <is>
          <t>02 Energy &amp; Industrial</t>
        </is>
      </c>
      <c r="D95" s="10" t="n">
        <v>84</v>
      </c>
      <c r="E95" s="10" t="inlineStr">
        <is>
          <t>Cactus Inc</t>
        </is>
      </c>
      <c r="F95" s="10" t="inlineStr">
        <is>
          <t>cactuswellhead.com</t>
        </is>
      </c>
      <c r="G95" s="10" t="n"/>
      <c r="H95" s="10" t="inlineStr">
        <is>
          <t>Wellhead, pressure-control equipment and spoolable pipe technology to onshore E&amp;Ps</t>
        </is>
      </c>
      <c r="I95" s="10" t="n"/>
      <c r="J95" s="10" t="inlineStr">
        <is>
          <t>unknown</t>
        </is>
      </c>
      <c r="K95" s="10" t="inlineStr">
        <is>
          <t>verified-new</t>
        </is>
      </c>
      <c r="L95" s="10" t="inlineStr">
        <is>
          <t>$1.07B FY2025 revenue (confirmed); TTM $1.18B as of Sept 2026 |  | flags: market cap correction upward ($4.79B vs $3.6B est. in input) - reconfirm at outreach; modest headcount (~1,600) relative to F1 sponsorship activation scale</t>
        </is>
      </c>
      <c r="M95" s="10" t="inlineStr">
        <is>
          <t xml:space="preserve">[VERIFIED NEW W7] Precision-engineering and pressure-control technology partner - spoolable pipe/wellhead innovation parallels F1 component engineering. | </t>
        </is>
      </c>
    </row>
    <row r="96">
      <c r="A96" s="10" t="n">
        <v>93</v>
      </c>
      <c r="B96" s="10" t="inlineStr">
        <is>
          <t>W1</t>
        </is>
      </c>
      <c r="C96" s="10" t="inlineStr">
        <is>
          <t>53 Consumer &amp; Lifestyle</t>
        </is>
      </c>
      <c r="D96" s="10" t="n">
        <v>84</v>
      </c>
      <c r="E96" s="10" t="inlineStr">
        <is>
          <t>Calzedonia Group (Oniverse)</t>
        </is>
      </c>
      <c r="F96" s="10" t="inlineStr">
        <is>
          <t>calzedoniagroup.com</t>
        </is>
      </c>
      <c r="G96" s="10" t="inlineStr">
        <is>
          <t>Dossobuono (Verona), Italy</t>
        </is>
      </c>
      <c r="H96" s="10" t="inlineStr">
        <is>
          <t xml:space="preserve">Apparel/hosiery/intimates retail (Calzedonia, Intimissimi, Tezenis, Falconeri); rebranded corporate holding as Oniverse </t>
        </is>
      </c>
      <c r="I96" s="10" t="inlineStr">
        <is>
          <t>~40,000 (est.)</t>
        </is>
      </c>
      <c r="J96" s="10" t="inlineStr">
        <is>
          <t>10k+</t>
        </is>
      </c>
      <c r="K96" s="10" t="inlineStr">
        <is>
          <t>verified-new</t>
        </is>
      </c>
      <c r="L96" s="10" t="inlineStr">
        <is>
          <t>€3.7B (2025, verified — FIRSTonline, Modaes Global), up 4.8% YoY; €3.527B in 2024 | Family-owned, none published</t>
        </is>
      </c>
      <c r="M96" s="10" t="inlineStr">
        <is>
          <t>[VERIFIED NEW W1] Italian heritage brand activation around Monza/Imola Grand Prix weekends — apparel/intimates lifestyle tie-in leveraging the group's home-market pride and Ferrari-adjacent Italian motorsport culture. | Verified, growing multi-billio</t>
        </is>
      </c>
    </row>
    <row r="97">
      <c r="A97" s="10" t="n">
        <v>94</v>
      </c>
      <c r="B97" s="10" t="inlineStr">
        <is>
          <t>W7</t>
        </is>
      </c>
      <c r="C97" s="10" t="inlineStr">
        <is>
          <t>02 Energy &amp; Industrial</t>
        </is>
      </c>
      <c r="D97" s="10" t="n">
        <v>84</v>
      </c>
      <c r="E97" s="10" t="inlineStr">
        <is>
          <t>Capital Power Corporation</t>
        </is>
      </c>
      <c r="F97" s="10" t="inlineStr">
        <is>
          <t>capitalpower.com</t>
        </is>
      </c>
      <c r="G97" s="10" t="n"/>
      <c r="H97" s="10" t="inlineStr">
        <is>
          <t>Wind, solar, natural-gas and battery-storage power generation sold via PPAs to North American utilities and corporates</t>
        </is>
      </c>
      <c r="I97" s="10" t="n"/>
      <c r="J97" s="10" t="inlineStr">
        <is>
          <t>unknown</t>
        </is>
      </c>
      <c r="K97" s="10" t="inlineStr">
        <is>
          <t>verified-new</t>
        </is>
      </c>
      <c r="L97" s="10" t="inlineStr">
        <is>
          <t xml:space="preserve"> |  | flags: not F1-tied; minority municipal ownership via EPCOR/City of Edmonton (~9%, flag not disqualifying); revenue and market cap both notably higher than original estimate - update; estimate flagged (updated)</t>
        </is>
      </c>
      <c r="M97" s="10" t="inlineStr">
        <is>
          <t>[VERIFIED NEW W7] Canadian GP hospitality package + gas-to-renewables transition narrative for Net Zero 2030; disclose the minority EPCOR/City of Edmonton stake in diligence materials. | Independent Canadian power producer with confirmed large-cap re</t>
        </is>
      </c>
    </row>
    <row r="98">
      <c r="A98" s="10" t="n">
        <v>95</v>
      </c>
      <c r="B98" s="10" t="inlineStr">
        <is>
          <t>W2</t>
        </is>
      </c>
      <c r="C98" s="10" t="inlineStr">
        <is>
          <t>01 Banking &amp; Insurance</t>
        </is>
      </c>
      <c r="D98" s="10" t="n">
        <v>84</v>
      </c>
      <c r="E98" s="10" t="inlineStr">
        <is>
          <t>Cholamandalam Investment and Finance Company</t>
        </is>
      </c>
      <c r="F98" s="10" t="inlineStr">
        <is>
          <t>cholamandalam.com</t>
        </is>
      </c>
      <c r="G98" s="10" t="inlineStr">
        <is>
          <t>Chennai, India</t>
        </is>
      </c>
      <c r="H98" s="10" t="inlineStr">
        <is>
          <t>Vehicle finance, home loans, and SME/loan-against-property lending across India</t>
        </is>
      </c>
      <c r="I98" s="10" t="inlineStr">
        <is>
          <t>~40,000 (est.)</t>
        </is>
      </c>
      <c r="J98" s="10" t="inlineStr">
        <is>
          <t>10k+</t>
        </is>
      </c>
      <c r="K98" s="10" t="inlineStr">
        <is>
          <t>verified-new</t>
        </is>
      </c>
      <c r="L98" s="10" t="inlineStr">
        <is>
          <t>$3.58B consolidated total income, FY2026 (ended Mar-2026: Rs 31,538.73 Cr, +20.6% YoY) - Screener/Whalesbook | ~$17.9B market cap as of 4 Sep 2026 (Rs 1,57,063 Cr) - companiesmarketcap/valueresearchonline | flags: NBFC sector remains subject to RBI r</t>
        </is>
      </c>
      <c r="M98" s="10" t="inlineStr">
        <is>
          <t>[VERIFIED NEW W2] Position around India's growth-market motorsport fandom and vehicle-finance/auto-loan customer overlap with F1's expanding South Asian audience; tie to Murugappa Group's broader industrial/engineering ambitions. | Large, profitable,</t>
        </is>
      </c>
    </row>
    <row r="99">
      <c r="A99" s="10" t="n">
        <v>96</v>
      </c>
      <c r="B99" s="10" t="inlineStr">
        <is>
          <t>W3</t>
        </is>
      </c>
      <c r="C99" s="10" t="inlineStr">
        <is>
          <t>42 Health &amp; Wellness</t>
        </is>
      </c>
      <c r="D99" s="10" t="n">
        <v>84</v>
      </c>
      <c r="E99" s="10" t="inlineStr">
        <is>
          <t>Chugai Pharmaceutical Co., Ltd.</t>
        </is>
      </c>
      <c r="F99" s="10" t="inlineStr">
        <is>
          <t>chugai-pharm.co.jp</t>
        </is>
      </c>
      <c r="G99" s="10" t="n"/>
      <c r="H99" s="10" t="n"/>
      <c r="I99" s="10" t="n"/>
      <c r="J99" s="10" t="inlineStr">
        <is>
          <t>unknown</t>
        </is>
      </c>
      <c r="K99" s="10" t="inlineStr">
        <is>
          <t>verified-new</t>
        </is>
      </c>
      <c r="L99" s="10" t="inlineStr">
        <is>
          <t xml:space="preserve"> |  | flags: Majority-owned by Roche (~61%) - confirm Chugai board has independent authority to approve sponsorship spend without Roche sign-off; B2B/institutional biologics business with limited direct consumer marketing history - may affect activat</t>
        </is>
      </c>
      <c r="M99" s="10" t="inlineStr">
        <is>
          <t>[VERIFIED NEW W3] Position around Chugai's global scientific leadership and Roche-partnered biologics royalty growth story; frame F1 as global-visibility platform matching its international (non-Japan) revenue ambitions - loop in confirmation of spon</t>
        </is>
      </c>
    </row>
    <row r="100">
      <c r="A100" s="10" t="n">
        <v>97</v>
      </c>
      <c r="B100" s="10" t="inlineStr">
        <is>
          <t>W3</t>
        </is>
      </c>
      <c r="C100" s="10" t="inlineStr">
        <is>
          <t>42 Health &amp; Wellness</t>
        </is>
      </c>
      <c r="D100" s="10" t="n">
        <v>84</v>
      </c>
      <c r="E100" s="10" t="inlineStr">
        <is>
          <t>Cochlear Limited</t>
        </is>
      </c>
      <c r="F100" s="10" t="inlineStr">
        <is>
          <t>cochlear.com</t>
        </is>
      </c>
      <c r="G100" s="10" t="inlineStr">
        <is>
          <t>Australia</t>
        </is>
      </c>
      <c r="H100" s="10" t="inlineStr">
        <is>
          <t>Cochlear implants sold to surgeons/hospitals for hearing-impaired patients</t>
        </is>
      </c>
      <c r="I100" s="10" t="inlineStr">
        <is>
          <t>1,000-5,000 (~4,700 est)</t>
        </is>
      </c>
      <c r="J100" s="10" t="inlineStr">
        <is>
          <t>5k-10k</t>
        </is>
      </c>
      <c r="K100" s="10" t="inlineStr">
        <is>
          <t>verified-new</t>
        </is>
      </c>
      <c r="L100" s="10" t="inlineStr">
        <is>
          <t>FY2025 (year ended Jun 2025) sales revenue AUD 2,355.8M (~$1.54B USD), +4% (+3% cc); implant revenue +11% to AUD 1,470.2M; underlying net profit AUD 392M, low end of guidance (WebSearch, ASX filing/company results) | ~AUD 8.91-8.98B / ~$5.9B USD mark</t>
        </is>
      </c>
      <c r="M100" s="10" t="inlineStr">
        <is>
          <t>[VERIFIED NEW W3] "Restoring performance at the highest level" - precision neural-audio engineering framed around life-restoration and patient dignity, not spectacle; pair with a patient-ambassador story rather than product hero shots. | Profitable g</t>
        </is>
      </c>
    </row>
    <row r="101">
      <c r="A101" s="10" t="n">
        <v>98</v>
      </c>
      <c r="B101" s="10" t="inlineStr">
        <is>
          <t>W1</t>
        </is>
      </c>
      <c r="C101" s="10" t="inlineStr">
        <is>
          <t>53 Consumer &amp; Lifestyle</t>
        </is>
      </c>
      <c r="D101" s="10" t="n">
        <v>84</v>
      </c>
      <c r="E101" s="10" t="inlineStr">
        <is>
          <t>Crocs, Inc.</t>
        </is>
      </c>
      <c r="F101" s="10" t="inlineStr">
        <is>
          <t>crocs.com</t>
        </is>
      </c>
      <c r="G101" s="10" t="inlineStr">
        <is>
          <t>Broomfield, Colorado, USA</t>
        </is>
      </c>
      <c r="H101" s="10" t="inlineStr">
        <is>
          <t>Crocs and HEYDUDE footwear, sold globally via retail/DTC and e-commerce</t>
        </is>
      </c>
      <c r="I101" s="10" t="inlineStr">
        <is>
          <t>~6,500 employees (input est.; asset-light model with outsourced manufacturing)</t>
        </is>
      </c>
      <c r="J101" s="10" t="inlineStr">
        <is>
          <t>5k-10k</t>
        </is>
      </c>
      <c r="K101" s="10" t="inlineStr">
        <is>
          <t>verified-new</t>
        </is>
      </c>
      <c r="L101" s="10" t="inlineStr">
        <is>
          <t>FY2025 revenue exceeded US$4.0B (company Q4/FY25 press release, Feb 2026), led by low-double-digit international growth for the Crocs Brand | US$5.86B market cap as of Sept 18, 2026 (stockanalysis.com/companiesmarketcap.com)</t>
        </is>
      </c>
      <c r="M101" s="10" t="inlineStr">
        <is>
          <t>[VERIFIED NEW W1] Limited-edition Grand Prix-themed Crocs/Jibbitz drop (e.g., tied to Mexico City or Miami GP) leveraging Crocs' existing pop-culture collaboration strategy and fan-merchandise model. | Strong balance sheet, global growth story, a pro</t>
        </is>
      </c>
    </row>
    <row r="102">
      <c r="A102" s="10" t="n">
        <v>99</v>
      </c>
      <c r="B102" s="10" t="inlineStr">
        <is>
          <t>W13</t>
        </is>
      </c>
      <c r="C102" s="10" t="inlineStr">
        <is>
          <t>56 Robotics AI</t>
        </is>
      </c>
      <c r="D102" s="10" t="n">
        <v>84</v>
      </c>
      <c r="E102" s="10" t="inlineStr">
        <is>
          <t>Delta Electronics</t>
        </is>
      </c>
      <c r="F102" s="10" t="inlineStr">
        <is>
          <t>deltaww.com</t>
        </is>
      </c>
      <c r="G102" s="10" t="inlineStr">
        <is>
          <t>Taipei, Taiwan</t>
        </is>
      </c>
      <c r="H102" s="10" t="inlineStr">
        <is>
          <t>Industrial automation and robotics (robot arms, machine vision) plus power electronics</t>
        </is>
      </c>
      <c r="I102" s="10" t="inlineStr">
        <is>
          <t>10k+</t>
        </is>
      </c>
      <c r="J102" s="10" t="inlineStr">
        <is>
          <t>10k+</t>
        </is>
      </c>
      <c r="K102" s="10" t="inlineStr">
        <is>
          <t>verified-new</t>
        </is>
      </c>
      <c r="L102" s="10" t="inlineStr">
        <is>
          <t>$14B+ group revenue, FY2024 (public results) | ~$30B+ market cap (Taiwan Stock Exchange, public) | flags: robotics is only one of several segments -- power electronics, EV components and ICT infrastructure make up most of group revenue</t>
        </is>
      </c>
      <c r="M102" s="10" t="inlineStr">
        <is>
          <t>[VERIFIED NEW W13] "Invisible engineering" angle: Delta's power electronics and robotics as the precision technology powering both EV drivetrains and the pit garage -- a supplier story for an unclaimed robotics/automation category. | All hard filters</t>
        </is>
      </c>
    </row>
    <row r="103">
      <c r="A103" s="10" t="n">
        <v>100</v>
      </c>
      <c r="B103" s="10" t="inlineStr">
        <is>
          <t>W13</t>
        </is>
      </c>
      <c r="C103" s="10" t="inlineStr">
        <is>
          <t>32 Defense &amp; Industrial AI</t>
        </is>
      </c>
      <c r="D103" s="10" t="n">
        <v>84</v>
      </c>
      <c r="E103" s="10" t="inlineStr">
        <is>
          <t>Diehl Stiftung &amp; Co. KG (Diehl Group)</t>
        </is>
      </c>
      <c r="F103" s="10" t="inlineStr">
        <is>
          <t>diehl.com</t>
        </is>
      </c>
      <c r="G103" s="10" t="inlineStr">
        <is>
          <t>Nuremberg, Germany</t>
        </is>
      </c>
      <c r="H103" s="10" t="inlineStr">
        <is>
          <t>Precision-guided munitions and air-defense systems (Diehl Defence), plus industrial/metering technology</t>
        </is>
      </c>
      <c r="I103" s="10" t="inlineStr">
        <is>
          <t>10k+</t>
        </is>
      </c>
      <c r="J103" s="10" t="inlineStr">
        <is>
          <t>10k+</t>
        </is>
      </c>
      <c r="K103" s="10" t="inlineStr">
        <is>
          <t>verified-new</t>
        </is>
      </c>
      <c r="L103" s="10" t="inlineStr">
        <is>
          <t>€4,695.8M (2024, +20.9% YoY, per Diehl Group annual report) | No published valuation (family-owned) -- passes on revenue alone per the family-owned exemption | flags: family-owned with limited public financial disclosure beyond headline figures; defe</t>
        </is>
      </c>
      <c r="M103" s="10" t="inlineStr">
        <is>
          <t>[VERIFIED NEW W13] Precision-under-pressure engineering story: Diehl's guided-systems and aerospace-grade manufacturing tolerances as a natural technology-partner narrative for F1's own precision-engineering culture, told through its commercial (non-</t>
        </is>
      </c>
    </row>
    <row r="104">
      <c r="A104" s="10" t="n">
        <v>101</v>
      </c>
      <c r="B104" s="10" t="inlineStr">
        <is>
          <t>W6</t>
        </is>
      </c>
      <c r="C104" s="10" t="inlineStr">
        <is>
          <t>46 Tools &amp; Industrial Supply</t>
        </is>
      </c>
      <c r="D104" s="10" t="n">
        <v>84</v>
      </c>
      <c r="E104" s="10" t="inlineStr">
        <is>
          <t>Diploma PLC</t>
        </is>
      </c>
      <c r="F104" s="10" t="inlineStr">
        <is>
          <t>diplomaplc.com</t>
        </is>
      </c>
      <c r="G104" s="10" t="inlineStr">
        <is>
          <t>London, United Kingdom</t>
        </is>
      </c>
      <c r="H104" s="10" t="inlineStr">
        <is>
          <t>Specialty technical products distribution (seals, controls, life sciences)</t>
        </is>
      </c>
      <c r="I104" s="10" t="inlineStr">
        <is>
          <t>~3,000</t>
        </is>
      </c>
      <c r="J104" s="10" t="inlineStr">
        <is>
          <t>1k-5k</t>
        </is>
      </c>
      <c r="K104" s="10" t="inlineStr">
        <is>
          <t>verified-new</t>
        </is>
      </c>
      <c r="L104" s="10" t="inlineStr">
        <is>
          <t>£1,524.5M (~$2.05B), FY2025 (year ended Sep 2025), +12% YoY (Diploma FY25 full-year results, Nov 2025) | £9.75B market cap (~$13.1B) as of Sep 2026 (stockanalysis.com/companiesmarketcap) | flags: decentralized multi-business model means low single-br</t>
        </is>
      </c>
      <c r="M104" s="10" t="inlineStr">
        <is>
          <t>[VERIFIED NEW W6] "Trusted for critical systems" precision-engineering narrative - seals/controls reliability under extreme conditions maps naturally to F1's safety-critical component supply chain; life-sciences arm could alternatively support a driv</t>
        </is>
      </c>
    </row>
    <row r="105">
      <c r="A105" s="10" t="n">
        <v>102</v>
      </c>
      <c r="B105" s="10" t="inlineStr">
        <is>
          <t>W3</t>
        </is>
      </c>
      <c r="C105" s="10" t="inlineStr">
        <is>
          <t>42 Health &amp; Wellness</t>
        </is>
      </c>
      <c r="D105" s="10" t="n">
        <v>84</v>
      </c>
      <c r="E105" s="10" t="inlineStr">
        <is>
          <t>Elevance Health, Inc.</t>
        </is>
      </c>
      <c r="F105" s="10" t="inlineStr">
        <is>
          <t>elevancehealth.com</t>
        </is>
      </c>
      <c r="G105" s="10" t="n"/>
      <c r="H105" s="10" t="n"/>
      <c r="I105" s="10" t="n"/>
      <c r="J105" s="10" t="inlineStr">
        <is>
          <t>unknown</t>
        </is>
      </c>
      <c r="K105" s="10" t="inlineStr">
        <is>
          <t>verified-new</t>
        </is>
      </c>
      <c r="L105" s="10" t="inlineStr">
        <is>
          <t xml:space="preserve">FY2025 revenue $199.1B (+13% YoY); TTM revenue as of Sept 2026 ~$201.1B - stockanalysis.com/company earnings releases |  | flags: dignity framing required - insurance/claims messaging is sensitive for patients; figures are largely confirmed but some </t>
        </is>
      </c>
      <c r="M105" s="10" t="inlineStr">
        <is>
          <t xml:space="preserve">[VERIFIED NEW W3] Population-health/wellness-technology innovation narrative rather than insurance-specific messaging - frame around preventive health, employer partnerships, and performance-oriented wellness programs that echo F1's high-performance </t>
        </is>
      </c>
    </row>
    <row r="106">
      <c r="A106" s="10" t="n">
        <v>103</v>
      </c>
      <c r="B106" s="10" t="inlineStr">
        <is>
          <t>W7</t>
        </is>
      </c>
      <c r="C106" s="10" t="inlineStr">
        <is>
          <t>02 Energy &amp; Industrial</t>
        </is>
      </c>
      <c r="D106" s="10" t="n">
        <v>84</v>
      </c>
      <c r="E106" s="10" t="inlineStr">
        <is>
          <t>Energy Transfer</t>
        </is>
      </c>
      <c r="F106" s="10" t="inlineStr">
        <is>
          <t>energytransfer.com</t>
        </is>
      </c>
      <c r="G106" s="10" t="n"/>
      <c r="H106" s="10" t="inlineStr">
        <is>
          <t>Midstream: crude, NGL and natural gas pipelines, storage, terminals and LNG export capacity</t>
        </is>
      </c>
      <c r="I106" s="10" t="n"/>
      <c r="J106" s="10" t="inlineStr">
        <is>
          <t>unknown</t>
        </is>
      </c>
      <c r="K106" s="10" t="inlineStr">
        <is>
          <t>verified-new</t>
        </is>
      </c>
      <c r="L106" s="10" t="inlineStr">
        <is>
          <t>Adjusted EBITDA $16.0B FY2025 (+3% YoY) per ir.energytransfer.com Q4 2025 release; exact total revenue figure not isolated from FY2025 10-K in search results, ~$85B (est) - search budget partially spent on this line |  | flags: MLP structure (K-1 tax</t>
        </is>
      </c>
      <c r="M106" s="10" t="inlineStr">
        <is>
          <t xml:space="preserve">[VERIFIED NEW W7] Energy-infrastructure/logistics partner narrative with US GP (COTA/Miami/Las Vegas) corporate hospitality. | </t>
        </is>
      </c>
    </row>
    <row r="107">
      <c r="A107" s="10" t="n">
        <v>104</v>
      </c>
      <c r="B107" s="10" t="inlineStr">
        <is>
          <t>W5</t>
        </is>
      </c>
      <c r="C107" s="10" t="inlineStr">
        <is>
          <t>47 Vertical SaaS</t>
        </is>
      </c>
      <c r="D107" s="10" t="n">
        <v>84</v>
      </c>
      <c r="E107" s="10" t="inlineStr">
        <is>
          <t>EngageSmart</t>
        </is>
      </c>
      <c r="F107" s="10" t="inlineStr">
        <is>
          <t>engagesmart.com</t>
        </is>
      </c>
      <c r="G107" s="10" t="inlineStr">
        <is>
          <t>Braintree, MA, USA</t>
        </is>
      </c>
      <c r="H107" s="10" t="inlineStr">
        <is>
          <t>Customer engagement, billing and payments software (SimplePractice, InvoiceCloud, DonorDrive brands)</t>
        </is>
      </c>
      <c r="I107" s="10" t="inlineStr">
        <is>
          <t>~1,800 (est.)</t>
        </is>
      </c>
      <c r="J107" s="10" t="inlineStr">
        <is>
          <t>1k-5k</t>
        </is>
      </c>
      <c r="K107" s="10" t="inlineStr">
        <is>
          <t>verified-new</t>
        </is>
      </c>
      <c r="L107" s="10" t="inlineStr">
        <is>
          <t xml:space="preserve">~$430-450M (est., last disclosed public trailing revenue pre-take-private, FY2023) | $4.0B (2024 Vista/General Atlantic take-private, multi-source confirmed) | flags: Taken private &lt;2 years ago - no post-close financials disclosed; Historic reliance </t>
        </is>
      </c>
      <c r="M107" s="10" t="inlineStr">
        <is>
          <t>[VERIFIED NEW W5] Customer-engagement/billing platform across healthcare, government and nonprofit verticals - broad SMB base offers co-marketing/activation potential tied to F1 fan engagement themes. | Solid revenue, confirmed $1B+ valuation, very l</t>
        </is>
      </c>
    </row>
    <row r="108">
      <c r="A108" s="10" t="n">
        <v>105</v>
      </c>
      <c r="B108" s="10" t="inlineStr">
        <is>
          <t>W2</t>
        </is>
      </c>
      <c r="C108" s="10" t="inlineStr">
        <is>
          <t>01 Banking &amp; Insurance</t>
        </is>
      </c>
      <c r="D108" s="10" t="n">
        <v>84</v>
      </c>
      <c r="E108" s="10" t="inlineStr">
        <is>
          <t>Equitable Holdings, Inc.</t>
        </is>
      </c>
      <c r="F108" s="10" t="n"/>
      <c r="G108" s="10" t="inlineStr">
        <is>
          <t>New York, NY, USA</t>
        </is>
      </c>
      <c r="H108" s="10" t="inlineStr">
        <is>
          <t>Life insurance, retirement/annuities, and asset management (majority owner of AllianceBernstein) for US consumers and in</t>
        </is>
      </c>
      <c r="I108" s="10" t="inlineStr">
        <is>
          <t>10,000–15,000</t>
        </is>
      </c>
      <c r="J108" s="10" t="inlineStr">
        <is>
          <t>10k+</t>
        </is>
      </c>
      <c r="K108" s="10" t="inlineStr">
        <is>
          <t>verified-new</t>
        </is>
      </c>
      <c r="L108" s="10" t="inlineStr">
        <is>
          <t>~$14–15B FY2025 (est. — LTM revenue was $13.96B as of mid-2025, up 21% YoY; Q4 2025 revenue alone was $3.28B), per FY2025 results release | ~$14.7B market cap as of mid-Sept 2026 (multiple sources) | flags: Confirm full-year 2025 consolidated revenue</t>
        </is>
      </c>
      <c r="M108" s="10" t="inlineStr">
        <is>
          <t>[VERIFIED NEW W2] Frame around the post-AXA independent-brand-building story — F1 as a platform to build Equitable's standalone identity distinct from its former AXA Equitable name, targeting HNW/retirement-planning audiences. | Clean, fully independ</t>
        </is>
      </c>
    </row>
    <row r="109">
      <c r="A109" s="10" t="n">
        <v>106</v>
      </c>
      <c r="B109" s="10" t="inlineStr">
        <is>
          <t>W7</t>
        </is>
      </c>
      <c r="C109" s="10" t="inlineStr">
        <is>
          <t>02 Energy &amp; Industrial</t>
        </is>
      </c>
      <c r="D109" s="10" t="n">
        <v>84</v>
      </c>
      <c r="E109" s="10" t="inlineStr">
        <is>
          <t>Essential Utilities</t>
        </is>
      </c>
      <c r="F109" s="10" t="inlineStr">
        <is>
          <t>essential.co</t>
        </is>
      </c>
      <c r="G109" s="10" t="n"/>
      <c r="H109" s="10" t="inlineStr">
        <is>
          <t>Regulated water, wastewater and natural gas utility services to residential/commercial customers in multiple US states</t>
        </is>
      </c>
      <c r="I109" s="10" t="n"/>
      <c r="J109" s="10" t="inlineStr">
        <is>
          <t>unknown</t>
        </is>
      </c>
      <c r="K109" s="10" t="inlineStr">
        <is>
          <t>verified-new</t>
        </is>
      </c>
      <c r="L109" s="10" t="inlineStr">
        <is>
          <t xml:space="preserve"> |  | flags: not F1-tied; not state-owned; regulated utility - rate-payer-funded marketing budgets are typically local/community-focused; global sports sponsorship appetite and discretionary budget authority should be verified before outreach; revenu</t>
        </is>
      </c>
      <c r="M109" s="10" t="inlineStr">
        <is>
          <t>[VERIFIED NEW W7] Lead with the BWT/Alpine precedent to demonstrate category fit, positioning around water-stewardship and infrastructure-resilience messaging; confirm discretionary sponsorship budget authority (vs. rate-payer-funded local marketing)</t>
        </is>
      </c>
    </row>
    <row r="110">
      <c r="A110" s="10" t="n">
        <v>107</v>
      </c>
      <c r="B110" s="10" t="inlineStr">
        <is>
          <t>W3</t>
        </is>
      </c>
      <c r="C110" s="10" t="inlineStr">
        <is>
          <t>42 Health &amp; Wellness</t>
        </is>
      </c>
      <c r="D110" s="10" t="n">
        <v>84</v>
      </c>
      <c r="E110" s="10" t="inlineStr">
        <is>
          <t>Exelixis, Inc.</t>
        </is>
      </c>
      <c r="F110" s="10" t="inlineStr">
        <is>
          <t>exelixis.com</t>
        </is>
      </c>
      <c r="G110" s="10" t="n"/>
      <c r="H110" s="10" t="n"/>
      <c r="I110" s="10" t="n"/>
      <c r="J110" s="10" t="inlineStr">
        <is>
          <t>unknown</t>
        </is>
      </c>
      <c r="K110" s="10" t="inlineStr">
        <is>
          <t>verified-new</t>
        </is>
      </c>
      <c r="L110" s="10" t="inlineStr">
        <is>
          <t xml:space="preserve"> |  | flags: Revenue still concentrated in one drug franchise (Cabometyx) - monitor pipeline diversification (zanzalintinib); Input's market cap estimate ($8-9B) was understated versus verified ~$14.6B</t>
        </is>
      </c>
      <c r="M110" s="10" t="inlineStr">
        <is>
          <t xml:space="preserve">[VERIFIED NEW W3] Frame around Exelixis as a cash-rich, profitable biotech actively diversifying beyond Cabometyx via its pipeline (zanzalintinib) - a growth-and-innovation story. | </t>
        </is>
      </c>
    </row>
    <row r="111">
      <c r="A111" s="10" t="n">
        <v>108</v>
      </c>
      <c r="B111" s="10" t="inlineStr">
        <is>
          <t>W10</t>
        </is>
      </c>
      <c r="C111" s="10" t="inlineStr">
        <is>
          <t>24 Logistics</t>
        </is>
      </c>
      <c r="D111" s="10" t="n">
        <v>84</v>
      </c>
      <c r="E111" s="10" t="inlineStr">
        <is>
          <t>Fiege Logistik</t>
        </is>
      </c>
      <c r="F111" s="10" t="inlineStr">
        <is>
          <t>fiege.com</t>
        </is>
      </c>
      <c r="G111" s="10" t="n"/>
      <c r="H111" s="10" t="n"/>
      <c r="I111" s="10" t="n"/>
      <c r="J111" s="10" t="inlineStr">
        <is>
          <t>unknown</t>
        </is>
      </c>
      <c r="K111" s="10" t="inlineStr">
        <is>
          <t>verified-new</t>
        </is>
      </c>
      <c r="L111" s="10" t="inlineStr">
        <is>
          <t>EUR ~2.0B (2024 actual); EUR ~2.1B (2025 actual) |  | flags: Private company - no market cap; revenue growth is modest (~5% YoY 2024 to 2025)</t>
        </is>
      </c>
      <c r="M111" s="10" t="inlineStr">
        <is>
          <t xml:space="preserve">[VERIFIED NEW W10] German heritage/family-business storytelling (500+ years) paired with e-commerce fulfillment innovation - fits a German GP or team-partner precision-and-reliability narrative. | </t>
        </is>
      </c>
    </row>
    <row r="112">
      <c r="A112" s="10" t="n">
        <v>109</v>
      </c>
      <c r="B112" s="10" t="inlineStr">
        <is>
          <t>W2</t>
        </is>
      </c>
      <c r="C112" s="10" t="inlineStr">
        <is>
          <t>01 Banking &amp; Insurance</t>
        </is>
      </c>
      <c r="D112" s="10" t="n">
        <v>84</v>
      </c>
      <c r="E112" s="10" t="inlineStr">
        <is>
          <t>First Citizens BancShares</t>
        </is>
      </c>
      <c r="F112" s="10" t="inlineStr">
        <is>
          <t>firstcitizens.com</t>
        </is>
      </c>
      <c r="G112" s="10" t="inlineStr">
        <is>
          <t>Raleigh, NC, USA</t>
        </is>
      </c>
      <c r="H112" s="10" t="inlineStr">
        <is>
          <t>Commercial and retail banking (incl. former SVB assets) to US businesses and consumers</t>
        </is>
      </c>
      <c r="I112" s="10" t="inlineStr">
        <is>
          <t>15,000–20,000</t>
        </is>
      </c>
      <c r="J112" s="10" t="inlineStr">
        <is>
          <t>10k+</t>
        </is>
      </c>
      <c r="K112" s="10" t="inlineStr">
        <is>
          <t>verified-new</t>
        </is>
      </c>
      <c r="L112" s="10" t="inlineStr">
        <is>
          <t>$9.03B FY2025 (down 3.2% YoY on lower SVB-loan accretion); net income ~$2.15–2.3B, per FY2025 results (SEC/stockanalysis.com) | ~$24.3B market cap as of mid-Sept 2026 (stockanalysis.com) | flags: Revenue/net income declined YoY due to purchase-accoun</t>
        </is>
      </c>
      <c r="M112" s="10" t="inlineStr">
        <is>
          <t>[VERIFIED NEW W2] Use the SVB/tech-and-innovation client base as the hook — a fintech/innovation-adjacent banking partner story rather than a generic regional-bank pitch. | Profitable, credit metrics healthy/improving, large scale, and a genuine tech</t>
        </is>
      </c>
    </row>
    <row r="113">
      <c r="A113" s="10" t="n">
        <v>110</v>
      </c>
      <c r="B113" s="10" t="inlineStr">
        <is>
          <t>W13</t>
        </is>
      </c>
      <c r="C113" s="10" t="inlineStr">
        <is>
          <t>Staffing &amp; Talent</t>
        </is>
      </c>
      <c r="D113" s="10" t="n">
        <v>84</v>
      </c>
      <c r="E113" s="10" t="inlineStr">
        <is>
          <t>Gi Group Holding S.p.A.</t>
        </is>
      </c>
      <c r="F113" s="10" t="inlineStr">
        <is>
          <t>gigroup.com</t>
        </is>
      </c>
      <c r="G113" s="10" t="inlineStr">
        <is>
          <t>Milan, Italy</t>
        </is>
      </c>
      <c r="H113" s="10" t="inlineStr">
        <is>
          <t>Staffing, HR services and workforce solutions across 37+ countries</t>
        </is>
      </c>
      <c r="I113" s="10" t="inlineStr">
        <is>
          <t>10k+</t>
        </is>
      </c>
      <c r="J113" s="10" t="inlineStr">
        <is>
          <t>10k+</t>
        </is>
      </c>
      <c r="K113" s="10" t="inlineStr">
        <is>
          <t>verified-new</t>
        </is>
      </c>
      <c r="L113" s="10" t="inlineStr">
        <is>
          <t>€4.7B / ~$4.9B FY2024, up 22.7% YoY (Il Sole 24 Ore / Gi Group Holding 2024 Annual Report, reported 2025) | Private, no published valuation; founder-owned, passes on revenue alone per policy | flags: founder/family-owned, no published valuation; head</t>
        </is>
      </c>
      <c r="M113" s="10" t="inlineStr">
        <is>
          <t>[VERIFIED NEW W13] Open category on the 2026 grid - position as the workforce/talent partner behind the pit crews, engineers and global operations teams that keep an F1 team running, tying into Gi Group's 37-country reach and growth story. | All hard</t>
        </is>
      </c>
    </row>
    <row r="114">
      <c r="A114" s="10" t="n">
        <v>111</v>
      </c>
      <c r="B114" s="10" t="inlineStr">
        <is>
          <t>W2</t>
        </is>
      </c>
      <c r="C114" s="10" t="inlineStr">
        <is>
          <t>01 Banking &amp; Insurance</t>
        </is>
      </c>
      <c r="D114" s="10" t="n">
        <v>84</v>
      </c>
      <c r="E114" s="10" t="inlineStr">
        <is>
          <t>Grupo Aval Acciones y Valores</t>
        </is>
      </c>
      <c r="F114" s="10" t="inlineStr">
        <is>
          <t>grupoaval.com</t>
        </is>
      </c>
      <c r="G114" s="10" t="inlineStr">
        <is>
          <t>Bogota, Colombia</t>
        </is>
      </c>
      <c r="H114" s="10" t="inlineStr">
        <is>
          <t>Banking (Banco de Bogota, Banco de Occidente, AV Villas), pensions (Porvenir) across Colombia and Central America</t>
        </is>
      </c>
      <c r="I114" s="10" t="inlineStr">
        <is>
          <t>~55,000 (est.)</t>
        </is>
      </c>
      <c r="J114" s="10" t="inlineStr">
        <is>
          <t>10k+</t>
        </is>
      </c>
      <c r="K114" s="10" t="inlineStr">
        <is>
          <t>verified-new</t>
        </is>
      </c>
      <c r="L114" s="10" t="inlineStr">
        <is>
          <t>~$4.35B TTM revenue as of June 2026 (13.44 trillion COP LTM, +17.4% YoY) - stockanalysis/companiesmarketcap | ~$5.5B market cap, ranged $5.0-6.0B through 2026 (latest ~$6.0B, Jan 2026 read) - stockanalysis/macrotrends | flags: COP/USD conversion make</t>
        </is>
      </c>
      <c r="M114" s="10" t="inlineStr">
        <is>
          <t>[VERIFIED NEW W2] Regional-champion narrative (largest financial group in Colombia, expanding into Central America) paired with F1's growing Latin American fan growth and the Mexico City/Miami GP footprint nearby. | Dominant, profitable, privately-co</t>
        </is>
      </c>
    </row>
    <row r="115">
      <c r="A115" s="10" t="n">
        <v>112</v>
      </c>
      <c r="B115" s="10" t="inlineStr">
        <is>
          <t>W1</t>
        </is>
      </c>
      <c r="C115" s="10" t="inlineStr">
        <is>
          <t>53 Consumer &amp; Lifestyle</t>
        </is>
      </c>
      <c r="D115" s="10" t="n">
        <v>84</v>
      </c>
      <c r="E115" s="10" t="inlineStr">
        <is>
          <t>H &amp; M Hennes &amp; Mauritz AB</t>
        </is>
      </c>
      <c r="F115" s="10" t="inlineStr">
        <is>
          <t>hm.com</t>
        </is>
      </c>
      <c r="G115" s="10" t="inlineStr">
        <is>
          <t>Stockholm, Sweden</t>
        </is>
      </c>
      <c r="H115" s="10" t="inlineStr">
        <is>
          <t>Fast-fashion apparel retail sold globally via stores and e-commerce</t>
        </is>
      </c>
      <c r="I115" s="10" t="inlineStr">
        <is>
          <t>100K+ (~100,000)</t>
        </is>
      </c>
      <c r="J115" s="10" t="inlineStr">
        <is>
          <t>10k+</t>
        </is>
      </c>
      <c r="K115" s="10" t="inlineStr">
        <is>
          <t>verified-new</t>
        </is>
      </c>
      <c r="L115" s="10" t="inlineStr">
        <is>
          <t>Trailing 12-month revenue ~$23.7B as of Sept 2026 (reports in SEK) — source: stockanalysis.com (STO:HM.B), H&amp;M Group three-month report 2026 | ~$26.7B market cap as of Sept 2026 (ranged $26.7B-$27.3B across 2026 readings) — stockanalysis.com/companie</t>
        </is>
      </c>
      <c r="M115" s="10" t="inlineStr">
        <is>
          <t>[VERIFIED NEW W1] Formalize and expand the existing H&amp;M x F1/Ferrari-style capsule into an official race-week fast-fashion drop program across H&amp;M's global store and e-commerce network. | Mega global fast-fashion brand with proven drop-culture market</t>
        </is>
      </c>
    </row>
    <row r="116">
      <c r="A116" s="10" t="n">
        <v>113</v>
      </c>
      <c r="B116" s="10" t="inlineStr">
        <is>
          <t>W3</t>
        </is>
      </c>
      <c r="C116" s="10" t="inlineStr">
        <is>
          <t>42 Health &amp; Wellness</t>
        </is>
      </c>
      <c r="D116" s="10" t="n">
        <v>84</v>
      </c>
      <c r="E116" s="10" t="inlineStr">
        <is>
          <t>HCA Healthcare, Inc.</t>
        </is>
      </c>
      <c r="F116" s="10" t="inlineStr">
        <is>
          <t>hcahealthcare.com</t>
        </is>
      </c>
      <c r="G116" s="10" t="n"/>
      <c r="H116" s="10" t="n"/>
      <c r="I116" s="10" t="n"/>
      <c r="J116" s="10" t="inlineStr">
        <is>
          <t>unknown</t>
        </is>
      </c>
      <c r="K116" s="10" t="inlineStr">
        <is>
          <t>verified-new</t>
        </is>
      </c>
      <c r="L116" s="10" t="inlineStr">
        <is>
          <t>FY2025 revenue ~$75.6B (+7.08% YoY) - stockanalysis.com/Macrotrends, consistent with SEC 10-K/8-K filings |  | flags: dignity framing required - patient-facing hospital operator; avoid commodifying patient care in messaging; some figures are Sept 202</t>
        </is>
      </c>
      <c r="M116" s="10" t="inlineStr">
        <is>
          <t>[VERIFIED NEW W3] National brand visibility paired with a sports-medicine/trauma-care expertise or workforce-health innovation narrative; keep messaging institutional (care delivery innovation, community health investment) rather than patient-outcome</t>
        </is>
      </c>
    </row>
    <row r="117">
      <c r="A117" s="10" t="n">
        <v>114</v>
      </c>
      <c r="B117" s="10" t="inlineStr">
        <is>
          <t>W3</t>
        </is>
      </c>
      <c r="C117" s="10" t="inlineStr">
        <is>
          <t>42 Health &amp; Wellness</t>
        </is>
      </c>
      <c r="D117" s="10" t="n">
        <v>84</v>
      </c>
      <c r="E117" s="10" t="inlineStr">
        <is>
          <t>Hanmi Pharmaceutical Co.</t>
        </is>
      </c>
      <c r="F117" s="10" t="inlineStr">
        <is>
          <t>hanmipharm.com</t>
        </is>
      </c>
      <c r="G117" s="10" t="inlineStr">
        <is>
          <t>South Korea</t>
        </is>
      </c>
      <c r="H117" s="10" t="inlineStr">
        <is>
          <t>Oncology/obesity/rare-disease pipeline plus an established branded generics business, sold to hospitals/pharmacies in Ko</t>
        </is>
      </c>
      <c r="I117" s="10" t="inlineStr">
        <is>
          <t>~2,200 (est., unverified this pass)</t>
        </is>
      </c>
      <c r="J117" s="10" t="inlineStr">
        <is>
          <t>1k-5k</t>
        </is>
      </c>
      <c r="K117" s="10" t="inlineStr">
        <is>
          <t>verified-new</t>
        </is>
      </c>
      <c r="L117" s="10" t="inlineStr">
        <is>
          <t>FY2025 consolidated revenue KRW1.54 trillion (~$1.15B), up 3.5% YoY; operating profit KRW257.8B (~$191M, +19.2% YoY) - highest in company history, margin 16.7%; net profit KRW188.1B (+33.9% YoY) - source: Hanmi Pharmaceutical FY2025 results release |</t>
        </is>
      </c>
      <c r="M117" s="10" t="inlineStr">
        <is>
          <t>[VERIFIED NEW W3] Lead with the obesity/metabolic pipeline (a globally relevant, high-interest health story) backed by record profitability of the core generics business as financial proof point | Record profitability, resolved market-cap concern, mu</t>
        </is>
      </c>
    </row>
    <row r="118">
      <c r="A118" s="10" t="n">
        <v>115</v>
      </c>
      <c r="B118" s="10" t="inlineStr">
        <is>
          <t>W2</t>
        </is>
      </c>
      <c r="C118" s="10" t="inlineStr">
        <is>
          <t>01 Banking &amp; Insurance</t>
        </is>
      </c>
      <c r="D118" s="10" t="n">
        <v>84</v>
      </c>
      <c r="E118" s="10" t="inlineStr">
        <is>
          <t>Hong Leong Bank</t>
        </is>
      </c>
      <c r="F118" s="10" t="inlineStr">
        <is>
          <t>hlb.com.my</t>
        </is>
      </c>
      <c r="G118" s="10" t="inlineStr">
        <is>
          <t>Malaysia</t>
        </is>
      </c>
      <c r="H118" s="10" t="inlineStr">
        <is>
          <t>Retail and commercial banking in Malaysia, Singapore, Vietnam and Cambodia</t>
        </is>
      </c>
      <c r="I118" s="10" t="inlineStr">
        <is>
          <t>10k-25k (~10,000 est., unverified this pass)</t>
        </is>
      </c>
      <c r="J118" s="10" t="inlineStr">
        <is>
          <t>10k+</t>
        </is>
      </c>
      <c r="K118" s="10" t="inlineStr">
        <is>
          <t>verified-new</t>
        </is>
      </c>
      <c r="L118" s="10" t="inlineStr">
        <is>
          <t>FY2025 total income RM6.4B (~US$1.5B), +10.9% YoY, non-interest income +33.4% YoY - profitable and growing, matches input estimate | Market cap ~$10.8B USD as of June 2026 (stockanalysis.com) - just above the $10B mega-brand threshold; verified curre</t>
        </is>
      </c>
      <c r="M118" s="10" t="inlineStr">
        <is>
          <t>[VERIFIED NEW W2] ASEAN growth/premier-banking story - use F1's expanding Southeast Asian fanbase to reach affluent, digitally engaged customers across Malaysia, Singapore, Vietnam and Cambodia | Just cleared mega-brand threshold, profitable and grow</t>
        </is>
      </c>
    </row>
    <row r="119">
      <c r="A119" s="10" t="n">
        <v>116</v>
      </c>
      <c r="B119" s="10" t="inlineStr">
        <is>
          <t>W5</t>
        </is>
      </c>
      <c r="C119" s="10" t="inlineStr">
        <is>
          <t>47 Vertical SaaS</t>
        </is>
      </c>
      <c r="D119" s="10" t="n">
        <v>84</v>
      </c>
      <c r="E119" s="10" t="inlineStr">
        <is>
          <t>IBS Software</t>
        </is>
      </c>
      <c r="F119" s="10" t="inlineStr">
        <is>
          <t>ibsplc.com</t>
        </is>
      </c>
      <c r="G119" s="10" t="inlineStr">
        <is>
          <t>Kerala, India (Trivandrum)</t>
        </is>
      </c>
      <c r="H119" s="10" t="inlineStr">
        <is>
          <t>SaaS platforms for airlines, cruise lines, tour operators and energy/logistics (crew, cargo, loyalty, fleet ops)</t>
        </is>
      </c>
      <c r="I119" s="10" t="inlineStr">
        <is>
          <t>~4,000-5,300 (est.; sources conflict)</t>
        </is>
      </c>
      <c r="J119" s="10" t="inlineStr">
        <is>
          <t>5k-10k</t>
        </is>
      </c>
      <c r="K119" s="10" t="inlineStr">
        <is>
          <t>verified-new</t>
        </is>
      </c>
      <c r="L119" s="10" t="inlineStr">
        <is>
          <t>RESOLVED: ~$300-350M is the more credible consolidated global figure (matches original estimate); the $819M figure appears to be an aggregator overstatement. Supporting data points: IBS Software Services (India entity) revenue was $188.1M in 2023, up</t>
        </is>
      </c>
      <c r="M119" s="10" t="inlineStr">
        <is>
          <t>[VERIFIED NEW W5] Aviation/cruise/travel-tech vertical has a natural affinity with F1's global travel and logistics operation - position around paddock/team travel-ops efficiency. | Resolved revenue clears the bar, strong blue-chip travel-industry cu</t>
        </is>
      </c>
    </row>
    <row r="120">
      <c r="A120" s="10" t="n">
        <v>117</v>
      </c>
      <c r="B120" s="10" t="inlineStr">
        <is>
          <t>W10</t>
        </is>
      </c>
      <c r="C120" s="10" t="inlineStr">
        <is>
          <t>24 Logistics</t>
        </is>
      </c>
      <c r="D120" s="10" t="n">
        <v>84</v>
      </c>
      <c r="E120" s="10" t="inlineStr">
        <is>
          <t>InPost S.A.</t>
        </is>
      </c>
      <c r="F120" s="10" t="inlineStr">
        <is>
          <t>inpost.eu</t>
        </is>
      </c>
      <c r="G120" s="10" t="inlineStr">
        <is>
          <t>Poland</t>
        </is>
      </c>
      <c r="H120" s="10" t="inlineStr">
        <is>
          <t>Parcel lockers, last-mile delivery, e-commerce logistics</t>
        </is>
      </c>
      <c r="I120" s="10" t="inlineStr">
        <is>
          <t>~9,000+</t>
        </is>
      </c>
      <c r="J120" s="10" t="inlineStr">
        <is>
          <t>5k-10k</t>
        </is>
      </c>
      <c r="K120" s="10" t="inlineStr">
        <is>
          <t>verified-new</t>
        </is>
      </c>
      <c r="L120" s="10" t="inlineStr">
        <is>
          <t>PLN 14.71B (~USD 3.6B), 2025, +34-35% YoY - confirmed | Market cap ~USD 9.0B (Sept 2026) - confirmed, matches input estimate exactly | flags: No existing motorsport sponsorship history identified - unproven category appetite; Consumer brand strongest</t>
        </is>
      </c>
      <c r="M120" s="10" t="inlineStr">
        <is>
          <t>[VERIFIED NEW W10] Team partner / regional promotional partner across UK-France-Italy-Iberia races - consumer parcel/last-mile brand activation tied to race-week fan delivery experiences (team-level, since DHL holds the series category) | Rare genuin</t>
        </is>
      </c>
    </row>
    <row r="121">
      <c r="A121" s="10" t="n">
        <v>118</v>
      </c>
      <c r="B121" s="10" t="inlineStr">
        <is>
          <t>W3</t>
        </is>
      </c>
      <c r="C121" s="10" t="inlineStr">
        <is>
          <t>42 Health &amp; Wellness</t>
        </is>
      </c>
      <c r="D121" s="10" t="n">
        <v>84</v>
      </c>
      <c r="E121" s="10" t="inlineStr">
        <is>
          <t>Innovent Biologics</t>
        </is>
      </c>
      <c r="F121" s="10" t="inlineStr">
        <is>
          <t>innoventbio.com</t>
        </is>
      </c>
      <c r="G121" s="10" t="inlineStr">
        <is>
          <t>China (Suzhou/Hong Kong-listed)</t>
        </is>
      </c>
      <c r="H121" s="10" t="inlineStr">
        <is>
          <t>Oncology and biosimilar/GLP-1 drugs sold to hospitals in China plus global partnerships (Eli Lilly, Roche, Sanofi)</t>
        </is>
      </c>
      <c r="I121" s="10" t="inlineStr">
        <is>
          <t>~5,000+ (est., unverified this pass)</t>
        </is>
      </c>
      <c r="J121" s="10" t="inlineStr">
        <is>
          <t>5k-10k</t>
        </is>
      </c>
      <c r="K121" s="10" t="inlineStr">
        <is>
          <t>verified-new</t>
        </is>
      </c>
      <c r="L121" s="10" t="inlineStr">
        <is>
          <t>FY2025 revenue RMB13.0B (~$1.83B at ~7.1 RMB/USD), up 38.4% YoY (product revenue RMB11.9B, +44.6%); first full-year IFRS net profit of RMB814M (Non-IFRS net profit RMB1.72B) - source: Innovent 2025 Annual Results, March 2026 | Market cap ~HKD176.4B (</t>
        </is>
      </c>
      <c r="M121" s="10" t="inlineStr">
        <is>
          <t xml:space="preserve">[VERIFIED NEW W3] Lead with global partnership network (Lilly/Roche/Sanofi) and newly-achieved profitability as a maturity signal; frame growth story around global expansion rather than domestic-China messaging | Mega-cap, first full year of genuine </t>
        </is>
      </c>
    </row>
    <row r="122">
      <c r="A122" s="10" t="n">
        <v>119</v>
      </c>
      <c r="B122" s="10" t="inlineStr">
        <is>
          <t>W5</t>
        </is>
      </c>
      <c r="C122" s="10" t="inlineStr">
        <is>
          <t>47 Vertical SaaS</t>
        </is>
      </c>
      <c r="D122" s="10" t="n">
        <v>84</v>
      </c>
      <c r="E122" s="10" t="inlineStr">
        <is>
          <t>Inovalon</t>
        </is>
      </c>
      <c r="F122" s="10" t="inlineStr">
        <is>
          <t>inovalon.com</t>
        </is>
      </c>
      <c r="G122" s="10" t="inlineStr">
        <is>
          <t>Bowie, MD, USA</t>
        </is>
      </c>
      <c r="H122" s="10" t="inlineStr">
        <is>
          <t>Cloud-based healthcare data analytics and value-based care platform</t>
        </is>
      </c>
      <c r="I122" s="10" t="inlineStr">
        <is>
          <t>~3,000 (est.)</t>
        </is>
      </c>
      <c r="J122" s="10" t="inlineStr">
        <is>
          <t>1k-5k</t>
        </is>
      </c>
      <c r="K122" s="10" t="inlineStr">
        <is>
          <t>verified-new</t>
        </is>
      </c>
      <c r="L122" s="10" t="inlineStr">
        <is>
          <t>~$750-800M (est.); last public FY2020 revenue was $667.5M (confirmed), with TTM revenue near $734M disclosed around the 2021 deal; post take-private figures undisclosed | $7.3B enterprise value (Nov 2021 Nordic Capital-led consortium take-private, mu</t>
        </is>
      </c>
      <c r="M122" s="10" t="inlineStr">
        <is>
          <t>[VERIFIED NEW W5] Data/analytics-driven healthcare narrative pairs naturally with F1's data-and-telemetry-heavy brand story. | Large, evidenced valuation and healthy revenue scale with broad customer base and no F1 conflict.</t>
        </is>
      </c>
    </row>
    <row r="123">
      <c r="A123" s="10" t="n">
        <v>120</v>
      </c>
      <c r="B123" s="10" t="inlineStr">
        <is>
          <t>W3</t>
        </is>
      </c>
      <c r="C123" s="10" t="inlineStr">
        <is>
          <t>42 Health &amp; Wellness</t>
        </is>
      </c>
      <c r="D123" s="10" t="n">
        <v>84</v>
      </c>
      <c r="E123" s="10" t="inlineStr">
        <is>
          <t>Insulet Corporation</t>
        </is>
      </c>
      <c r="F123" s="10" t="inlineStr">
        <is>
          <t>insulet.com</t>
        </is>
      </c>
      <c r="G123" s="10" t="inlineStr">
        <is>
          <t>United States</t>
        </is>
      </c>
      <c r="H123" s="10" t="inlineStr">
        <is>
          <t>Omnipod tubeless insulin pump systems, sold to people with diabetes via endocrinologists/clinics and payers</t>
        </is>
      </c>
      <c r="I123" s="10" t="inlineStr">
        <is>
          <t>5,000-10,000 (~5,400 est)</t>
        </is>
      </c>
      <c r="J123" s="10" t="inlineStr">
        <is>
          <t>10k+</t>
        </is>
      </c>
      <c r="K123" s="10" t="inlineStr">
        <is>
          <t>verified-new</t>
        </is>
      </c>
      <c r="L123" s="10" t="inlineStr">
        <is>
          <t>FY2025 revenue $2.71B, +30.7% YoY; TTM revenue $2.90B (WebSearch, stockanalysis.com, Sep 2026) | ~$9.9B market cap as of Sep 16, 2026 (stockanalysis.com/Yahoo Finance); stock down ~59% from its Sep 2025 all-time high | flags: dignity framing required</t>
        </is>
      </c>
      <c r="M123" s="10" t="inlineStr">
        <is>
          <t>[VERIFIED NEW W3] "Precision under pressure" - Omnipod's real-time, split-second glucose management as a metaphor for race-day precision; patient-empowerment storytelling framed with dignity, not spectacle. | Profitable, fast-growing (+30.7%) precisi</t>
        </is>
      </c>
    </row>
    <row r="124">
      <c r="A124" s="10" t="n">
        <v>121</v>
      </c>
      <c r="B124" s="10" t="inlineStr">
        <is>
          <t>W2</t>
        </is>
      </c>
      <c r="C124" s="10" t="inlineStr">
        <is>
          <t>01 Banking &amp; Insurance</t>
        </is>
      </c>
      <c r="D124" s="10" t="n">
        <v>84</v>
      </c>
      <c r="E124" s="10" t="inlineStr">
        <is>
          <t>Intercorp Financial Services</t>
        </is>
      </c>
      <c r="F124" s="10" t="inlineStr">
        <is>
          <t>intercorp.com.pe</t>
        </is>
      </c>
      <c r="G124" s="10" t="inlineStr">
        <is>
          <t>Lima, Peru</t>
        </is>
      </c>
      <c r="H124" s="10" t="inlineStr">
        <is>
          <t>Banking (Interbank), insurance, and wealth management in Peru</t>
        </is>
      </c>
      <c r="I124" s="10" t="inlineStr">
        <is>
          <t>~10,000 (est.)</t>
        </is>
      </c>
      <c r="J124" s="10" t="inlineStr">
        <is>
          <t>10k+</t>
        </is>
      </c>
      <c r="K124" s="10" t="inlineStr">
        <is>
          <t>verified-new</t>
        </is>
      </c>
      <c r="L124" s="10" t="inlineStr">
        <is>
          <t>~$1.91B TTM revenue as of June 2026 - macrotrends/stockanalysis | ~$6.4B market cap as of Sep 2026 (ranged $5.7-6.7B through the year) - stockanalysis/gurufocus | flags: Smaller headcount/geographic footprint (Peru-only) than some peers - confirm mar</t>
        </is>
      </c>
      <c r="M124" s="10" t="inlineStr">
        <is>
          <t>[VERIFIED NEW W2] Interbank's strong retail/consumer brand recognition in Peru paired with F1's growth in Latin American viewership; family-office relationship entry point via Rodriguez-Pastor family. | Comfortably above threshold, improving profitab</t>
        </is>
      </c>
    </row>
    <row r="125">
      <c r="A125" s="10" t="n">
        <v>122</v>
      </c>
      <c r="B125" s="10" t="inlineStr">
        <is>
          <t>W6</t>
        </is>
      </c>
      <c r="C125" s="10" t="inlineStr">
        <is>
          <t>43 Mobility &amp; Automotive</t>
        </is>
      </c>
      <c r="D125" s="10" t="n">
        <v>84</v>
      </c>
      <c r="E125" s="10" t="inlineStr">
        <is>
          <t>Iveco Group N.V.</t>
        </is>
      </c>
      <c r="F125" s="10" t="inlineStr">
        <is>
          <t>ivecogroup.com</t>
        </is>
      </c>
      <c r="G125" s="10" t="n"/>
      <c r="H125" s="10" t="n"/>
      <c r="I125" s="10" t="n"/>
      <c r="J125" s="10" t="inlineStr">
        <is>
          <t>unknown</t>
        </is>
      </c>
      <c r="K125" s="10" t="inlineStr">
        <is>
          <t>verified-new</t>
        </is>
      </c>
      <c r="L125" s="10" t="inlineStr">
        <is>
          <t xml:space="preserve">{'value': 'Consolidated net revenues €13.4B (~$14.5B) FY2025, down 7% YoY (Industrial Activities €13.1B, Adjusted EBIT €528M, ~4% margin)', 'source': 'Iveco Group 2025 Full Year and Fourth Quarter Results, Feb 2026 (ivecogroup.com / GlobeNewswire)'} </t>
        </is>
      </c>
      <c r="M125" s="10" t="inlineStr">
        <is>
          <t xml:space="preserve">[VERIFIED NEW W6] Team transporter/paddock logistics-vehicle partner or 'official truck partner' tied to Iveco's electrification push — team-level, not series-level, given DHL's existing F1 logistics category. | </t>
        </is>
      </c>
    </row>
    <row r="126">
      <c r="A126" s="10" t="n">
        <v>123</v>
      </c>
      <c r="B126" s="10" t="inlineStr">
        <is>
          <t>W8</t>
        </is>
      </c>
      <c r="C126" s="10" t="inlineStr">
        <is>
          <t>18 Services &amp; Other</t>
        </is>
      </c>
      <c r="D126" s="10" t="n">
        <v>84</v>
      </c>
      <c r="E126" s="10" t="inlineStr">
        <is>
          <t>Jardine Matheson Holdings</t>
        </is>
      </c>
      <c r="F126" s="10" t="inlineStr">
        <is>
          <t>jardines.com</t>
        </is>
      </c>
      <c r="G126" s="10" t="inlineStr">
        <is>
          <t>Hamilton, Bermuda (incorporated) / Hong Kong (operational base)</t>
        </is>
      </c>
      <c r="H126" s="10" t="inlineStr">
        <is>
          <t>Diversified conglomerate: trading, retail (DFI), motor distribution (Astra, Zung Fu), property (Hongkong Land), engineer</t>
        </is>
      </c>
      <c r="I126" s="10" t="inlineStr">
        <is>
          <t>~400,000 group incl. Astra Indonesia (100k+/mega)</t>
        </is>
      </c>
      <c r="J126" s="10" t="inlineStr">
        <is>
          <t>10k+</t>
        </is>
      </c>
      <c r="K126" s="10" t="inlineStr">
        <is>
          <t>verified-new</t>
        </is>
      </c>
      <c r="L126" s="10" t="inlineStr">
        <is>
          <t>~$45B combined group revenue 2024 (annual report, incl. Astra consolidation) | ~$17-20B USD market cap (WebSearch, Sept 2026; source figures vary widely $16.7B-$44B across SGX/LSE/OTC listings due to multi-listing/ADR-ratio differences - treat as dir</t>
        </is>
      </c>
      <c r="M126" s="10" t="inlineStr">
        <is>
          <t>[VERIFIED NEW W8] Lead with the motor-distribution arm (Zung Fu/Astra) given its natural affinity to automotive/motorsport marketing, positioning it as a regional (Asia) activation partner. | Large, diversified, profitable private-sector conglomerate</t>
        </is>
      </c>
    </row>
    <row r="127">
      <c r="A127" s="10" t="n">
        <v>124</v>
      </c>
      <c r="B127" s="10" t="inlineStr">
        <is>
          <t>W2</t>
        </is>
      </c>
      <c r="C127" s="10" t="inlineStr">
        <is>
          <t>01 Banking &amp; Insurance</t>
        </is>
      </c>
      <c r="D127" s="10" t="n">
        <v>84</v>
      </c>
      <c r="E127" s="10" t="inlineStr">
        <is>
          <t>Jyske Bank</t>
        </is>
      </c>
      <c r="F127" s="10" t="inlineStr">
        <is>
          <t>jyskebank.dk</t>
        </is>
      </c>
      <c r="G127" s="10" t="inlineStr">
        <is>
          <t>Silkeborg, Denmark</t>
        </is>
      </c>
      <c r="H127" s="10" t="inlineStr">
        <is>
          <t>Retail and private banking in Denmark</t>
        </is>
      </c>
      <c r="I127" s="10" t="inlineStr">
        <is>
          <t>~3,800 (verified; sources show 3,803-3,851)</t>
        </is>
      </c>
      <c r="J127" s="10" t="inlineStr">
        <is>
          <t>1k-5k</t>
        </is>
      </c>
      <c r="K127" s="10" t="inlineStr">
        <is>
          <t>verified-new</t>
        </is>
      </c>
      <c r="L127" s="10" t="inlineStr">
        <is>
          <t>~€1.95B FY2024 (flat vs FY2023); FY2025 EPS +7% to DKK 85 (source: GlobeNewswire annual report Feb 2026) | ~$9.19B market cap as of Aug 2026 (source: stockanalysis.com) | flags: Some figures are estimates pending full FY2025 revenue confirmation in E</t>
        </is>
      </c>
      <c r="M127" s="10" t="inlineStr">
        <is>
          <t>[VERIFIED NEW W2] Position F1 hospitality/branding as a private-banking client acquisition and retention tool, leveraging the bank's record dividend/buyback momentum as a 'strength' narrative. | Profitable, capital-return-heavy bank with clean owners</t>
        </is>
      </c>
    </row>
    <row r="128">
      <c r="A128" s="10" t="n">
        <v>125</v>
      </c>
      <c r="B128" s="10" t="inlineStr">
        <is>
          <t>W7</t>
        </is>
      </c>
      <c r="C128" s="10" t="inlineStr">
        <is>
          <t>02 Energy &amp; Industrial</t>
        </is>
      </c>
      <c r="D128" s="10" t="n">
        <v>84</v>
      </c>
      <c r="E128" s="10" t="inlineStr">
        <is>
          <t>Kinder Morgan</t>
        </is>
      </c>
      <c r="F128" s="10" t="inlineStr">
        <is>
          <t>kindermorgan.com</t>
        </is>
      </c>
      <c r="G128" s="10" t="n"/>
      <c r="H128" s="10" t="inlineStr">
        <is>
          <t>Natural gas, products and CO2 pipelines, terminals and storage across North America</t>
        </is>
      </c>
      <c r="I128" s="10" t="n"/>
      <c r="J128" s="10" t="inlineStr">
        <is>
          <t>unknown</t>
        </is>
      </c>
      <c r="K128" s="10" t="inlineStr">
        <is>
          <t>verified-new</t>
        </is>
      </c>
      <c r="L128" s="10" t="inlineStr">
        <is>
          <t>$16.94B FY2025, +12.2% YoY (macrotrends.net) |  | flags: some FY2025 figures found are budget/guidance rather than confirmed final actuals; estimate flagged</t>
        </is>
      </c>
      <c r="M128" s="10" t="inlineStr">
        <is>
          <t xml:space="preserve">[VERIFIED NEW W7] Carbon-capture/CO2 pipeline 'Net Zero 2030' technology-partner narrative. | </t>
        </is>
      </c>
    </row>
    <row r="129">
      <c r="A129" s="10" t="n">
        <v>126</v>
      </c>
      <c r="B129" s="10" t="inlineStr">
        <is>
          <t>W4</t>
        </is>
      </c>
      <c r="C129" s="10" t="inlineStr">
        <is>
          <t>48 Telecom &amp; Space</t>
        </is>
      </c>
      <c r="D129" s="10" t="n">
        <v>84</v>
      </c>
      <c r="E129" s="10" t="inlineStr">
        <is>
          <t>Koninklijke KPN N.V.</t>
        </is>
      </c>
      <c r="F129" s="10" t="inlineStr">
        <is>
          <t>kpn.com</t>
        </is>
      </c>
      <c r="G129" s="10" t="inlineStr">
        <is>
          <t>Rotterdam/The Hague, Netherlands</t>
        </is>
      </c>
      <c r="H129" s="10" t="inlineStr">
        <is>
          <t>Fixed and mobile telecom, fibre broadband and business connectivity in the Netherlands</t>
        </is>
      </c>
      <c r="I129" s="10" t="inlineStr">
        <is>
          <t>~10,600 (Mid-Enterprise)</t>
        </is>
      </c>
      <c r="J129" s="10" t="inlineStr">
        <is>
          <t>10k+</t>
        </is>
      </c>
      <c r="K129" s="10" t="inlineStr">
        <is>
          <t>verified-new</t>
        </is>
      </c>
      <c r="L129" s="10" t="inlineStr">
        <is>
          <t>€5.6B FY2024 (company reports); FY2025 service revenue +2.7% YoY, adj. EBITDAaL €2,636M (+5.1% YoY) (est) - search budget for exact FY2025 top-line figure | €15.09B market cap (~$17.3B) as of 18 Sep 2026 (stockanalysis.com) | flags: existing F1 broad</t>
        </is>
      </c>
      <c r="M129" s="10" t="inlineStr">
        <is>
          <t>[VERIFIED NEW W4] Dutch-market activation tying into Max Verstappen/Dutch GP fandom, building on KPN's existing F1-viewing promotions with customers - a natural bridge from content distributor to on-track partner. | No direct F1 sponsorship, no state</t>
        </is>
      </c>
    </row>
    <row r="130">
      <c r="A130" s="10" t="n">
        <v>127</v>
      </c>
      <c r="B130" s="10" t="inlineStr">
        <is>
          <t>W2</t>
        </is>
      </c>
      <c r="C130" s="10" t="inlineStr">
        <is>
          <t>01 Banking &amp; Insurance</t>
        </is>
      </c>
      <c r="D130" s="10" t="n">
        <v>84</v>
      </c>
      <c r="E130" s="10" t="inlineStr">
        <is>
          <t>L&amp;T Finance Holdings</t>
        </is>
      </c>
      <c r="F130" s="10" t="inlineStr">
        <is>
          <t>ltfinance.com</t>
        </is>
      </c>
      <c r="G130" s="10" t="inlineStr">
        <is>
          <t>Mumbai, India</t>
        </is>
      </c>
      <c r="H130" s="10" t="inlineStr">
        <is>
          <t>Rural/retail lending, two-wheeler and micro-loans, housing and infrastructure finance</t>
        </is>
      </c>
      <c r="I130" s="10" t="inlineStr">
        <is>
          <t>~28,000 (est.)</t>
        </is>
      </c>
      <c r="J130" s="10" t="inlineStr">
        <is>
          <t>10k+</t>
        </is>
      </c>
      <c r="K130" s="10" t="inlineStr">
        <is>
          <t>verified-new</t>
        </is>
      </c>
      <c r="L130" s="10" t="inlineStr">
        <is>
          <t>$2.04B total income, FY2026 (ended Mar-2026: Rs 17,917.03 Cr) - Kotak Neo/EquityBulls | ~$8.8B market cap as of 11 Sep 2026 (Rs 77,471.36 Cr) - Tipranks/Stockanalysis | flags: Part of a diversified engineering parent (L&amp;T) that could itself be a sepa</t>
        </is>
      </c>
      <c r="M130" s="10" t="inlineStr">
        <is>
          <t>[VERIFIED NEW W2] Engineering-pedigree brand story (L&amp;T Group heritage) paired with motorsport-technology narrative; rural/retail financial-inclusion growth story for activation reach. | Solid, growing NBFC well above threshold with clean F1/ownershi</t>
        </is>
      </c>
    </row>
    <row r="131">
      <c r="A131" s="10" t="n">
        <v>128</v>
      </c>
      <c r="B131" s="10" t="inlineStr">
        <is>
          <t>W1</t>
        </is>
      </c>
      <c r="C131" s="10" t="inlineStr">
        <is>
          <t>03 Luxury &amp; Beauty</t>
        </is>
      </c>
      <c r="D131" s="10" t="n">
        <v>84</v>
      </c>
      <c r="E131" s="10" t="inlineStr">
        <is>
          <t>L'Occitane International</t>
        </is>
      </c>
      <c r="F131" s="10" t="inlineStr">
        <is>
          <t>loccitane.com</t>
        </is>
      </c>
      <c r="G131" s="10" t="inlineStr">
        <is>
          <t>Luxembourg (commercial HQ Paris/Manosque, France)</t>
        </is>
      </c>
      <c r="H131" s="10" t="inlineStr">
        <is>
          <t>Beauty and personal-care retail (L'Occitane en Provence and portfolio brands)</t>
        </is>
      </c>
      <c r="I131" s="10" t="inlineStr">
        <is>
          <t>~9,000 (est.)</t>
        </is>
      </c>
      <c r="J131" s="10" t="inlineStr">
        <is>
          <t>5k-10k</t>
        </is>
      </c>
      <c r="K131" s="10" t="inlineStr">
        <is>
          <t>verified-new</t>
        </is>
      </c>
      <c r="L131" s="10" t="inlineStr">
        <is>
          <t xml:space="preserve">~€2.5B (last published figure, FY2023/24 — no public financials disclosed since go-private in Oct 2024) | ~€6.5B enterprise value at 2024 take-private buyout (confirmed — debt financing from Credit Agricole CIB, Blackstone, Goldman Sachs, per Luxury </t>
        </is>
      </c>
      <c r="M131" s="10" t="inlineStr">
        <is>
          <t>[VERIFIED NEW W1] Premium beauty/wellness hospitality tie-in (paddock club grooming/wellness partnership) leveraging L'Occitane's French heritage and global retail reach, potentially anchored around the French GP region or Monaco proximity. | Globall</t>
        </is>
      </c>
    </row>
    <row r="132">
      <c r="A132" s="10" t="n">
        <v>129</v>
      </c>
      <c r="B132" s="10" t="inlineStr">
        <is>
          <t>W8</t>
        </is>
      </c>
      <c r="C132" s="10" t="inlineStr">
        <is>
          <t>29 Tech Media &amp; Gaming</t>
        </is>
      </c>
      <c r="D132" s="10" t="n">
        <v>84</v>
      </c>
      <c r="E132" s="10" t="inlineStr">
        <is>
          <t>Lamar Advertising Company</t>
        </is>
      </c>
      <c r="F132" s="10" t="inlineStr">
        <is>
          <t>lamar.com</t>
        </is>
      </c>
      <c r="G132" s="10" t="n"/>
      <c r="H132" s="10" t="inlineStr">
        <is>
          <t>Outdoor/billboard and transit advertising real estate (REIT)</t>
        </is>
      </c>
      <c r="I132" s="10" t="n"/>
      <c r="J132" s="10" t="inlineStr">
        <is>
          <t>unknown</t>
        </is>
      </c>
      <c r="K132" s="10" t="inlineStr">
        <is>
          <t>verified-new</t>
        </is>
      </c>
      <c r="L132" s="10" t="inlineStr">
        <is>
          <t xml:space="preserve"> | ~$15.3B market cap (verified Sep 20, 2026, NASDAQ:LAMR per companiesmarketcap/stockanalysis) - higher than original $10-12B estimate, all-time high $166.33 reached Jul 29, 2026</t>
        </is>
      </c>
      <c r="M132" s="10" t="inlineStr">
        <is>
          <t xml:space="preserve">[VERIFIED NEW W8] Natural trackside/OOH media partner - Lamar's existing billboard inventory near US GP venues (Las Vegas, Miami, Austin) makes a compelling 'official OOH partner' pitch for race-week and season-long fan-engagement campaigns. | </t>
        </is>
      </c>
    </row>
    <row r="133">
      <c r="A133" s="10" t="n">
        <v>130</v>
      </c>
      <c r="B133" s="10" t="inlineStr">
        <is>
          <t>W6</t>
        </is>
      </c>
      <c r="C133" s="10" t="inlineStr">
        <is>
          <t>43 Mobility &amp; Automotive</t>
        </is>
      </c>
      <c r="D133" s="10" t="n">
        <v>84</v>
      </c>
      <c r="E133" s="10" t="inlineStr">
        <is>
          <t>Lear Corporation</t>
        </is>
      </c>
      <c r="F133" s="10" t="inlineStr">
        <is>
          <t>lear.com</t>
        </is>
      </c>
      <c r="G133" s="10" t="inlineStr">
        <is>
          <t>Southfield, Michigan, USA</t>
        </is>
      </c>
      <c r="H133" s="10" t="inlineStr">
        <is>
          <t>Automotive seating and electrical distribution systems (E-Systems)</t>
        </is>
      </c>
      <c r="I133" s="10" t="inlineStr">
        <is>
          <t>~165,000</t>
        </is>
      </c>
      <c r="J133" s="10" t="inlineStr">
        <is>
          <t>10k+</t>
        </is>
      </c>
      <c r="K133" s="10" t="inlineStr">
        <is>
          <t>verified-new</t>
        </is>
      </c>
      <c r="L133" s="10" t="inlineStr">
        <is>
          <t>$23.3B FY2025, roughly flat YoY (company full-year results) | $8.70B market cap as of Sep 2026 (stockanalysis.com) - above the input's $6.5B estimate | flags: restructuring flag from the input is resolved - profitability is now clearly improving, but</t>
        </is>
      </c>
      <c r="M133" s="10" t="inlineStr">
        <is>
          <t>[VERIFIED NEW W6] "Engineering the driver experience" - lightweight seating and EV electrical-architecture technology pairs naturally with F1's driver-ergonomics, cockpit-comfort and lightweighting storylines. | The input's cost-cutting/restructuring</t>
        </is>
      </c>
    </row>
    <row r="134">
      <c r="A134" s="10" t="n">
        <v>131</v>
      </c>
      <c r="B134" s="10" t="inlineStr">
        <is>
          <t>W8</t>
        </is>
      </c>
      <c r="C134" s="10" t="inlineStr">
        <is>
          <t>24 Logistics</t>
        </is>
      </c>
      <c r="D134" s="10" t="n">
        <v>84</v>
      </c>
      <c r="E134" s="10" t="inlineStr">
        <is>
          <t>LondonMetric Property plc</t>
        </is>
      </c>
      <c r="F134" s="10" t="inlineStr">
        <is>
          <t>londonmetric.com</t>
        </is>
      </c>
      <c r="G134" s="10" t="n"/>
      <c r="H134" s="10" t="inlineStr">
        <is>
          <t>Logistics, distribution and grocery-anchored real estate (REIT), post-2024 LXi REIT merger</t>
        </is>
      </c>
      <c r="I134" s="10" t="n"/>
      <c r="J134" s="10" t="inlineStr">
        <is>
          <t>unknown</t>
        </is>
      </c>
      <c r="K134" s="10" t="inlineStr">
        <is>
          <t>verified-new</t>
        </is>
      </c>
      <c r="L134" s="10" t="inlineStr">
        <is>
          <t xml:space="preserve"> | ~GBP4.2-4.3B (~$5.6-5.8B) market cap (verified Sep 11, 2026, LSE:LMP per stockanalysis.com/tipranks) - consistent with original estimate</t>
        </is>
      </c>
      <c r="M134" s="10" t="inlineStr">
        <is>
          <t xml:space="preserve">[VERIFIED NEW W8] UK logistics/distribution real estate partner - straightforward large-cap REIT fit for a UK-anchored F1 sponsorship activation (British GP tie-in). | </t>
        </is>
      </c>
    </row>
    <row r="135">
      <c r="A135" s="10" t="n">
        <v>132</v>
      </c>
      <c r="B135" s="10" t="inlineStr">
        <is>
          <t>W4</t>
        </is>
      </c>
      <c r="C135" s="10" t="inlineStr">
        <is>
          <t>48 Telecom &amp; Space</t>
        </is>
      </c>
      <c r="D135" s="10" t="n">
        <v>84</v>
      </c>
      <c r="E135" s="10" t="inlineStr">
        <is>
          <t>MTN Group Limited</t>
        </is>
      </c>
      <c r="F135" s="10" t="inlineStr">
        <is>
          <t>mtn.com</t>
        </is>
      </c>
      <c r="G135" s="10" t="inlineStr">
        <is>
          <t>Johannesburg, South Africa</t>
        </is>
      </c>
      <c r="H135" s="10" t="inlineStr">
        <is>
          <t>Mobile telecom and mobile-money (MoMo) services across ~19 African and Middle Eastern markets</t>
        </is>
      </c>
      <c r="I135" s="10" t="inlineStr">
        <is>
          <t>~19,000+ (Mid-Enterprise)</t>
        </is>
      </c>
      <c r="J135" s="10" t="inlineStr">
        <is>
          <t>10k+</t>
        </is>
      </c>
      <c r="K135" s="10" t="inlineStr">
        <is>
          <t>verified-new</t>
        </is>
      </c>
      <c r="L135" s="10" t="inlineStr">
        <is>
          <t>$13.66B, FY2025 (company reports); ZAR ~220B FY2024 (est) | $22-25.5B market cap, Jun-Aug 2026 range (companiesmarketcap.com/stockanalysis.com) | flags: state-minority: Public Investment Corporation (South African state pension manager) ~15-20% stake</t>
        </is>
      </c>
      <c r="M135" s="10" t="inlineStr">
        <is>
          <t xml:space="preserve">[VERIFIED NEW W4] Pan-African growth and MoMo digital-finance story; tie into F1's African market expansion push (South African GP/Kyalami revival talk) as a first-mover regional partner. | No F1 exposure, only minority (not majority) state linkage, </t>
        </is>
      </c>
    </row>
    <row r="136">
      <c r="A136" s="10" t="n">
        <v>133</v>
      </c>
      <c r="B136" s="10" t="inlineStr">
        <is>
          <t>W3</t>
        </is>
      </c>
      <c r="C136" s="10" t="inlineStr">
        <is>
          <t>42 Health &amp; Wellness</t>
        </is>
      </c>
      <c r="D136" s="10" t="n">
        <v>84</v>
      </c>
      <c r="E136" s="10" t="inlineStr">
        <is>
          <t>Medacta Group SA</t>
        </is>
      </c>
      <c r="F136" s="10" t="inlineStr">
        <is>
          <t>medacta.com</t>
        </is>
      </c>
      <c r="G136" s="10" t="inlineStr">
        <is>
          <t>Switzerland</t>
        </is>
      </c>
      <c r="H136" s="10" t="inlineStr">
        <is>
          <t>Orthopedic implants (hip, knee, spine) sold to surgeons and hospitals</t>
        </is>
      </c>
      <c r="I136" s="10" t="inlineStr">
        <is>
          <t>1,000-5,000 (~2,700 est)</t>
        </is>
      </c>
      <c r="J136" s="10" t="inlineStr">
        <is>
          <t>5k-10k</t>
        </is>
      </c>
      <c r="K136" s="10" t="inlineStr">
        <is>
          <t>verified-new</t>
        </is>
      </c>
      <c r="L136" s="10" t="inlineStr">
        <is>
          <t>FY2025 revenue EUR 684M (~$739M USD), +18.5% constant-currency growth, net profit +31% YoY to EUR 95.5M (WebSearch, company press release) | ~$3.47B market cap as of May 2026 (PitchBook-cited) | flags: smaller-cap end of this wave ($3.47B) though com</t>
        </is>
      </c>
      <c r="M136" s="10" t="inlineStr">
        <is>
          <t>[VERIFIED NEW W3] "Engineered for a lifetime of performance" - personalized/robotic-assisted joint-implant precision positioned alongside race-grade materials engineering; premium surgeon-and-patient audience. | Fast-growing (+18.5%), profitable, com</t>
        </is>
      </c>
    </row>
    <row r="137">
      <c r="A137" s="10" t="n">
        <v>134</v>
      </c>
      <c r="B137" s="10" t="inlineStr">
        <is>
          <t>W1</t>
        </is>
      </c>
      <c r="C137" s="10" t="inlineStr">
        <is>
          <t>04 Food &amp; Beverage</t>
        </is>
      </c>
      <c r="D137" s="10" t="n">
        <v>84</v>
      </c>
      <c r="E137" s="10" t="inlineStr">
        <is>
          <t>Meijer</t>
        </is>
      </c>
      <c r="F137" s="10" t="inlineStr">
        <is>
          <t>meijer.com</t>
        </is>
      </c>
      <c r="G137" s="10" t="inlineStr">
        <is>
          <t>Grand Rapids, Michigan, USA</t>
        </is>
      </c>
      <c r="H137" s="10" t="inlineStr">
        <is>
          <t>Supercenter/grocery retail chain, US Midwest</t>
        </is>
      </c>
      <c r="I137" s="10" t="inlineStr">
        <is>
          <t>~70,000 employees (est.)</t>
        </is>
      </c>
      <c r="J137" s="10" t="inlineStr">
        <is>
          <t>10k+</t>
        </is>
      </c>
      <c r="K137" s="10" t="inlineStr">
        <is>
          <t>verified-new</t>
        </is>
      </c>
      <c r="L137" s="10" t="inlineStr">
        <is>
          <t>$22B (as of Dec 2025, Forbes/private-company revenue rankings) | Family-owned, no published valuation (private)</t>
        </is>
      </c>
      <c r="M137" s="10" t="inlineStr">
        <is>
          <t>[VERIFIED NEW W1] National (non-race-market) brand-awareness partnership — media/content integration rather than trackside activation, using Meijer's supercenter breadth to reach a broad Midwest fan base via in-store promotions. | Strong balance shee</t>
        </is>
      </c>
    </row>
    <row r="138">
      <c r="A138" s="10" t="n">
        <v>135</v>
      </c>
      <c r="B138" s="10" t="inlineStr">
        <is>
          <t>W4</t>
        </is>
      </c>
      <c r="C138" s="10" t="inlineStr">
        <is>
          <t>25 IT Services &amp; Consulting</t>
        </is>
      </c>
      <c r="D138" s="10" t="n">
        <v>84</v>
      </c>
      <c r="E138" s="10" t="inlineStr">
        <is>
          <t>Mphasis Limited</t>
        </is>
      </c>
      <c r="F138" s="10" t="inlineStr">
        <is>
          <t>mphasis.com</t>
        </is>
      </c>
      <c r="G138" s="10" t="n"/>
      <c r="H138" s="10" t="inlineStr">
        <is>
          <t>IT services and BPO with AI-led 'Front2Back' transformation offerings, mainly for banking/financial-services clients glo</t>
        </is>
      </c>
      <c r="I138" s="10" t="n"/>
      <c r="J138" s="10" t="inlineStr">
        <is>
          <t>unknown</t>
        </is>
      </c>
      <c r="K138" s="10" t="inlineStr">
        <is>
          <t>verified-new</t>
        </is>
      </c>
      <c r="L138" s="10" t="inlineStr">
        <is>
          <t xml:space="preserve"> | ~INR 43,900-44,300 crore (~$5.0B) market cap (NSE/BSE), 18 Sep 2026 | flags: PE (Blackstone) majority ownership may mean sponsorship budget decisions run through the financial sponsor, slowing approval; No sponsorship/marketing history found to da</t>
        </is>
      </c>
      <c r="M138" s="10" t="inlineStr">
        <is>
          <t>[VERIFIED NEW W4] B2B/client-hospitality angle for a global bank-facing brand -- position an F1 partnership as a trackside client-entertainment and brand-elevation platform to help win the large enterprise deals Mphasis is actively chasing (record $2</t>
        </is>
      </c>
    </row>
    <row r="139">
      <c r="A139" s="10" t="n">
        <v>136</v>
      </c>
      <c r="B139" s="10" t="inlineStr">
        <is>
          <t>W13</t>
        </is>
      </c>
      <c r="C139" s="10" t="inlineStr">
        <is>
          <t>IoT &amp; Connectivity</t>
        </is>
      </c>
      <c r="D139" s="10" t="n">
        <v>84</v>
      </c>
      <c r="E139" s="10" t="inlineStr">
        <is>
          <t>Nordic Semiconductor ASA</t>
        </is>
      </c>
      <c r="F139" s="10" t="inlineStr">
        <is>
          <t>nordicsemi.com</t>
        </is>
      </c>
      <c r="G139" s="10" t="inlineStr">
        <is>
          <t>Trondheim, Norway</t>
        </is>
      </c>
      <c r="H139" s="10" t="inlineStr">
        <is>
          <t>Low-power wireless (Bluetooth LE, cellular IoT) chips and modules</t>
        </is>
      </c>
      <c r="I139" s="10" t="inlineStr">
        <is>
          <t>1k-5k</t>
        </is>
      </c>
      <c r="J139" s="10" t="inlineStr">
        <is>
          <t>1k-5k</t>
        </is>
      </c>
      <c r="K139" s="10" t="inlineStr">
        <is>
          <t>verified-new</t>
        </is>
      </c>
      <c r="L139" s="10" t="inlineStr">
        <is>
          <t>Q2 2025 revenue $164M, +28-33% YoY (investing.com); FY2025 run-rate est. ~$600M+ | $2.59B (Q2 2025) rising to ~$4B (June 2026) market cap (Oslo: NOD) | flags: search did not confirm or rule out a minority stake by a Norwegian state fund (e.g., Folket</t>
        </is>
      </c>
      <c r="M139" s="10" t="inlineStr">
        <is>
          <t>[VERIFIED NEW W13] "Connectivity at the edge" story: Nordic's ultra-low-power wireless chips as the invisible nervous system analogy for F1's trackside and in-car telemetry sensor networks -- an open IoT-silicon category on the grid. | All hard filte</t>
        </is>
      </c>
    </row>
    <row r="140">
      <c r="A140" s="10" t="n">
        <v>137</v>
      </c>
      <c r="B140" s="10" t="inlineStr">
        <is>
          <t>W6</t>
        </is>
      </c>
      <c r="C140" s="10" t="inlineStr">
        <is>
          <t>33 Automation &amp; Robotics</t>
        </is>
      </c>
      <c r="D140" s="10" t="n">
        <v>84</v>
      </c>
      <c r="E140" s="10" t="inlineStr">
        <is>
          <t>Omron Corporation</t>
        </is>
      </c>
      <c r="F140" s="10" t="inlineStr">
        <is>
          <t>omron.com</t>
        </is>
      </c>
      <c r="G140" s="10" t="inlineStr">
        <is>
          <t>Kyoto, Japan</t>
        </is>
      </c>
      <c r="H140" s="10" t="inlineStr">
        <is>
          <t>Industrial automation controllers, sensors, machine vision and robotics for factory customers</t>
        </is>
      </c>
      <c r="I140" s="10" t="inlineStr">
        <is>
          <t>~28,000</t>
        </is>
      </c>
      <c r="J140" s="10" t="inlineStr">
        <is>
          <t>10k+</t>
        </is>
      </c>
      <c r="K140" s="10" t="inlineStr">
        <is>
          <t>verified-new</t>
        </is>
      </c>
      <c r="L140" s="10" t="inlineStr">
        <is>
          <t xml:space="preserve">FY2025 (year ended Mar 2026) net revenue ¥767.4B (~$5.2B), up 7.3%; operating income +12.1%, net income from continuing ops +116% (source: Omron FY2025 results, May 13 2026, omron.com) | ~$8.7B market cap (Sep 2026, CNBC), up from ~$6.3B in Apr 2026 </t>
        </is>
      </c>
      <c r="M140" s="10" t="inlineStr">
        <is>
          <t>[VERIFIED NEW W6] Factory automation, machine vision and robotics partner - precision manufacturing/quality-inspection story tied to team production and pit-equipment reliability. | Growing, profitable factory-automation/robotics leader with technica</t>
        </is>
      </c>
    </row>
    <row r="141">
      <c r="A141" s="10" t="n">
        <v>138</v>
      </c>
      <c r="B141" s="10" t="inlineStr">
        <is>
          <t>W7</t>
        </is>
      </c>
      <c r="C141" s="10" t="inlineStr">
        <is>
          <t>02 Energy &amp; Industrial</t>
        </is>
      </c>
      <c r="D141" s="10" t="n">
        <v>84</v>
      </c>
      <c r="E141" s="10" t="inlineStr">
        <is>
          <t>Oneok</t>
        </is>
      </c>
      <c r="F141" s="10" t="inlineStr">
        <is>
          <t>oneok.com</t>
        </is>
      </c>
      <c r="G141" s="10" t="n"/>
      <c r="H141" s="10" t="inlineStr">
        <is>
          <t>Natural gas gathering/processing, NGL and refined-products pipelines (post Magellan Midstream and EnLink acquisitions)</t>
        </is>
      </c>
      <c r="I141" s="10" t="n"/>
      <c r="J141" s="10" t="inlineStr">
        <is>
          <t>unknown</t>
        </is>
      </c>
      <c r="K141" s="10" t="inlineStr">
        <is>
          <t>verified-new</t>
        </is>
      </c>
      <c r="L141" s="10" t="inlineStr">
        <is>
          <t>$33.63B FY2025, +55% YoY (stockanalysis.com), reflecting Magellan/EnLink consolidation |  | flags: recently expanded via large M&amp;A (Magellan, EnLink) - integration risk; revenue growth is largely acquisition-driven rather than organic</t>
        </is>
      </c>
      <c r="M141" s="10" t="inlineStr">
        <is>
          <t xml:space="preserve">[VERIFIED NEW W7] Newly-scaled national energy-logistics-network story spanning gathering to refined products, fitting multi-market US GP activation (COTA/Miami/Las Vegas). | </t>
        </is>
      </c>
    </row>
    <row r="142">
      <c r="A142" s="10" t="n">
        <v>139</v>
      </c>
      <c r="B142" s="10" t="inlineStr">
        <is>
          <t>W2</t>
        </is>
      </c>
      <c r="C142" s="10" t="inlineStr">
        <is>
          <t>01 Banking &amp; Insurance</t>
        </is>
      </c>
      <c r="D142" s="10" t="n">
        <v>84</v>
      </c>
      <c r="E142" s="10" t="inlineStr">
        <is>
          <t>Orix Corporation</t>
        </is>
      </c>
      <c r="F142" s="10" t="inlineStr">
        <is>
          <t>orix.co.jp</t>
        </is>
      </c>
      <c r="G142" s="10" t="inlineStr">
        <is>
          <t>Japan</t>
        </is>
      </c>
      <c r="H142" s="10" t="inlineStr">
        <is>
          <t>Diversified financial services - leasing, corporate/PE investment, real estate, life insurance, renewable energy financi</t>
        </is>
      </c>
      <c r="I142" s="10" t="inlineStr">
        <is>
          <t>25k-50k (~35,000 est., unverified this pass)</t>
        </is>
      </c>
      <c r="J142" s="10" t="inlineStr">
        <is>
          <t>10k+</t>
        </is>
      </c>
      <c r="K142" s="10" t="inlineStr">
        <is>
          <t>verified-new</t>
        </is>
      </c>
      <c r="L142" s="10" t="inlineStr">
        <is>
          <t>TTM revenue ~$14.3B USD as of Sept 2026 (stockanalysis.com/companiesmarketcap); FY2025 net income record on base-profit growth - well above input's $18B estimate on the revenue line, corrected down but confirmed profitable and growing | Market cap ~$</t>
        </is>
      </c>
      <c r="M142" s="10" t="inlineStr">
        <is>
          <t>[VERIFIED NEW W2] Japan GP (Suzuka) hometown sponsor - pitch around precision engineering/asset performance (leasing, aviation, renewables) plus wealth/insurance storytelling for affluent Japanese and pan-Asian clients | Mega-cap, profitable, growing</t>
        </is>
      </c>
    </row>
    <row r="143">
      <c r="A143" s="10" t="n">
        <v>140</v>
      </c>
      <c r="B143" s="10" t="inlineStr">
        <is>
          <t>W4</t>
        </is>
      </c>
      <c r="C143" s="10" t="inlineStr">
        <is>
          <t>48 Telecom &amp; Space</t>
        </is>
      </c>
      <c r="D143" s="10" t="n">
        <v>84</v>
      </c>
      <c r="E143" s="10" t="inlineStr">
        <is>
          <t>PLDT Inc.</t>
        </is>
      </c>
      <c r="F143" s="10" t="inlineStr">
        <is>
          <t>pldt.com</t>
        </is>
      </c>
      <c r="G143" s="10" t="inlineStr">
        <is>
          <t>Makati, Philippines</t>
        </is>
      </c>
      <c r="H143" s="10" t="inlineStr">
        <is>
          <t>Mobile (Smart), broadband and enterprise telecom services in the Philippines</t>
        </is>
      </c>
      <c r="I143" s="10" t="inlineStr">
        <is>
          <t>~17,000 (parent) (Mid-Enterprise)</t>
        </is>
      </c>
      <c r="J143" s="10" t="inlineStr">
        <is>
          <t>10k+</t>
        </is>
      </c>
      <c r="K143" s="10" t="inlineStr">
        <is>
          <t>verified-new</t>
        </is>
      </c>
      <c r="L143" s="10" t="inlineStr">
        <is>
          <t>PHP 208B (~$3.7B), FY2024; TTM ~$3.8B through mid-2026 (company reports) | $3.97B market cap as of Sep 2026 (companiesmarketcap.com) | flags: indirect minority state-linkage via NTT DoCoMo/Communications (Japan's government owns ~1/3 of NTT's parent)</t>
        </is>
      </c>
      <c r="M143" s="10" t="inlineStr">
        <is>
          <t>[VERIFIED NEW W4] Southeast Asia growth-market activation - large latent F1 fanbase in the Philippines with no local team/driver tie yet; pair with Smart's 5G/digital-services push. | No direct F1 exposure, no material state ownership at the PLDT lev</t>
        </is>
      </c>
    </row>
    <row r="144">
      <c r="A144" s="10" t="n">
        <v>141</v>
      </c>
      <c r="B144" s="10" t="inlineStr">
        <is>
          <t>W7</t>
        </is>
      </c>
      <c r="C144" s="10" t="inlineStr">
        <is>
          <t>02 Energy &amp; Industrial</t>
        </is>
      </c>
      <c r="D144" s="10" t="n">
        <v>84</v>
      </c>
      <c r="E144" s="10" t="inlineStr">
        <is>
          <t>Pembina Pipeline</t>
        </is>
      </c>
      <c r="F144" s="10" t="inlineStr">
        <is>
          <t>pembina.com</t>
        </is>
      </c>
      <c r="G144" s="10" t="n"/>
      <c r="H144" s="10" t="inlineStr">
        <is>
          <t>NGL, crude oil and natural gas pipelines, processing and marketing across Western Canada</t>
        </is>
      </c>
      <c r="I144" s="10" t="n"/>
      <c r="J144" s="10" t="inlineStr">
        <is>
          <t>unknown</t>
        </is>
      </c>
      <c r="K144" s="10" t="inlineStr">
        <is>
          <t>verified-new</t>
        </is>
      </c>
      <c r="L144" s="10" t="inlineStr">
        <is>
          <t>CAD $7.78B FY2025, +5.3% YoY (stockanalysis.com) |  | flags: regional (Western Canada) concentration vs. national/continental peers; CAD/USD currency reporting discrepancy</t>
        </is>
      </c>
      <c r="M144" s="10" t="inlineStr">
        <is>
          <t xml:space="preserve">[VERIFIED NEW W7] Regional Canadian GP hospitality and corporate sponsorship tied to Western Canada energy story. | </t>
        </is>
      </c>
    </row>
    <row r="145">
      <c r="A145" s="10" t="n">
        <v>142</v>
      </c>
      <c r="B145" s="10" t="inlineStr">
        <is>
          <t>W3</t>
        </is>
      </c>
      <c r="C145" s="10" t="inlineStr">
        <is>
          <t>42 Health &amp; Wellness</t>
        </is>
      </c>
      <c r="D145" s="10" t="n">
        <v>84</v>
      </c>
      <c r="E145" s="10" t="inlineStr">
        <is>
          <t>Penumbra Inc.</t>
        </is>
      </c>
      <c r="F145" s="10" t="inlineStr">
        <is>
          <t>penumbrainc.com</t>
        </is>
      </c>
      <c r="G145" s="10" t="inlineStr">
        <is>
          <t>United States (Alameda, CA)</t>
        </is>
      </c>
      <c r="H145" s="10" t="inlineStr">
        <is>
          <t>Neurovascular and peripheral vascular thrombectomy devices (stroke/clot removal) sold to hospitals and interventionalist</t>
        </is>
      </c>
      <c r="I145" s="10" t="inlineStr">
        <is>
          <t>~4,000 (est., unverified this pass)</t>
        </is>
      </c>
      <c r="J145" s="10" t="inlineStr">
        <is>
          <t>1k-5k</t>
        </is>
      </c>
      <c r="K145" s="10" t="inlineStr">
        <is>
          <t>verified-new</t>
        </is>
      </c>
      <c r="L145" s="10" t="inlineStr">
        <is>
          <t>FY2025 revenue $1,403.7M (up 17.5% YoY) vs FY2024 $1,194.6M - source: Penumbra Q4/FY2025 earnings release. Above input's ~$1.16B FY2024 estimate | Market cap ~$13.97B as of mid-Sept 2026 (up from ~$12.5B in June 2026) - source: stockanalysis.com/comp</t>
        </is>
      </c>
      <c r="M145" s="10" t="inlineStr">
        <is>
          <t>[VERIFIED NEW W3] Position around F1's own safety-innovation lineage (halo, medical car, rapid-response protocols) paired with Penumbra's speed-to-treatment stroke technology - handled with careful, non-exploitative dignity framing | Mega-cap, high-g</t>
        </is>
      </c>
    </row>
    <row r="146">
      <c r="A146" s="10" t="n">
        <v>143</v>
      </c>
      <c r="B146" s="10" t="inlineStr">
        <is>
          <t>W2</t>
        </is>
      </c>
      <c r="C146" s="10" t="inlineStr">
        <is>
          <t>01 Banking &amp; Insurance</t>
        </is>
      </c>
      <c r="D146" s="10" t="n">
        <v>84</v>
      </c>
      <c r="E146" s="10" t="inlineStr">
        <is>
          <t>Poonawalla Fincorp</t>
        </is>
      </c>
      <c r="F146" s="10" t="inlineStr">
        <is>
          <t>poonawallafincorp.com</t>
        </is>
      </c>
      <c r="G146" s="10" t="inlineStr">
        <is>
          <t>Pune, India</t>
        </is>
      </c>
      <c r="H146" s="10" t="inlineStr">
        <is>
          <t>Consumer and MSME lending, digital-first NBFC backed by the Poonawalla/Serum Institute family</t>
        </is>
      </c>
      <c r="I146" s="10" t="inlineStr">
        <is>
          <t>~5,000 (est.)</t>
        </is>
      </c>
      <c r="J146" s="10" t="inlineStr">
        <is>
          <t>5k-10k</t>
        </is>
      </c>
      <c r="K146" s="10" t="inlineStr">
        <is>
          <t>verified-new</t>
        </is>
      </c>
      <c r="L146" s="10" t="inlineStr">
        <is>
          <t>$772M total income, FY2026 (ended Mar-2026: Rs 6,795.65 Cr, +60% YoY) - Whalesbook/Screener | $4.34B market cap as of 4 Sep 2026 (Rs 42,215 Cr; +33% YoY) - stockanalysis | flags: Recent (FY25) net loss before FY26 turnaround - capacity still stabiliz</t>
        </is>
      </c>
      <c r="M146" s="10" t="inlineStr">
        <is>
          <t>[VERIFIED NEW W2] Promoter (Poonawalla family) already sports-sponsorship-active and a personal car/motorsport enthusiast - direct executive-level entry point; digital-first lending brand pairs well with F1's younger, digitally engaged fanbase. | Cle</t>
        </is>
      </c>
    </row>
    <row r="147">
      <c r="A147" s="10" t="n">
        <v>144</v>
      </c>
      <c r="B147" s="10" t="inlineStr">
        <is>
          <t>W2</t>
        </is>
      </c>
      <c r="C147" s="10" t="inlineStr">
        <is>
          <t>01 Banking &amp; Insurance</t>
        </is>
      </c>
      <c r="D147" s="10" t="n">
        <v>84</v>
      </c>
      <c r="E147" s="10" t="inlineStr">
        <is>
          <t>Primerica, Inc.</t>
        </is>
      </c>
      <c r="F147" s="10" t="n"/>
      <c r="G147" s="10" t="inlineStr">
        <is>
          <t>Duluth, GA, USA</t>
        </is>
      </c>
      <c r="H147" s="10" t="inlineStr">
        <is>
          <t xml:space="preserve">Term life insurance and financial products distributed via ~130,000 independent licensed representatives to US/Canadian </t>
        </is>
      </c>
      <c r="I147" s="10" t="inlineStr">
        <is>
          <t>~3,000 employees plus ~130,000 independent licensed representatives</t>
        </is>
      </c>
      <c r="J147" s="10" t="inlineStr">
        <is>
          <t>10k+</t>
        </is>
      </c>
      <c r="K147" s="10" t="inlineStr">
        <is>
          <t>verified-new</t>
        </is>
      </c>
      <c r="L147" s="10" t="inlineStr">
        <is>
          <t>$3.29B FY2025 (up 6.6% YoY), per Q4/FY2025 results | ~$9.0B market cap as of Sept 2026 (multiple sources, $8.85–9.07B range through 2026) | flags: Confirm no dormant/legacy NASCAR contractual exclusivity remains before finalizing outreach, even thoug</t>
        </is>
      </c>
      <c r="M147" s="10" t="inlineStr">
        <is>
          <t>[VERIFIED NEW W2] Use the massive independent-rep sales-force network as an activation and hospitality audience, and lean into the 'financial security for middle-income families' message alongside F1's broadening, family-oriented fanbase. | Financial</t>
        </is>
      </c>
    </row>
    <row r="148">
      <c r="A148" s="10" t="n">
        <v>145</v>
      </c>
      <c r="B148" s="10" t="inlineStr">
        <is>
          <t>W1</t>
        </is>
      </c>
      <c r="C148" s="10" t="inlineStr">
        <is>
          <t>04 Food &amp; Beverage</t>
        </is>
      </c>
      <c r="D148" s="10" t="n">
        <v>84</v>
      </c>
      <c r="E148" s="10" t="inlineStr">
        <is>
          <t>Publix Super Markets</t>
        </is>
      </c>
      <c r="F148" s="10" t="inlineStr">
        <is>
          <t>publix.com</t>
        </is>
      </c>
      <c r="G148" s="10" t="inlineStr">
        <is>
          <t>Lakeland, Florida, USA</t>
        </is>
      </c>
      <c r="H148" s="10" t="inlineStr">
        <is>
          <t>Supermarket grocery chain, Southeast US</t>
        </is>
      </c>
      <c r="I148" s="10" t="inlineStr">
        <is>
          <t>~250,000 employees (est.)</t>
        </is>
      </c>
      <c r="J148" s="10" t="inlineStr">
        <is>
          <t>10k+</t>
        </is>
      </c>
      <c r="K148" s="10" t="inlineStr">
        <is>
          <t>verified-new</t>
        </is>
      </c>
      <c r="L148" s="10" t="inlineStr">
        <is>
          <t xml:space="preserve">$62.7B (FY2025, fiscal year ended Dec 27 2025; net earnings $4.7B) | Employee/family-controlled, no published market valuation (private; files SEC reports due to ESOP stock plan) | flags: governance (hybrid family-control + employee-stock-ownership; </t>
        </is>
      </c>
      <c r="M148" s="10" t="inlineStr">
        <is>
          <t>[VERIFIED NEW W1] Southeast US regional activation (Miami GP market overlap) framed around the community/employee-ownership story — positions Publix as a 'best-run American company' aligning with F1's premium-but-approachable brand halo. | Elite fina</t>
        </is>
      </c>
    </row>
    <row r="149">
      <c r="A149" s="10" t="n">
        <v>146</v>
      </c>
      <c r="B149" s="10" t="inlineStr">
        <is>
          <t>W1</t>
        </is>
      </c>
      <c r="C149" s="10" t="inlineStr">
        <is>
          <t>03 Luxury &amp; Beauty</t>
        </is>
      </c>
      <c r="D149" s="10" t="n">
        <v>84</v>
      </c>
      <c r="E149" s="10" t="inlineStr">
        <is>
          <t>Puig Brands, S.A.</t>
        </is>
      </c>
      <c r="F149" s="10" t="inlineStr">
        <is>
          <t>puig.com</t>
        </is>
      </c>
      <c r="G149" s="10" t="inlineStr">
        <is>
          <t>Spain</t>
        </is>
      </c>
      <c r="H149" s="10" t="inlineStr">
        <is>
          <t>Fragrance/beauty (Carolina Herrera, Charlotte Tilbury, Jean Paul Gaultier, Rabanne); sold via prestige retail globally</t>
        </is>
      </c>
      <c r="I149" s="10" t="inlineStr">
        <is>
          <t>~9,500 employees</t>
        </is>
      </c>
      <c r="J149" s="10" t="inlineStr">
        <is>
          <t>5k-10k</t>
        </is>
      </c>
      <c r="K149" s="10" t="inlineStr">
        <is>
          <t>verified-new</t>
        </is>
      </c>
      <c r="L149" s="10" t="inlineStr">
        <is>
          <t>€5.04B ($5.5B), FY2025 (record year, +7.8% like-for-like), source: Puig FY2025 Integrated Annual Report | $11B market cap, as of Jun 2026 (consistent with Sept 8 2026 prior check), source: stockanalysis.com / Puig IR</t>
        </is>
      </c>
      <c r="M149" s="10" t="inlineStr">
        <is>
          <t>[VERIFIED NEW W1] Independent prestige fragrance/beauty house (post-IPO growth story) positioning itself against larger luxury conglomerates already active in F1 - a differentiated "challenger luxury house" angle. | Record 2025 sales and margin growt</t>
        </is>
      </c>
    </row>
    <row r="150">
      <c r="A150" s="10" t="n">
        <v>147</v>
      </c>
      <c r="B150" s="10" t="inlineStr">
        <is>
          <t>W5</t>
        </is>
      </c>
      <c r="C150" s="10" t="inlineStr">
        <is>
          <t>47 Vertical SaaS</t>
        </is>
      </c>
      <c r="D150" s="10" t="n">
        <v>84</v>
      </c>
      <c r="E150" s="10" t="inlineStr">
        <is>
          <t>R1 RCM</t>
        </is>
      </c>
      <c r="F150" s="10" t="inlineStr">
        <is>
          <t>r1rcm.com</t>
        </is>
      </c>
      <c r="G150" s="10" t="inlineStr">
        <is>
          <t>Chicago, IL, USA</t>
        </is>
      </c>
      <c r="H150" s="10" t="inlineStr">
        <is>
          <t>Healthcare revenue cycle management software and outsourced services</t>
        </is>
      </c>
      <c r="I150" s="10" t="inlineStr">
        <is>
          <t>~30,000 (large onshore/offshore RCM workforce, est.)</t>
        </is>
      </c>
      <c r="J150" s="10" t="inlineStr">
        <is>
          <t>10k+</t>
        </is>
      </c>
      <c r="K150" s="10" t="inlineStr">
        <is>
          <t>verified-new</t>
        </is>
      </c>
      <c r="L150" s="10" t="inlineStr">
        <is>
          <t>$2.25B FY2023 (confirmed, SEC 10-K - last public full year); Q1 pre-close run-rate ~$603.9M/quarter (~11% YoY growth); FY2025 figures undisclosed post-LBO (est. continuation ~$2.3-2.5B) | $8.9B (2024 TowerBrook/CD&amp;R take-private at $14.30/share, mult</t>
        </is>
      </c>
      <c r="M150" s="10" t="inlineStr">
        <is>
          <t>[VERIFIED NEW W5] Turnaround/growth story under new PE ownership seeking brand elevation; healthcare-tech innovation and reliability-under-pressure narrative. | Confirmed $2.25B+ revenue and $8.9B transaction value with no F1 exposure; post-LBO healt</t>
        </is>
      </c>
    </row>
    <row r="151">
      <c r="A151" s="10" t="n">
        <v>148</v>
      </c>
      <c r="B151" s="10" t="inlineStr">
        <is>
          <t>W10</t>
        </is>
      </c>
      <c r="C151" s="10" t="inlineStr">
        <is>
          <t>24 Logistics</t>
        </is>
      </c>
      <c r="D151" s="10" t="n">
        <v>84</v>
      </c>
      <c r="E151" s="10" t="inlineStr">
        <is>
          <t>Raben Group</t>
        </is>
      </c>
      <c r="F151" s="10" t="inlineStr">
        <is>
          <t>raben-group.com</t>
        </is>
      </c>
      <c r="G151" s="10" t="n"/>
      <c r="H151" s="10" t="n"/>
      <c r="I151" s="10" t="n"/>
      <c r="J151" s="10" t="inlineStr">
        <is>
          <t>unknown</t>
        </is>
      </c>
      <c r="K151" s="10" t="inlineStr">
        <is>
          <t>verified-new</t>
        </is>
      </c>
      <c r="L151" s="10" t="inlineStr">
        <is>
          <t>EUR &gt;2.15B (2024 actual); EUR &gt;2.3B (2025 actual, +6% YoY) |  | flags: Private company - no market cap; sponsorship budget authority sits with family ownership, requiring direct family/board access rather than an IR-driven process</t>
        </is>
      </c>
      <c r="M151" s="10" t="inlineStr">
        <is>
          <t xml:space="preserve">[VERIFIED NEW W10] Pan-European logistics/supply-chain visibility sponsorship tied to European race weekends (Spa, Zandvoort, Monza), leaning into the family-ownership heritage narrative. | </t>
        </is>
      </c>
    </row>
    <row r="152">
      <c r="A152" s="10" t="n">
        <v>149</v>
      </c>
      <c r="B152" s="10" t="inlineStr">
        <is>
          <t>W1</t>
        </is>
      </c>
      <c r="C152" s="10" t="inlineStr">
        <is>
          <t>53 Consumer &amp; Lifestyle</t>
        </is>
      </c>
      <c r="D152" s="10" t="n">
        <v>84</v>
      </c>
      <c r="E152" s="10" t="inlineStr">
        <is>
          <t>Raia Drogasil S.A.</t>
        </is>
      </c>
      <c r="F152" s="10" t="inlineStr">
        <is>
          <t>raiadrogasil.com.br</t>
        </is>
      </c>
      <c r="G152" s="10" t="inlineStr">
        <is>
          <t>São Paulo, Brazil</t>
        </is>
      </c>
      <c r="H152" s="10" t="inlineStr">
        <is>
          <t>Drogasil/Droga Raia pharmacy retail chain, Brazil's largest, with thousands of stores nationwide</t>
        </is>
      </c>
      <c r="I152" s="10" t="inlineStr">
        <is>
          <t>~45,000 employees (input est.)</t>
        </is>
      </c>
      <c r="J152" s="10" t="inlineStr">
        <is>
          <t>10k+</t>
        </is>
      </c>
      <c r="K152" s="10" t="inlineStr">
        <is>
          <t>verified-new</t>
        </is>
      </c>
      <c r="L152" s="10" t="inlineStr">
        <is>
          <t>BRL 44.25B (~US$8.2B) FY2025, +13.8% YoY; TTM (Q2 2026) BRL 46.53B, +18.0% YoY (company financials, verified Sept 2026) | ~US$8-9B market cap range most consistent with historical trading levels and the input estimate; one source cited an outlier fig</t>
        </is>
      </c>
      <c r="M152" s="10" t="inlineStr">
        <is>
          <t>[VERIFIED NEW W1] São Paulo GP grassroots/retail activation (in-store sampling, hydration/wellness tie-in) leveraging Raia Drogasil's dense store network for fan reach around race week. | Brazil's largest pharmacy chain sits directly in the São Paulo</t>
        </is>
      </c>
    </row>
    <row r="153">
      <c r="A153" s="10" t="n">
        <v>150</v>
      </c>
      <c r="B153" s="10" t="inlineStr">
        <is>
          <t>W7</t>
        </is>
      </c>
      <c r="C153" s="10" t="inlineStr">
        <is>
          <t>02 Energy &amp; Industrial</t>
        </is>
      </c>
      <c r="D153" s="10" t="n">
        <v>84</v>
      </c>
      <c r="E153" s="10" t="inlineStr">
        <is>
          <t>Rayonier</t>
        </is>
      </c>
      <c r="F153" s="10" t="inlineStr">
        <is>
          <t>rayonier.com</t>
        </is>
      </c>
      <c r="G153" s="10" t="n"/>
      <c r="H153" s="10" t="inlineStr">
        <is>
          <t>Timberland ownership/management and emerging carbon-capture land leasing (incl. CCS pore-space leases) to industrial buy</t>
        </is>
      </c>
      <c r="I153" s="10" t="n"/>
      <c r="J153" s="10" t="inlineStr">
        <is>
          <t>unknown</t>
        </is>
      </c>
      <c r="K153" s="10" t="inlineStr">
        <is>
          <t>verified-new</t>
        </is>
      </c>
      <c r="L153" s="10" t="inlineStr">
        <is>
          <t xml:space="preserve"> |  | flags: not F1-tied; not state-owned; MATERIAL CHANGE: merged with PotlatchDeltic (closed 30 Jan 2026) into a larger land-resources REIT; company may rebrand under a new name/ticker - confirm current legal name before outreach (traded as 'Rayoni</t>
        </is>
      </c>
      <c r="M153" s="10" t="inlineStr">
        <is>
          <t>[VERIFIED NEW W7] Post-merger scale story: one of the largest US land-resources REITs with an emerging CCS pore-space leasing business - Net Zero 2030 natural-climate-solutions narrative; verify final corporate name/branding before any outreach mater</t>
        </is>
      </c>
    </row>
    <row r="154">
      <c r="A154" s="10" t="n">
        <v>151</v>
      </c>
      <c r="B154" s="10" t="inlineStr">
        <is>
          <t>W2</t>
        </is>
      </c>
      <c r="C154" s="10" t="inlineStr">
        <is>
          <t>01 Banking &amp; Insurance</t>
        </is>
      </c>
      <c r="D154" s="10" t="n">
        <v>84</v>
      </c>
      <c r="E154" s="10" t="inlineStr">
        <is>
          <t>Regions Financial Corporation</t>
        </is>
      </c>
      <c r="F154" s="10" t="inlineStr">
        <is>
          <t>regions.com</t>
        </is>
      </c>
      <c r="G154" s="10" t="inlineStr">
        <is>
          <t>Birmingham, AL, USA</t>
        </is>
      </c>
      <c r="H154" s="10" t="inlineStr">
        <is>
          <t>Retail and commercial banking in the US Southeast/Midwest</t>
        </is>
      </c>
      <c r="I154" s="10" t="inlineStr">
        <is>
          <t>15,000–20,000</t>
        </is>
      </c>
      <c r="J154" s="10" t="inlineStr">
        <is>
          <t>10k+</t>
        </is>
      </c>
      <c r="K154" s="10" t="inlineStr">
        <is>
          <t>verified-new</t>
        </is>
      </c>
      <c r="L154" s="10" t="inlineStr">
        <is>
          <t>~$7.7B FY2025 total revenue (net interest + noninterest income; some aggregators show figures from $6.19B to $9.6B depending on methodology — use company 10-K for exact figure), record wealth/treasury-management income cited in FY2025 results | ~$24.</t>
        </is>
      </c>
      <c r="M154" s="10" t="inlineStr">
        <is>
          <t>[VERIFIED NEW W2] Regional-growth and Southeast-expansion story — frame F1 US races (Miami, Austin, Las Vegas) as a natural extension of its existing regional sports-sponsorship playbook. | Credit quality is genuinely improving (not just stable), the</t>
        </is>
      </c>
    </row>
    <row r="155">
      <c r="A155" s="10" t="n">
        <v>152</v>
      </c>
      <c r="B155" s="10" t="inlineStr">
        <is>
          <t>W10</t>
        </is>
      </c>
      <c r="C155" s="10" t="inlineStr">
        <is>
          <t>43 Mobility &amp; Automotive</t>
        </is>
      </c>
      <c r="D155" s="10" t="n">
        <v>84</v>
      </c>
      <c r="E155" s="10" t="inlineStr">
        <is>
          <t>Ritchie Bros Auctioneers</t>
        </is>
      </c>
      <c r="F155" s="10" t="inlineStr">
        <is>
          <t>ritchiebros.com</t>
        </is>
      </c>
      <c r="G155" s="10" t="n"/>
      <c r="H155" s="10" t="n"/>
      <c r="I155" s="10" t="n"/>
      <c r="J155" s="10" t="inlineStr">
        <is>
          <t>unknown</t>
        </is>
      </c>
      <c r="K155" s="10" t="inlineStr">
        <is>
          <t>verified-new</t>
        </is>
      </c>
      <c r="L155" s="10" t="inlineStr">
        <is>
          <t>USD 4.59B (2025 actual, +7.15% YoY) |  | flags: Business spans both vehicle/auto-salvage auctions (IAA, now the largest segment) and heavy-equipment auctions (legacy Ritchie Bros core) - automotive fit is real but not the company's sole line of busin</t>
        </is>
      </c>
      <c r="M155" s="10" t="inlineStr">
        <is>
          <t xml:space="preserve">[VERIFIED NEW W10] B2B marketplace visibility sponsorship positioning RB Global as the re-marketing/circular-economy partner for vehicles and equipment, tying into fleet-turnover and sustainability storylines around F1 team logistics. | </t>
        </is>
      </c>
    </row>
    <row r="156">
      <c r="A156" s="10" t="n">
        <v>153</v>
      </c>
      <c r="B156" s="10" t="inlineStr">
        <is>
          <t>W8</t>
        </is>
      </c>
      <c r="C156" s="10" t="inlineStr">
        <is>
          <t>18 Services &amp; Other</t>
        </is>
      </c>
      <c r="D156" s="10" t="n">
        <v>84</v>
      </c>
      <c r="E156" s="10" t="inlineStr">
        <is>
          <t>Ryman Hospitality Properties Inc</t>
        </is>
      </c>
      <c r="F156" s="10" t="inlineStr">
        <is>
          <t>rymanhp.com</t>
        </is>
      </c>
      <c r="G156" s="10" t="n"/>
      <c r="H156" s="10" t="inlineStr">
        <is>
          <t>Convention-center hotel and entertainment real estate (Gaylord Hotels, Grand Ole Opry) (REIT)</t>
        </is>
      </c>
      <c r="I156" s="10" t="n"/>
      <c r="J156" s="10" t="inlineStr">
        <is>
          <t>unknown</t>
        </is>
      </c>
      <c r="K156" s="10" t="inlineStr">
        <is>
          <t>verified-new</t>
        </is>
      </c>
      <c r="L156" s="10" t="inlineStr">
        <is>
          <t xml:space="preserve">FY2025 total revenue not separately broken out in press materials found; Hospitality segment (~83% of revenue) plus Entertainment segment (~17%); Gaylord Opryland alone generated $484.1M (down 2.3% YoY on construction disruption) (Q4/FY2025 earnings </t>
        </is>
      </c>
      <c r="M156" s="10" t="inlineStr">
        <is>
          <t xml:space="preserve">[VERIFIED NEW W8] Entertainment/hospitality crossover - Gaylord Hotels as official race-weekend hospitality partner for US races, or a Grand Ole Opry/Nashville music-and-motorsport co-branded fan experience. | </t>
        </is>
      </c>
    </row>
    <row r="157">
      <c r="A157" s="10" t="n">
        <v>154</v>
      </c>
      <c r="B157" s="10" t="inlineStr">
        <is>
          <t>W8</t>
        </is>
      </c>
      <c r="C157" s="10" t="inlineStr">
        <is>
          <t>24 Logistics</t>
        </is>
      </c>
      <c r="D157" s="10" t="n">
        <v>84</v>
      </c>
      <c r="E157" s="10" t="inlineStr">
        <is>
          <t>SEGRO plc</t>
        </is>
      </c>
      <c r="F157" s="10" t="inlineStr">
        <is>
          <t>segro.com</t>
        </is>
      </c>
      <c r="G157" s="10" t="n"/>
      <c r="H157" s="10" t="inlineStr">
        <is>
          <t>Logistics and industrial warehouse real estate (REIT) across UK/Europe</t>
        </is>
      </c>
      <c r="I157" s="10" t="n"/>
      <c r="J157" s="10" t="inlineStr">
        <is>
          <t>unknown</t>
        </is>
      </c>
      <c r="K157" s="10" t="inlineStr">
        <is>
          <t>verified-new</t>
        </is>
      </c>
      <c r="L157" s="10" t="inlineStr">
        <is>
          <t xml:space="preserve"> | ~GBP12.7B (~$17B) market cap (verified Sep 18, 2026, LSE:SGRO per tipranks/companiesmarketcap) - higher than prior GBP7-9B estimate | flags: Market cap verified meaningfully higher (~£12.7B) than the original ~£7-9B estimate - re-confirm at outrea</t>
        </is>
      </c>
      <c r="M157" s="10" t="inlineStr">
        <is>
          <t xml:space="preserve">[VERIFIED NEW W8] European logistics/industrial real estate partner - align with F1's European race calendar and freight/logistics operations across UK and Continental Europe. | </t>
        </is>
      </c>
    </row>
    <row r="158">
      <c r="A158" s="10" t="n">
        <v>155</v>
      </c>
      <c r="B158" s="10" t="inlineStr">
        <is>
          <t>W6</t>
        </is>
      </c>
      <c r="C158" s="10" t="inlineStr">
        <is>
          <t>43 Mobility &amp; Automotive</t>
        </is>
      </c>
      <c r="D158" s="10" t="n">
        <v>84</v>
      </c>
      <c r="E158" s="10" t="inlineStr">
        <is>
          <t>SG Holdings Co Ltd (Sagawa Express)</t>
        </is>
      </c>
      <c r="F158" s="10" t="inlineStr">
        <is>
          <t>sg-hldgs.co.jp</t>
        </is>
      </c>
      <c r="G158" s="10" t="n"/>
      <c r="H158" s="10" t="n"/>
      <c r="I158" s="10" t="n"/>
      <c r="J158" s="10" t="inlineStr">
        <is>
          <t>unknown</t>
        </is>
      </c>
      <c r="K158" s="10" t="inlineStr">
        <is>
          <t>verified-new</t>
        </is>
      </c>
      <c r="L158" s="10" t="inlineStr">
        <is>
          <t>{'value': '¥1.48T (~$10.2B at ~¥145/$1) for FY ended March 31, 2025, up 12.32% YoY — a strong rebound after an 8.2% decline the prior year', 'source': 'SG Holdings FY2025/3 results presentation (magicalir.net / stockanalysis.com)'} |  | flags: Prior-</t>
        </is>
      </c>
      <c r="M158" s="10" t="inlineStr">
        <is>
          <t xml:space="preserve">[VERIFIED NEW W6] Japan Grand Prix regional logistics/express-delivery partner, leaning on Sagawa Express's precision-timing delivery network as a natural parallel to F1 logistics operations. | </t>
        </is>
      </c>
    </row>
    <row r="159">
      <c r="A159" s="10" t="n">
        <v>156</v>
      </c>
      <c r="B159" s="10" t="inlineStr">
        <is>
          <t>W4</t>
        </is>
      </c>
      <c r="C159" s="10" t="inlineStr">
        <is>
          <t>48 Telecom &amp; Space</t>
        </is>
      </c>
      <c r="D159" s="10" t="n">
        <v>84</v>
      </c>
      <c r="E159" s="10" t="inlineStr">
        <is>
          <t>SK Telecom Co., Ltd.</t>
        </is>
      </c>
      <c r="F159" s="10" t="inlineStr">
        <is>
          <t>sktelecom.com</t>
        </is>
      </c>
      <c r="G159" s="10" t="inlineStr">
        <is>
          <t>Seoul, South Korea</t>
        </is>
      </c>
      <c r="H159" s="10" t="inlineStr">
        <is>
          <t>Mobile telecom in South Korea plus AI services (A.) and data-center build-out</t>
        </is>
      </c>
      <c r="I159" s="10" t="inlineStr">
        <is>
          <t>~5,400 (parent) (Mid-Enterprise)</t>
        </is>
      </c>
      <c r="J159" s="10" t="inlineStr">
        <is>
          <t>5k-10k</t>
        </is>
      </c>
      <c r="K159" s="10" t="inlineStr">
        <is>
          <t>verified-new</t>
        </is>
      </c>
      <c r="L159" s="10" t="inlineStr">
        <is>
          <t>KRW 17.9T (~$13B) FY2024; KRW 17.10T (~$12B), FY2025, -4.7% YoY (stockanalysis.com/company reports) | $13.33B market cap as of 7 Aug 2026 (stockanalysis.com) | flags: FY2025 revenue down ~4.7% YoY; 2024 SIM-data breach (reputational/operational, reso</t>
        </is>
      </c>
      <c r="M159" s="10" t="inlineStr">
        <is>
          <t>[VERIFIED NEW W4] AI + telecom convergence story, plus a natural crossover from its T1 esports fanbase into motorsport/F1 audiences - APAC growth narrative. | Clean of F1 exposure and state ownership; revenue dip is a minor watch item against an othe</t>
        </is>
      </c>
    </row>
    <row r="160">
      <c r="A160" s="10" t="n">
        <v>157</v>
      </c>
      <c r="B160" s="10" t="inlineStr">
        <is>
          <t>W6</t>
        </is>
      </c>
      <c r="C160" s="10" t="inlineStr">
        <is>
          <t>43 Mobility &amp; Automotive</t>
        </is>
      </c>
      <c r="D160" s="10" t="n">
        <v>84</v>
      </c>
      <c r="E160" s="10" t="inlineStr">
        <is>
          <t>Saia Inc</t>
        </is>
      </c>
      <c r="F160" s="10" t="inlineStr">
        <is>
          <t>saia.com</t>
        </is>
      </c>
      <c r="G160" s="10" t="n"/>
      <c r="H160" s="10" t="inlineStr">
        <is>
          <t>Less-than-truckload (LTL) freight transportation, expanding US terminal network</t>
        </is>
      </c>
      <c r="I160" s="10" t="n"/>
      <c r="J160" s="10" t="inlineStr">
        <is>
          <t>unknown</t>
        </is>
      </c>
      <c r="K160" s="10" t="inlineStr">
        <is>
          <t>verified-new</t>
        </is>
      </c>
      <c r="L160" s="10" t="inlineStr">
        <is>
          <t xml:space="preserve"> |  | flags: FY2025 operating income declined ~27% YoY and revenue growth was flat (+0.8%) - profitability trend is softening, not clearly improving, this year.; Already a primary NASCAR sponsor (Joe Gibbs Racing) - proven motorsport marketing budget</t>
        </is>
      </c>
      <c r="M160" s="10" t="inlineStr">
        <is>
          <t xml:space="preserve">[VERIFIED NEW W6] Operational-precision/reliability story (LTL network expansion, on-time performance) framed like a pit-stop-efficiency analogy; useful entry point for a US-based F1 team given Saia's existing motorsport-sponsorship comfort level. | </t>
        </is>
      </c>
    </row>
    <row r="161">
      <c r="A161" s="10" t="n">
        <v>158</v>
      </c>
      <c r="B161" s="10" t="inlineStr">
        <is>
          <t>W6</t>
        </is>
      </c>
      <c r="C161" s="10" t="inlineStr">
        <is>
          <t>43 Mobility &amp; Automotive</t>
        </is>
      </c>
      <c r="D161" s="10" t="n">
        <v>84</v>
      </c>
      <c r="E161" s="10" t="inlineStr">
        <is>
          <t>Schneider National Inc</t>
        </is>
      </c>
      <c r="F161" s="10" t="inlineStr">
        <is>
          <t>schneider.com</t>
        </is>
      </c>
      <c r="G161" s="10" t="n"/>
      <c r="H161" s="10" t="n"/>
      <c r="I161" s="10" t="n"/>
      <c r="J161" s="10" t="inlineStr">
        <is>
          <t>unknown</t>
        </is>
      </c>
      <c r="K161" s="10" t="inlineStr">
        <is>
          <t>verified-new</t>
        </is>
      </c>
      <c r="L161" s="10" t="inlineStr">
        <is>
          <t>{'value': '$5.67B FY2025, up ~7% YoY; net income $104M; income from operations ~$169M', 'source': 'Schneider National Announces Fourth Quarter 2025 Results, Jan 2026 (investors.schneider.com)'} |  | flags: Distinct from Schneider Electric — must be u</t>
        </is>
      </c>
      <c r="M161" s="10" t="inlineStr">
        <is>
          <t xml:space="preserve">[VERIFIED NEW W6] US logistics/intermodal partner story built around the freight-market recovery, framed as team-level North America partner given DHL's series-level exclusivity. | </t>
        </is>
      </c>
    </row>
    <row r="162">
      <c r="A162" s="10" t="n">
        <v>159</v>
      </c>
      <c r="B162" s="10" t="inlineStr">
        <is>
          <t>W1</t>
        </is>
      </c>
      <c r="C162" s="10" t="inlineStr">
        <is>
          <t>53 Consumer &amp; Lifestyle</t>
        </is>
      </c>
      <c r="D162" s="10" t="n">
        <v>84</v>
      </c>
      <c r="E162" s="10" t="inlineStr">
        <is>
          <t>Sheetz</t>
        </is>
      </c>
      <c r="F162" s="10" t="inlineStr">
        <is>
          <t>sheetz.com</t>
        </is>
      </c>
      <c r="G162" s="10" t="inlineStr">
        <is>
          <t>Altoona, Pennsylvania, USA</t>
        </is>
      </c>
      <c r="H162" s="10" t="inlineStr">
        <is>
          <t>Convenience store and fuel retail chain</t>
        </is>
      </c>
      <c r="I162" s="10" t="inlineStr">
        <is>
          <t>~24,000 (est.); 27,600+ associates per recent company figures</t>
        </is>
      </c>
      <c r="J162" s="10" t="inlineStr">
        <is>
          <t>10k+</t>
        </is>
      </c>
      <c r="K162" s="10" t="inlineStr">
        <is>
          <t>verified-new</t>
        </is>
      </c>
      <c r="L162" s="10" t="inlineStr">
        <is>
          <t>~$11-14B (2024-25, est. — sources conflict between ~$9B input, ~$11B, and ~$14B figures); no audited disclosure | Family-owned, none published | flags: revenue figures notably inconsistent across sources — could not fully reconcile within budget</t>
        </is>
      </c>
      <c r="M162" s="10" t="inlineStr">
        <is>
          <t>[VERIFIED NEW W1] Mid-Atlantic fan-engagement activation leaning into the Sheetz-vs-Wawa rivalry meme energy for a US race-weekend fan campaign. | Large, family-owned regional chain with strong online fan culture and no F1 conflicts, comparable in pr</t>
        </is>
      </c>
    </row>
    <row r="163">
      <c r="A163" s="10" t="n">
        <v>160</v>
      </c>
      <c r="B163" s="10" t="inlineStr">
        <is>
          <t>W2</t>
        </is>
      </c>
      <c r="C163" s="10" t="inlineStr">
        <is>
          <t>01 Banking &amp; Insurance</t>
        </is>
      </c>
      <c r="D163" s="10" t="n">
        <v>84</v>
      </c>
      <c r="E163" s="10" t="inlineStr">
        <is>
          <t>Shriram Finance</t>
        </is>
      </c>
      <c r="F163" s="10" t="inlineStr">
        <is>
          <t>shriramfinance.in</t>
        </is>
      </c>
      <c r="G163" s="10" t="inlineStr">
        <is>
          <t>India</t>
        </is>
      </c>
      <c r="H163" s="10" t="inlineStr">
        <is>
          <t>Commercial vehicle, MSME and gold loans to Indian retail/SME customers, with strong rural/semi-urban reach</t>
        </is>
      </c>
      <c r="I163" s="10" t="inlineStr">
        <is>
          <t>&gt;50k (~75,000 est., unverified this pass)</t>
        </is>
      </c>
      <c r="J163" s="10" t="inlineStr">
        <is>
          <t>10k+</t>
        </is>
      </c>
      <c r="K163" s="10" t="inlineStr">
        <is>
          <t>verified-new</t>
        </is>
      </c>
      <c r="L163" s="10" t="inlineStr">
        <is>
          <t>Revenue growing strongly - Q2 revenue ₹10,090 Cr, +17.9% YoY; full-year figures point to roughly ₹48,000+ Cr (~US$5.5B), well above input's ~$3.5B estimate | Market cap ~₹242,034 Cr (~US$26.8B) as of Sept 15, 2026 - well above input's ~$13B estimate;</t>
        </is>
      </c>
      <c r="M163" s="10" t="inlineStr">
        <is>
          <t>[VERIFIED NEW W2] Position F1 as the natural upgrade from Shriram's existing large-scale sports marketing (PKL, cricket icon endorsement) to a premium global platform, tapping India's rising affluent auto/finance customer base and any India GP reviva</t>
        </is>
      </c>
    </row>
    <row r="164">
      <c r="A164" s="10" t="n">
        <v>161</v>
      </c>
      <c r="B164" s="10" t="inlineStr">
        <is>
          <t>W6</t>
        </is>
      </c>
      <c r="C164" s="10" t="inlineStr">
        <is>
          <t>41 OT &amp; Physical Security</t>
        </is>
      </c>
      <c r="D164" s="10" t="n">
        <v>84</v>
      </c>
      <c r="E164" s="10" t="inlineStr">
        <is>
          <t>Smiths Group plc</t>
        </is>
      </c>
      <c r="F164" s="10" t="inlineStr">
        <is>
          <t>smithsgroup.com</t>
        </is>
      </c>
      <c r="G164" s="10" t="inlineStr">
        <is>
          <t>London, UK</t>
        </is>
      </c>
      <c r="H164" s="10" t="inlineStr">
        <is>
          <t>Detection/security screening (Smiths Detection), medical devices, energy equipment and specialty engineering (John Crane</t>
        </is>
      </c>
      <c r="I164" s="10" t="inlineStr">
        <is>
          <t>~14,500</t>
        </is>
      </c>
      <c r="J164" s="10" t="inlineStr">
        <is>
          <t>10k+</t>
        </is>
      </c>
      <c r="K164" s="10" t="inlineStr">
        <is>
          <t>verified-new</t>
        </is>
      </c>
      <c r="L164" s="10" t="inlineStr">
        <is>
          <t>FY2025 (year ended Jul 31 2025) revenue £2.92B (~$3.7B), organic growth +8.9%, 4th consecutive year of growth, margin +60bps (source: Smiths Group FY2025 results, smiths.com/stockanalysis.com) | ~$9.9B market cap (Sep 2026, companiesmarketcap.com/sto</t>
        </is>
      </c>
      <c r="M164" s="10" t="inlineStr">
        <is>
          <t xml:space="preserve">[VERIFIED NEW W6] Smiths Detection precision sensing/scanning technology positioned as an official circuit/paddock security and screening technology partner. | Consistently profitable detection/security technology with credible engineering story and </t>
        </is>
      </c>
    </row>
    <row r="165">
      <c r="A165" s="10" t="n">
        <v>162</v>
      </c>
      <c r="B165" s="10" t="inlineStr">
        <is>
          <t>W2</t>
        </is>
      </c>
      <c r="C165" s="10" t="inlineStr">
        <is>
          <t>01 Banking &amp; Insurance</t>
        </is>
      </c>
      <c r="D165" s="10" t="n">
        <v>84</v>
      </c>
      <c r="E165" s="10" t="inlineStr">
        <is>
          <t>St. James's Place</t>
        </is>
      </c>
      <c r="F165" s="10" t="inlineStr">
        <is>
          <t>sjp.co.uk</t>
        </is>
      </c>
      <c r="G165" s="10" t="inlineStr">
        <is>
          <t>Cirencester, United Kingdom</t>
        </is>
      </c>
      <c r="H165" s="10" t="inlineStr">
        <is>
          <t>Wealth management and financial advice to UK affluent/retail clients</t>
        </is>
      </c>
      <c r="I165" s="10" t="inlineStr">
        <is>
          <t>~4,500 (est.)</t>
        </is>
      </c>
      <c r="J165" s="10" t="inlineStr">
        <is>
          <t>1k-5k</t>
        </is>
      </c>
      <c r="K165" s="10" t="inlineStr">
        <is>
          <t>verified-new</t>
        </is>
      </c>
      <c r="L165" s="10" t="inlineStr">
        <is>
          <t>£30.2B FY2025 gross IFRS revenue (includes volatile policyholder investment return - not directly comparable to fee income) (source: stockanalysis.com); FUM record £220.0B FY2025, £240.8B H1 2026 | £5.77B market cap as of Sept 2026 (source: companies</t>
        </is>
      </c>
      <c r="M165" s="10" t="inlineStr">
        <is>
          <t>[VERIFIED NEW W2] Premium UK wealth-management client base overlaps directly with F1 hospitality audiences; lean into the 'record FUM, comeback story' narrative for brand confidence. | Clear, well-documented improving trajectory (record FUM, +33% pro</t>
        </is>
      </c>
    </row>
    <row r="166">
      <c r="A166" s="10" t="n">
        <v>163</v>
      </c>
      <c r="B166" s="10" t="inlineStr">
        <is>
          <t>W2</t>
        </is>
      </c>
      <c r="C166" s="10" t="inlineStr">
        <is>
          <t>01 Banking &amp; Insurance</t>
        </is>
      </c>
      <c r="D166" s="10" t="n">
        <v>84</v>
      </c>
      <c r="E166" s="10" t="inlineStr">
        <is>
          <t>Storebrand</t>
        </is>
      </c>
      <c r="F166" s="10" t="inlineStr">
        <is>
          <t>storebrand.no</t>
        </is>
      </c>
      <c r="G166" s="10" t="inlineStr">
        <is>
          <t>Lysaker (Oslo area), Norway</t>
        </is>
      </c>
      <c r="H166" s="10" t="inlineStr">
        <is>
          <t>Life insurance, pensions and sustainable asset management in Norway and Sweden</t>
        </is>
      </c>
      <c r="I166" s="10" t="inlineStr">
        <is>
          <t>~2,300 (est.)</t>
        </is>
      </c>
      <c r="J166" s="10" t="inlineStr">
        <is>
          <t>1k-5k</t>
        </is>
      </c>
      <c r="K166" s="10" t="inlineStr">
        <is>
          <t>verified-new</t>
        </is>
      </c>
      <c r="L166" s="10" t="inlineStr">
        <is>
          <t>NOK 14.6B FY2025 (~$1.4B) (source: mynewsdesk.com Q4 2025 update / Storebrand IR) | ~$8B market cap as of July 2026 (source: stockanalysis.com/companiesmarketcap.com) | flags: ESG-forward brand identity would require a sustainability-framed pitch (F1</t>
        </is>
      </c>
      <c r="M166" s="10" t="inlineStr">
        <is>
          <t>[VERIFIED NEW W2] Lead with F1's sustainability/hybrid-powertrain and net-zero-2030 narrative to match Storebrand's ESG-first brand positioning. | Clean ownership, improving financial trajectory (record Q2 2026 results), and no competing F1 exposure.</t>
        </is>
      </c>
    </row>
    <row r="167">
      <c r="A167" s="10" t="n">
        <v>164</v>
      </c>
      <c r="B167" s="10" t="inlineStr">
        <is>
          <t>W8</t>
        </is>
      </c>
      <c r="C167" s="10" t="inlineStr">
        <is>
          <t>18 Services &amp; Other</t>
        </is>
      </c>
      <c r="D167" s="10" t="n">
        <v>84</v>
      </c>
      <c r="E167" s="10" t="inlineStr">
        <is>
          <t>Swire Pacific Limited</t>
        </is>
      </c>
      <c r="F167" s="10" t="inlineStr">
        <is>
          <t>swirepacific.com</t>
        </is>
      </c>
      <c r="G167" s="10" t="inlineStr">
        <is>
          <t>Hong Kong</t>
        </is>
      </c>
      <c r="H167" s="10" t="inlineStr">
        <is>
          <t>Diversified conglomerate: property, aviation (Cathay Pacific stake), beverages (Swire Coca-Cola), trading/industrial</t>
        </is>
      </c>
      <c r="I167" s="10" t="inlineStr">
        <is>
          <t>~90,000 group (50k-100k band)</t>
        </is>
      </c>
      <c r="J167" s="10" t="inlineStr">
        <is>
          <t>10k+</t>
        </is>
      </c>
      <c r="K167" s="10" t="inlineStr">
        <is>
          <t>verified-new</t>
        </is>
      </c>
      <c r="L167" s="10" t="inlineStr">
        <is>
          <t xml:space="preserve">~HK$100B+ (~$13B) group revenue 2024 (annual report) | ~HK$100-141B (~$13-18B USD) market cap (WebSearch, Sept 2026, HKEX:0019, growing through the year) | flags: Cathay Pacific (Swire-affiliated airline) received a HKSAR government COVID-era rescue </t>
        </is>
      </c>
      <c r="M167" s="10" t="inlineStr">
        <is>
          <t>[VERIFIED NEW W8] Beverages arm (Swire Coca-Cola) or property arm (Swire Properties, luxury retail/hospitality developments) as the most natural F1 hospitality/lifestyle activation entry points. | Majority privately/family-controlled diversified cong</t>
        </is>
      </c>
    </row>
    <row r="168">
      <c r="A168" s="10" t="n">
        <v>165</v>
      </c>
      <c r="B168" s="10" t="inlineStr">
        <is>
          <t>W7</t>
        </is>
      </c>
      <c r="C168" s="10" t="inlineStr">
        <is>
          <t>02 Energy &amp; Industrial</t>
        </is>
      </c>
      <c r="D168" s="10" t="n">
        <v>84</v>
      </c>
      <c r="E168" s="10" t="inlineStr">
        <is>
          <t>TC Energy</t>
        </is>
      </c>
      <c r="F168" s="10" t="inlineStr">
        <is>
          <t>tcenergy.com</t>
        </is>
      </c>
      <c r="G168" s="10" t="n"/>
      <c r="H168" s="10" t="inlineStr">
        <is>
          <t>Natural gas pipelines (NGTL, Columbia), liquids pipelines (Keystone via spin-off South Bow) and power generation</t>
        </is>
      </c>
      <c r="I168" s="10" t="n"/>
      <c r="J168" s="10" t="inlineStr">
        <is>
          <t>unknown</t>
        </is>
      </c>
      <c r="K168" s="10" t="inlineStr">
        <is>
          <t>verified-new</t>
        </is>
      </c>
      <c r="L168" s="10" t="inlineStr">
        <is>
          <t>~$15.2B CAD FY2025, +10.7% YoY (companiesmarketcap.com); alternate source reports $10.9B (currency/scope discrepancy) |  | flags: revenue figure has a currency/source discrepancy (CAD vs USD reporting); recent Keystone/South Bow spin-off is a corpora</t>
        </is>
      </c>
      <c r="M168" s="10" t="inlineStr">
        <is>
          <t xml:space="preserve">[VERIFIED NEW W7] Infrastructure-reliability/ESG story plus Canadian GP corporate hospitality package. | </t>
        </is>
      </c>
    </row>
    <row r="169">
      <c r="A169" s="10" t="n">
        <v>166</v>
      </c>
      <c r="B169" s="10" t="inlineStr">
        <is>
          <t>W11</t>
        </is>
      </c>
      <c r="C169" s="10" t="inlineStr">
        <is>
          <t>29 Tech Media &amp; Gaming</t>
        </is>
      </c>
      <c r="D169" s="10" t="n">
        <v>84</v>
      </c>
      <c r="E169" s="10" t="inlineStr">
        <is>
          <t>TEGNA Inc.</t>
        </is>
      </c>
      <c r="F169" s="10" t="inlineStr">
        <is>
          <t>tegna.com</t>
        </is>
      </c>
      <c r="G169" s="10" t="n"/>
      <c r="H169" s="10" t="inlineStr">
        <is>
          <t>Local TV broadcasting (64 stations) and news content</t>
        </is>
      </c>
      <c r="I169" s="10" t="n"/>
      <c r="J169" s="10" t="inlineStr">
        <is>
          <t>unknown</t>
        </is>
      </c>
      <c r="K169" s="10" t="inlineStr">
        <is>
          <t>verified-new</t>
        </is>
      </c>
      <c r="L169" s="10" t="inlineStr">
        <is>
          <t>~$2.9-3.1B (2025) (est) - search budget; consistent with prior TEGNA public filings trend, not independently re-verified this pass. |  | flags: Market cap confirmed just above the $3B threshold ($3.24B) - monitor for volatility that could push it bac</t>
        </is>
      </c>
      <c r="M169" s="10" t="inlineStr">
        <is>
          <t xml:space="preserve">[VERIFIED NEW W11] Local-market ad packages and regional promotional tie-ins around US Grand Prix markets (Austin, Miami, Las Vegas) using TEGNA's local station footprint. | </t>
        </is>
      </c>
    </row>
    <row r="170">
      <c r="A170" s="10" t="n">
        <v>167</v>
      </c>
      <c r="B170" s="10" t="inlineStr">
        <is>
          <t>W4</t>
        </is>
      </c>
      <c r="C170" s="10" t="inlineStr">
        <is>
          <t>48 Telecom &amp; Space</t>
        </is>
      </c>
      <c r="D170" s="10" t="n">
        <v>84</v>
      </c>
      <c r="E170" s="10" t="inlineStr">
        <is>
          <t>Tele2 AB</t>
        </is>
      </c>
      <c r="F170" s="10" t="inlineStr">
        <is>
          <t>tele2.com</t>
        </is>
      </c>
      <c r="G170" s="10" t="inlineStr">
        <is>
          <t>Stockholm, Sweden</t>
        </is>
      </c>
      <c r="H170" s="10" t="inlineStr">
        <is>
          <t>Mobile and broadband telecom services in Sweden and the Baltics</t>
        </is>
      </c>
      <c r="I170" s="10" t="inlineStr">
        <is>
          <t>~4,500 (Mid-Market)</t>
        </is>
      </c>
      <c r="J170" s="10" t="inlineStr">
        <is>
          <t>1k-5k</t>
        </is>
      </c>
      <c r="K170" s="10" t="inlineStr">
        <is>
          <t>verified-new</t>
        </is>
      </c>
      <c r="L170" s="10" t="inlineStr">
        <is>
          <t>SEK 29.89B (~$2.9B), FY2025, +1.0% YoY (macrotrends/company reports) | $12.26B market cap as of Aug 2026 (companiesmarketcap.com) - flagged as high relative to revenue scale vs. sector peers; verify against primary filings before use | flags: market-</t>
        </is>
      </c>
      <c r="M170" s="10" t="inlineStr">
        <is>
          <t>[VERIFIED NEW W4] Position as a challenger-brand telecom modernizing the Baltic/Nordic market - use F1's tech/precision positioning to reinforce a value-for-money, high-performance network story. | No F1 exposure, no state ownership, improving margin</t>
        </is>
      </c>
    </row>
    <row r="171">
      <c r="A171" s="10" t="n">
        <v>168</v>
      </c>
      <c r="B171" s="10" t="inlineStr">
        <is>
          <t>W3</t>
        </is>
      </c>
      <c r="C171" s="10" t="inlineStr">
        <is>
          <t>42 Health &amp; Wellness</t>
        </is>
      </c>
      <c r="D171" s="10" t="n">
        <v>84</v>
      </c>
      <c r="E171" s="10" t="inlineStr">
        <is>
          <t>Tenet Healthcare Corporation</t>
        </is>
      </c>
      <c r="F171" s="10" t="inlineStr">
        <is>
          <t>tenethealth.com</t>
        </is>
      </c>
      <c r="G171" s="10" t="n"/>
      <c r="H171" s="10" t="n"/>
      <c r="I171" s="10" t="n"/>
      <c r="J171" s="10" t="inlineStr">
        <is>
          <t>unknown</t>
        </is>
      </c>
      <c r="K171" s="10" t="inlineStr">
        <is>
          <t>verified-new</t>
        </is>
      </c>
      <c r="L171" s="10" t="inlineStr">
        <is>
          <t>FY2025 revenue $21.3B, up from $20.7B in FY2024 - Becker's Hospital Review/company press release |  | flags: dignity framing required - patient-facing hospital operator; FY2024 net margin (15.5%) was inflated by a one-time $2.9B divestiture gain; FY2</t>
        </is>
      </c>
      <c r="M171" s="10" t="inlineStr">
        <is>
          <t xml:space="preserve">[VERIFIED NEW W3] Outpatient/ambulatory-surgery innovation and precision-of-care narrative (USPI network) - resonates with F1's efficiency/precision engineering identity; institutional framing, not patient-outcome messaging. | </t>
        </is>
      </c>
    </row>
    <row r="172">
      <c r="A172" s="10" t="n">
        <v>169</v>
      </c>
      <c r="B172" s="10" t="inlineStr">
        <is>
          <t>W1</t>
        </is>
      </c>
      <c r="C172" s="10" t="inlineStr">
        <is>
          <t>03 Luxury &amp; Beauty</t>
        </is>
      </c>
      <c r="D172" s="10" t="n">
        <v>84</v>
      </c>
      <c r="E172" s="10" t="inlineStr">
        <is>
          <t>Titan Company Limited</t>
        </is>
      </c>
      <c r="F172" s="10" t="inlineStr">
        <is>
          <t>titancompany.in</t>
        </is>
      </c>
      <c r="G172" s="10" t="inlineStr">
        <is>
          <t>Bangalore, India</t>
        </is>
      </c>
      <c r="H172" s="10" t="inlineStr">
        <is>
          <t>Tanishq jewelry, Titan/Fastrack watches, Titan Eye+ eyewear via India's largest branded retail network, expanding intern</t>
        </is>
      </c>
      <c r="I172" s="10" t="inlineStr">
        <is>
          <t>~10,000 direct employees (input est.); supports a much larger retail franchise workforce</t>
        </is>
      </c>
      <c r="J172" s="10" t="inlineStr">
        <is>
          <t>10k+</t>
        </is>
      </c>
      <c r="K172" s="10" t="inlineStr">
        <is>
          <t>verified-new</t>
        </is>
      </c>
      <c r="L172" s="10" t="inlineStr">
        <is>
          <t>₹57,818 crore (~US$6.9B) total income, FY2025 (year ended March 2025), +22% YoY (company FY25 results, verified Sept 2026); FY2026 guidance/run-rate crossed ₹75,000 crore | ~₹4.50 trillion (~US$53.9B) market cap as of Sept 2026 (stockanalysis.com/com</t>
        </is>
      </c>
      <c r="M172" s="10" t="inlineStr">
        <is>
          <t>[VERIFIED NEW W1] Position as a global-expansion story (Titan/Tanishq's push into UAE and the US) mirroring existing F1 watch-sponsor playbooks, rather than a home-market activation. | Mega-brand scale, strong growth, and a watch/jewelry category wit</t>
        </is>
      </c>
    </row>
    <row r="173">
      <c r="A173" s="10" t="n">
        <v>170</v>
      </c>
      <c r="B173" s="10" t="inlineStr">
        <is>
          <t>W11</t>
        </is>
      </c>
      <c r="C173" s="10" t="inlineStr">
        <is>
          <t>29 Tech Media &amp; Gaming</t>
        </is>
      </c>
      <c r="D173" s="10" t="n">
        <v>84</v>
      </c>
      <c r="E173" s="10" t="inlineStr">
        <is>
          <t>Toho Co., Ltd.</t>
        </is>
      </c>
      <c r="F173" s="10" t="inlineStr">
        <is>
          <t>toho.co.jp</t>
        </is>
      </c>
      <c r="G173" s="10" t="n"/>
      <c r="H173" s="10" t="inlineStr">
        <is>
          <t>Film production/distribution (Godzilla franchise, anime theatrical films), theatrical exhibition, theater real estate</t>
        </is>
      </c>
      <c r="I173" s="10" t="n"/>
      <c r="J173" s="10" t="inlineStr">
        <is>
          <t>unknown</t>
        </is>
      </c>
      <c r="K173" s="10" t="inlineStr">
        <is>
          <t>verified-new</t>
        </is>
      </c>
      <c r="L173" s="10" t="inlineStr">
        <is>
          <t>~JPY250-280B (~$1.7-1.9B) (2025) (est) - search budget; Godzilla IP segment specifically grew from ~JPY6B (FY ended Feb 2024) to over JPY12B (FY ended Feb 2025), reflecting Godzilla Minus One's global success. |  | flags: Market cap revised down from</t>
        </is>
      </c>
      <c r="M173" s="10" t="inlineStr">
        <is>
          <t xml:space="preserve">[VERIFIED NEW W11] Godzilla/anime IP crossover activation timed to the Japanese Grand Prix (Suzuka), leveraging Toho's global co-production reach (Legendary/Hollywood ties). | </t>
        </is>
      </c>
    </row>
    <row r="174">
      <c r="A174" s="10" t="n">
        <v>171</v>
      </c>
      <c r="B174" s="10" t="inlineStr">
        <is>
          <t>W1</t>
        </is>
      </c>
      <c r="C174" s="10" t="inlineStr">
        <is>
          <t>03 Luxury &amp; Beauty</t>
        </is>
      </c>
      <c r="D174" s="10" t="n">
        <v>84</v>
      </c>
      <c r="E174" s="10" t="inlineStr">
        <is>
          <t>Tory Burch LLC</t>
        </is>
      </c>
      <c r="F174" s="10" t="inlineStr">
        <is>
          <t>toryburch.com</t>
        </is>
      </c>
      <c r="G174" s="10" t="inlineStr">
        <is>
          <t>New York, USA</t>
        </is>
      </c>
      <c r="H174" s="10" t="inlineStr">
        <is>
          <t>premium/luxury fashion apparel, footwear and accessories</t>
        </is>
      </c>
      <c r="I174" s="10" t="inlineStr">
        <is>
          <t>1,000-5,000</t>
        </is>
      </c>
      <c r="J174" s="10" t="inlineStr">
        <is>
          <t>5k-10k</t>
        </is>
      </c>
      <c r="K174" s="10" t="inlineStr">
        <is>
          <t>verified-new</t>
        </is>
      </c>
      <c r="L174" s="10" t="inlineStr">
        <is>
          <t xml:space="preserve">~$2B (est., FY2025) - private company, no audited disclosure; other public estimates range widely ($568M-$5B depending on methodology/scope), flagged as estimate | no published valuation (private, family/founder-owned; GA minority stake alone valued </t>
        </is>
      </c>
      <c r="M174" s="10" t="inlineStr">
        <is>
          <t>[VERIFIED NEW W1] Fashion-meets-motorsport lifestyle partnership - trackside capsule collection, paddock fashion presence, or Grid Girl-era-replacement style content aimed at F1's expanding female/fashion-conscious audience | Revenue comfortably clea</t>
        </is>
      </c>
    </row>
    <row r="175">
      <c r="A175" s="10" t="n">
        <v>172</v>
      </c>
      <c r="B175" s="10" t="inlineStr">
        <is>
          <t>W3</t>
        </is>
      </c>
      <c r="C175" s="10" t="inlineStr">
        <is>
          <t>42 Health &amp; Wellness</t>
        </is>
      </c>
      <c r="D175" s="10" t="n">
        <v>84</v>
      </c>
      <c r="E175" s="10" t="inlineStr">
        <is>
          <t>Universal Health Services, Inc.</t>
        </is>
      </c>
      <c r="F175" s="10" t="inlineStr">
        <is>
          <t>uhsinc.com</t>
        </is>
      </c>
      <c r="G175" s="10" t="n"/>
      <c r="H175" s="10" t="n"/>
      <c r="I175" s="10" t="n"/>
      <c r="J175" s="10" t="inlineStr">
        <is>
          <t>unknown</t>
        </is>
      </c>
      <c r="K175" s="10" t="inlineStr">
        <is>
          <t>verified-new</t>
        </is>
      </c>
      <c r="L175" s="10" t="inlineStr">
        <is>
          <t>FY2025 revenue $17.4B (+9.7% YoY, up from $15.82B in FY2024) - company press release/2025 Annual Report |  | flags: dignity framing required - behavioral health is an especially sensitive patient population; messaging must avoid commodifying care; fi</t>
        </is>
      </c>
      <c r="M175" s="10" t="inlineStr">
        <is>
          <t>[VERIFIED NEW W3] Workforce/employee wellbeing and mental-health-aware framing (avoiding direct behavioral-health patient messaging) - could align with driver/team wellness or paddock mental-health initiatives, handled with strict dignity-first guard</t>
        </is>
      </c>
    </row>
    <row r="176">
      <c r="A176" s="10" t="n">
        <v>173</v>
      </c>
      <c r="B176" s="10" t="inlineStr">
        <is>
          <t>W1</t>
        </is>
      </c>
      <c r="C176" s="10" t="inlineStr">
        <is>
          <t>53 Consumer &amp; Lifestyle</t>
        </is>
      </c>
      <c r="D176" s="10" t="n">
        <v>84</v>
      </c>
      <c r="E176" s="10" t="inlineStr">
        <is>
          <t>Wawa</t>
        </is>
      </c>
      <c r="F176" s="10" t="inlineStr">
        <is>
          <t>wawa.com</t>
        </is>
      </c>
      <c r="G176" s="10" t="inlineStr">
        <is>
          <t>Wawa, Pennsylvania, USA</t>
        </is>
      </c>
      <c r="H176" s="10" t="inlineStr">
        <is>
          <t>Convenience store and fuel retail chain</t>
        </is>
      </c>
      <c r="I176" s="10" t="inlineStr">
        <is>
          <t>~40,000 (est.)</t>
        </is>
      </c>
      <c r="J176" s="10" t="inlineStr">
        <is>
          <t>10k+</t>
        </is>
      </c>
      <c r="K176" s="10" t="inlineStr">
        <is>
          <t>verified-new</t>
        </is>
      </c>
      <c r="L176" s="10" t="inlineStr">
        <is>
          <t>~$18.6B (2025 est., Forbes/private-company tracking via delco.today); prior-year figure ~$18.8B (2024) | Family-owned, none published | flags: revenue estimates vary by source/methodology ($15B input vs. ~$18.6B Forbes-based figure)</t>
        </is>
      </c>
      <c r="M176" s="10" t="inlineStr">
        <is>
          <t>[VERIFIED NEW W1] East Coast fan-engagement activation (hoagie/on-the-go culture) tied to a Northeast or Miami race weekend, leveraging Wawa's famously loyal, meme-active fanbase. | Very large, financially healthy private brand with genuine cult-bran</t>
        </is>
      </c>
    </row>
    <row r="177">
      <c r="A177" s="10" t="n">
        <v>174</v>
      </c>
      <c r="B177" s="10" t="inlineStr">
        <is>
          <t>W7</t>
        </is>
      </c>
      <c r="C177" s="10" t="inlineStr">
        <is>
          <t>02 Energy &amp; Industrial</t>
        </is>
      </c>
      <c r="D177" s="10" t="n">
        <v>84</v>
      </c>
      <c r="E177" s="10" t="inlineStr">
        <is>
          <t>Weatherford International</t>
        </is>
      </c>
      <c r="F177" s="10" t="inlineStr">
        <is>
          <t>weatherford.com</t>
        </is>
      </c>
      <c r="G177" s="10" t="n"/>
      <c r="H177" s="10" t="inlineStr">
        <is>
          <t>Oilfield equipment and services (drilling, well construction, production optimization) to E&amp;Ps globally</t>
        </is>
      </c>
      <c r="I177" s="10" t="n"/>
      <c r="J177" s="10" t="inlineStr">
        <is>
          <t>unknown</t>
        </is>
      </c>
      <c r="K177" s="10" t="inlineStr">
        <is>
          <t>verified-new</t>
        </is>
      </c>
      <c r="L177" s="10" t="inlineStr">
        <is>
          <t>$4.92B FY2025 revenue (confirmed, company earnings release), down 10.8% YoY; Q1 2026 -3.4%, Q2 2026 -8% YoY declines continuing |  | flags: revenue declining YoY (-10.8% FY2025, continuing into 2026) despite rising share price/margin improvement; pos</t>
        </is>
      </c>
      <c r="M177" s="10" t="inlineStr">
        <is>
          <t xml:space="preserve">[VERIFIED NEW W7] Post-turnaround engineering/technology story - digital well-construction and production-optimization tech as a resilience/innovation narrative. | </t>
        </is>
      </c>
    </row>
    <row r="178">
      <c r="A178" s="10" t="n">
        <v>175</v>
      </c>
      <c r="B178" s="10" t="inlineStr">
        <is>
          <t>W1</t>
        </is>
      </c>
      <c r="C178" s="10" t="inlineStr">
        <is>
          <t>04 Food &amp; Beverage</t>
        </is>
      </c>
      <c r="D178" s="10" t="n">
        <v>84</v>
      </c>
      <c r="E178" s="10" t="inlineStr">
        <is>
          <t>Wegmans Food Markets</t>
        </is>
      </c>
      <c r="F178" s="10" t="inlineStr">
        <is>
          <t>wegmans.com</t>
        </is>
      </c>
      <c r="G178" s="10" t="inlineStr">
        <is>
          <t>Gates, New York, USA</t>
        </is>
      </c>
      <c r="H178" s="10" t="inlineStr">
        <is>
          <t>Full-service supermarket grocery chain, NE/Mid-Atlantic US</t>
        </is>
      </c>
      <c r="I178" s="10" t="inlineStr">
        <is>
          <t>~53,000 employees (Forbes 2025)</t>
        </is>
      </c>
      <c r="J178" s="10" t="inlineStr">
        <is>
          <t>10k+</t>
        </is>
      </c>
      <c r="K178" s="10" t="inlineStr">
        <is>
          <t>verified-new</t>
        </is>
      </c>
      <c r="L178" s="10" t="inlineStr">
        <is>
          <t>$13.1B (FY2025, Forbes America's Largest Private Companies list, ranked #34) | Family-owned, no published valuation (private); passes revenue &gt;$100M family-owned rule</t>
        </is>
      </c>
      <c r="M178" s="10" t="inlineStr">
        <is>
          <t xml:space="preserve">[VERIFIED NEW W1] Northeast US fan engagement/hospitality tie-in leveraging Wegmans' cult brand loyalty (e.g., activation around a US-based team's fan zones), positioned as a premium-quality, family-values consumer brand entering experiential sports </t>
        </is>
      </c>
    </row>
    <row r="179">
      <c r="A179" s="10" t="n">
        <v>176</v>
      </c>
      <c r="B179" s="10" t="inlineStr">
        <is>
          <t>W7</t>
        </is>
      </c>
      <c r="C179" s="10" t="inlineStr">
        <is>
          <t>02 Energy &amp; Industrial</t>
        </is>
      </c>
      <c r="D179" s="10" t="n">
        <v>84</v>
      </c>
      <c r="E179" s="10" t="inlineStr">
        <is>
          <t>West Fraser Timber</t>
        </is>
      </c>
      <c r="F179" s="10" t="inlineStr">
        <is>
          <t>westfraser.com</t>
        </is>
      </c>
      <c r="G179" s="10" t="n"/>
      <c r="H179" s="10" t="inlineStr">
        <is>
          <t>Lumber, OSB, panels, pulp and wood products to North American construction and industrial markets</t>
        </is>
      </c>
      <c r="I179" s="10" t="n"/>
      <c r="J179" s="10" t="inlineStr">
        <is>
          <t>unknown</t>
        </is>
      </c>
      <c r="K179" s="10" t="inlineStr">
        <is>
          <t>verified-new</t>
        </is>
      </c>
      <c r="L179" s="10" t="inlineStr">
        <is>
          <t xml:space="preserve"> |  | flags: not F1-tied; not state-owned; commodity lumber-price cyclicality confirmed on actuals (2025 revenue down 11.5% YoY) - budget stability risk to flag at outreach; market cap lower than original estimate - update</t>
        </is>
      </c>
      <c r="M179" s="10" t="inlineStr">
        <is>
          <t xml:space="preserve">[VERIFIED NEW W7] Sustainable-forestry / carbon-sequestration story for Net Zero 2030; flag lumber-cycle timing risk and confirm current-year budget appetite before outreach. | Large-cap North American forestry major with confirmed revenue in range; </t>
        </is>
      </c>
    </row>
    <row r="180">
      <c r="A180" s="10" t="n">
        <v>177</v>
      </c>
      <c r="B180" s="10" t="inlineStr">
        <is>
          <t>W7</t>
        </is>
      </c>
      <c r="C180" s="10" t="inlineStr">
        <is>
          <t>02 Energy &amp; Industrial</t>
        </is>
      </c>
      <c r="D180" s="10" t="n">
        <v>84</v>
      </c>
      <c r="E180" s="10" t="inlineStr">
        <is>
          <t>Williams Companies</t>
        </is>
      </c>
      <c r="F180" s="10" t="inlineStr">
        <is>
          <t>williams.com</t>
        </is>
      </c>
      <c r="G180" s="10" t="n"/>
      <c r="H180" s="10" t="inlineStr">
        <is>
          <t>Natural gas gathering, processing and pipeline transport (Transco system) serving US utilities and LNG exporters</t>
        </is>
      </c>
      <c r="I180" s="10" t="n"/>
      <c r="J180" s="10" t="inlineStr">
        <is>
          <t>unknown</t>
        </is>
      </c>
      <c r="K180" s="10" t="inlineStr">
        <is>
          <t>verified-new</t>
        </is>
      </c>
      <c r="L180" s="10" t="inlineStr">
        <is>
          <t>$11.83B FY2025, +10.0% YoY (stockanalysis.com); GAAP net income $2.22B, record Adjusted EBITDA $7.08B |  | flags: revenue modest relative to market cap (regulated, asset-heavy pipeline economics); estimate flagged on exact Sept 2026 market cap timing</t>
        </is>
      </c>
      <c r="M180" s="10" t="inlineStr">
        <is>
          <t xml:space="preserve">[VERIFIED NEW W7] Decarbonization/CCS technology-partner narrative paired with hospitality activation. | </t>
        </is>
      </c>
    </row>
    <row r="181">
      <c r="A181" s="10" t="n">
        <v>178</v>
      </c>
      <c r="B181" s="10" t="inlineStr">
        <is>
          <t>W2</t>
        </is>
      </c>
      <c r="C181" s="10" t="inlineStr">
        <is>
          <t>12 Trading &amp; Crypto</t>
        </is>
      </c>
      <c r="D181" s="10" t="n">
        <v>84</v>
      </c>
      <c r="E181" s="10" t="inlineStr">
        <is>
          <t>Yuanta Financial Holdings</t>
        </is>
      </c>
      <c r="F181" s="10" t="inlineStr">
        <is>
          <t>yuanta.com</t>
        </is>
      </c>
      <c r="G181" s="10" t="inlineStr">
        <is>
          <t>Taiwan</t>
        </is>
      </c>
      <c r="H181" s="10" t="inlineStr">
        <is>
          <t>Securities brokerage, banking, insurance, asset management, with a regional ETF franchise (Yuanta ETFs) distributed acro</t>
        </is>
      </c>
      <c r="I181" s="10" t="inlineStr">
        <is>
          <t>10k-25k (~16,000 est., unverified this pass)</t>
        </is>
      </c>
      <c r="J181" s="10" t="inlineStr">
        <is>
          <t>10k+</t>
        </is>
      </c>
      <c r="K181" s="10" t="inlineStr">
        <is>
          <t>verified-new</t>
        </is>
      </c>
      <c r="L181" s="10" t="inlineStr">
        <is>
          <t>TTM revenue ~$4.13B USD (Aug 2026), up from ~$3.75B in 2024 - growing | Market cap ~$28.0B USD as of July 2026 (NT$967.7B) - well above input's ~$9B estimate; verified current</t>
        </is>
      </c>
      <c r="M181" s="10" t="inlineStr">
        <is>
          <t>[VERIFIED NEW W2] "Precision execution, real-time performance" trading narrative tied to F1 speed/data themes, targeting affluent retail and institutional investors across Yuanta's multi-market ETF/brokerage footprint | Mega-cap regional broker/ETF p</t>
        </is>
      </c>
    </row>
    <row r="182">
      <c r="A182" s="10" t="n">
        <v>179</v>
      </c>
      <c r="B182" s="10" t="inlineStr">
        <is>
          <t>W5</t>
        </is>
      </c>
      <c r="C182" s="10" t="inlineStr">
        <is>
          <t>47 Vertical SaaS</t>
        </is>
      </c>
      <c r="D182" s="10" t="n">
        <v>84</v>
      </c>
      <c r="E182" s="10" t="inlineStr">
        <is>
          <t>Zelis</t>
        </is>
      </c>
      <c r="F182" s="10" t="inlineStr">
        <is>
          <t>zelis.com</t>
        </is>
      </c>
      <c r="G182" s="10" t="inlineStr">
        <is>
          <t>Bedminster, NJ, USA</t>
        </is>
      </c>
      <c r="H182" s="10" t="inlineStr">
        <is>
          <t>Healthcare claims cost management and payments optimization platform</t>
        </is>
      </c>
      <c r="I182" s="10" t="inlineStr">
        <is>
          <t>~5,000 (estimates vary widely across sources)</t>
        </is>
      </c>
      <c r="J182" s="10" t="inlineStr">
        <is>
          <t>5k-10k</t>
        </is>
      </c>
      <c r="K182" s="10" t="inlineStr">
        <is>
          <t>verified-new</t>
        </is>
      </c>
      <c r="L182" s="10" t="inlineStr">
        <is>
          <t>~$1.5-2B (est., FY2024/2025; S&amp;P/Moody's carry ratings on Zelis debt but detailed figures are paywalled; a single aggregator's $306.8M figure is not credible given $17B valuation and 700+ payer/millions-of-provider scale, so disregarded) | ~$17B impl</t>
        </is>
      </c>
      <c r="M182" s="10" t="inlineStr">
        <is>
          <t>[VERIFIED NEW W5] Global payments/fintech-in-healthcare narrative; position around trust, precision and scale messaging that mirrors F1's operational-excellence brand story. | Revenue and valuation both clear the bar with real transaction evidence, b</t>
        </is>
      </c>
    </row>
    <row r="183">
      <c r="A183" s="10" t="n">
        <v>180</v>
      </c>
      <c r="B183" s="10" t="inlineStr">
        <is>
          <t>W3</t>
        </is>
      </c>
      <c r="C183" s="10" t="inlineStr">
        <is>
          <t>42 Health &amp; Wellness</t>
        </is>
      </c>
      <c r="D183" s="10" t="n">
        <v>76</v>
      </c>
      <c r="E183" s="10" t="inlineStr">
        <is>
          <t>Coloplast A/S</t>
        </is>
      </c>
      <c r="F183" s="10" t="inlineStr">
        <is>
          <t>coloplast.com</t>
        </is>
      </c>
      <c r="G183" s="10" t="inlineStr">
        <is>
          <t>Denmark</t>
        </is>
      </c>
      <c r="H183" s="10" t="inlineStr">
        <is>
          <t>Ostomy, continence, wound and skin care products sold to hospitals and directly to patients</t>
        </is>
      </c>
      <c r="I183" s="10" t="inlineStr">
        <is>
          <t>10,000-25,000 (~15,000+ est)</t>
        </is>
      </c>
      <c r="J183" s="10" t="inlineStr">
        <is>
          <t>10k+</t>
        </is>
      </c>
      <c r="K183" s="10" t="inlineStr">
        <is>
          <t>verified-new</t>
        </is>
      </c>
      <c r="L183" s="10" t="inlineStr">
        <is>
          <t>TTM revenue $4.21B USD as of Dec 2025; FY2024/25 organic growth +7%, EBIT margin 28% (up from 27%) (WebSearch, coloplast.com FY2024/25 results) | ~$15.05B market cap as of May 7, 2026 (stockanalysis.com) | flags: dignity framing required - the highes</t>
        </is>
      </c>
      <c r="M183" s="10" t="inlineStr">
        <is>
          <t>[VERIFIED NEW W3] "Living without limits" - quiet-confidence, recovery-to-performance framing (never literal device imagery) aimed at care-partner/family audiences rather than spectacle. | Mega-cap ($15.05B), highly profitable and improving (28% marg</t>
        </is>
      </c>
    </row>
    <row r="184">
      <c r="A184" s="10" t="n">
        <v>181</v>
      </c>
      <c r="B184" s="10" t="inlineStr">
        <is>
          <t>W1</t>
        </is>
      </c>
      <c r="C184" s="10" t="inlineStr">
        <is>
          <t>49 Home &amp; Living</t>
        </is>
      </c>
      <c r="D184" s="10" t="n">
        <v>76</v>
      </c>
      <c r="E184" s="10" t="inlineStr">
        <is>
          <t>Crate &amp; Barrel (Euromarket Designs Inc.)</t>
        </is>
      </c>
      <c r="F184" s="10" t="inlineStr">
        <is>
          <t>crateandbarrel.com</t>
        </is>
      </c>
      <c r="G184" s="10" t="inlineStr">
        <is>
          <t>Northbrook, Illinois, USA (parent: Hamburg, Germany)</t>
        </is>
      </c>
      <c r="H184" s="10" t="inlineStr">
        <is>
          <t>home furnishings and housewares retail (Crate &amp; Barrel, CB2, Crate &amp; Kids brands)</t>
        </is>
      </c>
      <c r="I184" s="10" t="inlineStr">
        <is>
          <t>5,000-10,000</t>
        </is>
      </c>
      <c r="J184" s="10" t="inlineStr">
        <is>
          <t>10k+</t>
        </is>
      </c>
      <c r="K184" s="10" t="inlineStr">
        <is>
          <t>verified-new</t>
        </is>
      </c>
      <c r="L184" s="10" t="inlineStr">
        <is>
          <t>~$2.5B (est., Euromarket Designs/Crate &amp; Barrel subsidiary level, distinct from Otto Group parent's much larger consolidated revenue) | no published valuation (privately held subsidiary of family-owned Otto Group) | flags: ultimate parent is Otto Gro</t>
        </is>
      </c>
      <c r="M184" s="10" t="inlineStr">
        <is>
          <t>[VERIFIED NEW W1] Home/lifestyle content partnership - "paddock-ready living" style activation and fan lifestyle/travel content tie-ins around race weekends | Revenue clears $100M threshold comfortably; ultimately family-owned (Otto family) with no p</t>
        </is>
      </c>
    </row>
    <row r="185">
      <c r="A185" s="10" t="n">
        <v>182</v>
      </c>
      <c r="B185" s="10" t="inlineStr">
        <is>
          <t>W7</t>
        </is>
      </c>
      <c r="C185" s="10" t="inlineStr">
        <is>
          <t>02 Energy &amp; Industrial</t>
        </is>
      </c>
      <c r="D185" s="10" t="n">
        <v>76</v>
      </c>
      <c r="E185" s="10" t="inlineStr">
        <is>
          <t>Enterprise Products Partners</t>
        </is>
      </c>
      <c r="F185" s="10" t="inlineStr">
        <is>
          <t>enterpriseproducts.com</t>
        </is>
      </c>
      <c r="G185" s="10" t="inlineStr">
        <is>
          <t>Houston, Texas, USA</t>
        </is>
      </c>
      <c r="H185" s="10" t="inlineStr">
        <is>
          <t>Midstream: NGL, crude, natural gas and petrochemical pipelines, storage and export terminals serving producers, refiners</t>
        </is>
      </c>
      <c r="I185" s="10" t="inlineStr">
        <is>
          <t>~7,400 (est.) - not independently re-verified this pass</t>
        </is>
      </c>
      <c r="J185" s="10" t="inlineStr">
        <is>
          <t>5k-10k</t>
        </is>
      </c>
      <c r="K185" s="10" t="inlineStr">
        <is>
          <t>verified-new</t>
        </is>
      </c>
      <c r="L185" s="10" t="inlineStr">
        <is>
          <t xml:space="preserve">$52.60B FY2025 (down ~6.4% YoY on lower commodity prices flowing through fee/volume-linked revenue; TTM to Q1 2026 ~$51.6B) | ~$83.9B market cap as of July 23, 2026 | flags: MLP structure (K-1 tax) - operational nuance for structuring a sponsorship, </t>
        </is>
      </c>
      <c r="M185" s="10" t="inlineStr">
        <is>
          <t>[VERIFIED NEW W7] Corporate/logistics-engineering sponsorship angle plus Houston-area GP-adjacent hospitality and Net Zero 2030 emissions/CCS storytelling. | Mega-cap midstream infrastructure leader with no fuel-category conflict, a broad diversified</t>
        </is>
      </c>
    </row>
    <row r="186">
      <c r="A186" s="10" t="n">
        <v>183</v>
      </c>
      <c r="B186" s="10" t="inlineStr">
        <is>
          <t>W1</t>
        </is>
      </c>
      <c r="C186" s="10" t="inlineStr">
        <is>
          <t>03 Luxury &amp; Beauty</t>
        </is>
      </c>
      <c r="D186" s="10" t="n">
        <v>76</v>
      </c>
      <c r="E186" s="10" t="inlineStr">
        <is>
          <t>Kao Corporation</t>
        </is>
      </c>
      <c r="F186" s="10" t="inlineStr">
        <is>
          <t>kao.com</t>
        </is>
      </c>
      <c r="G186" s="10" t="inlineStr">
        <is>
          <t>Japan</t>
        </is>
      </c>
      <c r="H186" s="10" t="inlineStr">
        <is>
          <t>Personal care, cosmetics (Bioré, Curél), household cleaning; sold via retail/drug/mass channels in Japan/Asia/globally</t>
        </is>
      </c>
      <c r="I186" s="10" t="inlineStr">
        <is>
          <t>~33,000 employees (mega-brand scale)</t>
        </is>
      </c>
      <c r="J186" s="10" t="inlineStr">
        <is>
          <t>10k+</t>
        </is>
      </c>
      <c r="K186" s="10" t="inlineStr">
        <is>
          <t>verified-new</t>
        </is>
      </c>
      <c r="L186" s="10" t="inlineStr">
        <is>
          <t>$11.5B (¥1.6886T), FY2025 (year ended Dec 2025), source: Kao Corporation FY2025 earnings release | $19.4B market cap (¥2.72T), as of Apr 22 2026, source: Kao IR / stockanalysis.com | flags: China optics - large China/Asia beauty exposure</t>
        </is>
      </c>
      <c r="M186" s="10" t="inlineStr">
        <is>
          <t>[VERIFIED NEW W1] Global skincare/personal-care leader (Bioré, Curél) seeking incremental international visibility in F1's affluent Asia-Pacific and European fanbase. | Profitable, FY2026 sales guided +3.6% YoY, no layoffs/restructuring program ident</t>
        </is>
      </c>
    </row>
    <row r="187">
      <c r="A187" s="10" t="n">
        <v>184</v>
      </c>
      <c r="B187" s="10" t="inlineStr">
        <is>
          <t>W1</t>
        </is>
      </c>
      <c r="C187" s="10" t="inlineStr">
        <is>
          <t>04 Food &amp; Beverage</t>
        </is>
      </c>
      <c r="D187" s="10" t="n">
        <v>76</v>
      </c>
      <c r="E187" s="10" t="inlineStr">
        <is>
          <t>Kikkoman Corporation</t>
        </is>
      </c>
      <c r="F187" s="10" t="inlineStr">
        <is>
          <t>kikkoman.com</t>
        </is>
      </c>
      <c r="G187" s="10" t="inlineStr">
        <is>
          <t>Japan</t>
        </is>
      </c>
      <c r="H187" s="10" t="inlineStr">
        <is>
          <t>Soy sauce and seasonings sold globally to retail and foodservice</t>
        </is>
      </c>
      <c r="I187" s="10" t="inlineStr">
        <is>
          <t>~8,000 employees</t>
        </is>
      </c>
      <c r="J187" s="10" t="inlineStr">
        <is>
          <t>5k-10k</t>
        </is>
      </c>
      <c r="K187" s="10" t="inlineStr">
        <is>
          <t>verified-new</t>
        </is>
      </c>
      <c r="L187" s="10" t="inlineStr">
        <is>
          <t>¥708.98B (~$4.77B), FY2025 (ended Mar 31 2025), source: Kikkoman FY2025 flash report | $10.2B market cap, as of Sep 10 2026, source: GuruFocus</t>
        </is>
      </c>
      <c r="M187" s="10" t="inlineStr">
        <is>
          <t>[VERIFIED NEW W1] Global heritage food brand with genuine international distribution depth - could support an F1 hospitality/culinary partnership angle. | No layoffs, restructuring or cost-cutting program identified; stable global growth - clean capa</t>
        </is>
      </c>
    </row>
    <row r="188">
      <c r="A188" s="10" t="n">
        <v>185</v>
      </c>
      <c r="B188" s="10" t="inlineStr">
        <is>
          <t>W5</t>
        </is>
      </c>
      <c r="C188" s="10" t="inlineStr">
        <is>
          <t>47 Vertical SaaS</t>
        </is>
      </c>
      <c r="D188" s="10" t="n">
        <v>76</v>
      </c>
      <c r="E188" s="10" t="inlineStr">
        <is>
          <t>MEDITECH</t>
        </is>
      </c>
      <c r="F188" s="10" t="inlineStr">
        <is>
          <t>meditech.com</t>
        </is>
      </c>
      <c r="G188" s="10" t="inlineStr">
        <is>
          <t>Westwood, MA, USA</t>
        </is>
      </c>
      <c r="H188" s="10" t="inlineStr">
        <is>
          <t>Electronic health record (EHR) and hospital information systems</t>
        </is>
      </c>
      <c r="I188" s="10" t="inlineStr">
        <is>
          <t>~5,500 (est.)</t>
        </is>
      </c>
      <c r="J188" s="10" t="inlineStr">
        <is>
          <t>5k-10k</t>
        </is>
      </c>
      <c r="K188" s="10" t="inlineStr">
        <is>
          <t>verified-new</t>
        </is>
      </c>
      <c r="L188" s="10" t="inlineStr">
        <is>
          <t xml:space="preserve">~$400-600M (est.); confirmed historical: $493.8M in FY2019 (Fierce Healthcare); a 2025 aggregator estimate of $376-393M ARR is lower than the FY2019 figure and likely understates true scale for a legacy EHR vendor with thousands of hospital renewals </t>
        </is>
      </c>
      <c r="M188" s="10" t="inlineStr">
        <is>
          <t>[VERIFIED NEW W5] Long-shot, relationship-led approach through new post-Pappalardo leadership rather than a cold outreach; unlikely quick win. | Clears the revenue bar on the family-ownership exemption with no F1 conflict, but flagged heavily for low</t>
        </is>
      </c>
    </row>
    <row r="189">
      <c r="A189" s="10" t="n">
        <v>186</v>
      </c>
      <c r="B189" s="10" t="inlineStr">
        <is>
          <t>W1</t>
        </is>
      </c>
      <c r="C189" s="10" t="inlineStr">
        <is>
          <t>04 Food &amp; Beverage</t>
        </is>
      </c>
      <c r="D189" s="10" t="n">
        <v>76</v>
      </c>
      <c r="E189" s="10" t="inlineStr">
        <is>
          <t>Nissin Foods Holdings Co., Ltd.</t>
        </is>
      </c>
      <c r="F189" s="10" t="inlineStr">
        <is>
          <t>nissin.com</t>
        </is>
      </c>
      <c r="G189" s="10" t="inlineStr">
        <is>
          <t>Japan</t>
        </is>
      </c>
      <c r="H189" s="10" t="inlineStr">
        <is>
          <t>Cup Noodle and instant noodle brands sold globally via retail</t>
        </is>
      </c>
      <c r="I189" s="10" t="inlineStr">
        <is>
          <t>~10,000 employees</t>
        </is>
      </c>
      <c r="J189" s="10" t="inlineStr">
        <is>
          <t>10k+</t>
        </is>
      </c>
      <c r="K189" s="10" t="inlineStr">
        <is>
          <t>verified-new</t>
        </is>
      </c>
      <c r="L189" s="10" t="inlineStr">
        <is>
          <t>¥792B (~$5.2B trailing), FY2025/FY3-2026 H1 basis, source: Nissin Foods FY2026 H1 presentation / companiesmarketcap.com | $5.07B market cap, as of Jul 31 2026, source: stockanalysis.com</t>
        </is>
      </c>
      <c r="M189" s="10" t="inlineStr">
        <is>
          <t>[VERIFIED NEW W1] Globally recognizable pop-culture food brand (Cup Noodle) with a youthful, playful identity that could complement F1's efforts to reach younger fans. | No layoffs/restructuring identified; overseas business driving profit growth des</t>
        </is>
      </c>
    </row>
    <row r="190">
      <c r="A190" s="10" t="n">
        <v>187</v>
      </c>
      <c r="B190" s="10" t="inlineStr">
        <is>
          <t>W1</t>
        </is>
      </c>
      <c r="C190" s="10" t="inlineStr">
        <is>
          <t>49 Home &amp; Living</t>
        </is>
      </c>
      <c r="D190" s="10" t="n">
        <v>76</v>
      </c>
      <c r="E190" s="10" t="inlineStr">
        <is>
          <t>SC Johnson</t>
        </is>
      </c>
      <c r="F190" s="10" t="inlineStr">
        <is>
          <t>scjohnson.com</t>
        </is>
      </c>
      <c r="G190" s="10" t="inlineStr">
        <is>
          <t>Racine, Wisconsin, USA</t>
        </is>
      </c>
      <c r="H190" s="10" t="inlineStr">
        <is>
          <t>household cleaning and consumer products (Windex, Glade, Raid, Ziploc, Off!)</t>
        </is>
      </c>
      <c r="I190" s="10" t="inlineStr">
        <is>
          <t>10,000-15,000</t>
        </is>
      </c>
      <c r="J190" s="10" t="inlineStr">
        <is>
          <t>10k+</t>
        </is>
      </c>
      <c r="K190" s="10" t="inlineStr">
        <is>
          <t>verified-new</t>
        </is>
      </c>
      <c r="L190" s="10" t="inlineStr">
        <is>
          <t xml:space="preserve">~$11.8B (most recent confirmed figure is FY2024; no confirmed FY2025 figure published as of Sep 2026 - private company) | no published valuation (100% family-owned) | flags: most recent confirmed revenue figure is FY2024 (~$11.8B); FY2025 figure not </t>
        </is>
      </c>
      <c r="M190" s="10" t="inlineStr">
        <is>
          <t>[VERIFIED NEW W1] Global household-name omnipresence play - product placement/at-home viewing-party sponsorship tied to F1's expanding mainstream/household audience, paired with SC Johnson's sustainability story | Revenue far exceeds $100M threshold;</t>
        </is>
      </c>
    </row>
    <row r="191">
      <c r="A191" s="10" t="n">
        <v>188</v>
      </c>
      <c r="B191" s="10" t="inlineStr">
        <is>
          <t>W8</t>
        </is>
      </c>
      <c r="C191" s="10" t="inlineStr">
        <is>
          <t>18 Services &amp; Other</t>
        </is>
      </c>
      <c r="D191" s="10" t="n">
        <v>76</v>
      </c>
      <c r="E191" s="10" t="inlineStr">
        <is>
          <t>VICI Properties Inc</t>
        </is>
      </c>
      <c r="F191" s="10" t="inlineStr">
        <is>
          <t>viciproperties.com</t>
        </is>
      </c>
      <c r="G191" s="10" t="n"/>
      <c r="H191" s="10" t="inlineStr">
        <is>
          <t>Gaming, hospitality and entertainment real estate net-lease (REIT); owns Caesars Palace, MGM properties, Las Vegas Strip</t>
        </is>
      </c>
      <c r="I191" s="10" t="n"/>
      <c r="J191" s="10" t="inlineStr">
        <is>
          <t>unknown</t>
        </is>
      </c>
      <c r="K191" s="10" t="inlineStr">
        <is>
          <t>verified-new</t>
        </is>
      </c>
      <c r="L191" s="10" t="inlineStr">
        <is>
          <t>$4.0B FY2025 (up 4.1% YoY; 10-K/Q4 2025 earnings release) |  | flags: gambling-adjacent - landlord to casino/gaming operators (not itself a gaming operator); flagged per protocol, not disqualifying</t>
        </is>
      </c>
      <c r="M191" s="10" t="inlineStr">
        <is>
          <t>[VERIFIED NEW W8] Las Vegas GP hospitality/venue tie-in - VICI's Caesars Palace/MGM/Strip properties as official race-week hospitality and suite venues; position as a landlord-level partner activating around the one F1 race run through its own real e</t>
        </is>
      </c>
    </row>
    <row r="192">
      <c r="A192" s="10" t="n">
        <v>189</v>
      </c>
      <c r="B192" s="10" t="inlineStr">
        <is>
          <t>W1</t>
        </is>
      </c>
      <c r="C192" s="10" t="inlineStr">
        <is>
          <t>49 Home &amp; Living</t>
        </is>
      </c>
      <c r="D192" s="10" t="n">
        <v>76</v>
      </c>
      <c r="E192" s="10" t="inlineStr">
        <is>
          <t>Vorwerk</t>
        </is>
      </c>
      <c r="F192" s="10" t="inlineStr">
        <is>
          <t>vorwerk.com</t>
        </is>
      </c>
      <c r="G192" s="10" t="inlineStr">
        <is>
          <t>Wuppertal, Germany</t>
        </is>
      </c>
      <c r="H192" s="10" t="inlineStr">
        <is>
          <t>home appliances (Thermomix, Kobold vacuums) and Jafra cosmetics via direct sales</t>
        </is>
      </c>
      <c r="I192" s="10" t="inlineStr">
        <is>
          <t>10,000-15,000</t>
        </is>
      </c>
      <c r="J192" s="10" t="inlineStr">
        <is>
          <t>10k+</t>
        </is>
      </c>
      <c r="K192" s="10" t="inlineStr">
        <is>
          <t>verified-new</t>
        </is>
      </c>
      <c r="L192" s="10" t="inlineStr">
        <is>
          <t>EUR 3.6B (FY2025, record, +14.1% YoY - Thermomix TM7 launch-driven; Culinary/Thermomix division EUR 2.1B, Kobold EUR 790M) | no published valuation (100% family-owned) | flags: direct-sales distribution model draws light MLM-adjacent optics, though s</t>
        </is>
      </c>
      <c r="M192" s="10" t="inlineStr">
        <is>
          <t>[VERIFIED NEW W1] Culinary/lifestyle activation - Thermomix demo hospitality suites and cooking-content creator tie-ins around race weekends, leveraging record TM7 launch momentum | Revenue well above $100M threshold with verified FY2025 figures; 100</t>
        </is>
      </c>
    </row>
    <row r="193">
      <c r="A193" s="11" t="n">
        <v>190</v>
      </c>
      <c r="B193" s="11" t="inlineStr">
        <is>
          <t>W13</t>
        </is>
      </c>
      <c r="C193" s="11" t="inlineStr">
        <is>
          <t>Electronic Parts</t>
        </is>
      </c>
      <c r="D193" s="11" t="n">
        <v>64</v>
      </c>
      <c r="E193" s="11" t="inlineStr">
        <is>
          <t>AT&amp;S Austria Technologie &amp; Systemtechnik AG</t>
        </is>
      </c>
      <c r="F193" s="11" t="inlineStr">
        <is>
          <t>ats.net</t>
        </is>
      </c>
      <c r="G193" s="11" t="inlineStr">
        <is>
          <t>Leoben, Austria</t>
        </is>
      </c>
      <c r="H193" s="11" t="inlineStr">
        <is>
          <t>Printed circuit boards and IC substrates to mobile devices, automotive, industrial and medical customers globally, including AI/data-center substrate demand</t>
        </is>
      </c>
      <c r="I193" s="11" t="inlineStr">
        <is>
          <t>10k+ (~14,000 est.)</t>
        </is>
      </c>
      <c r="J193" s="11" t="inlineStr">
        <is>
          <t>~14,000 est.</t>
        </is>
      </c>
      <c r="K193" s="11" t="inlineStr">
        <is>
          <t>verified-stretch</t>
        </is>
      </c>
      <c r="L193" s="11" t="inlineStr">
        <is>
          <t>€1.7-1.8B FY2025/26 with a 23% EBITDA margin, driven by AI/data-center substrate demand (AT&amp;S investor release, 2026) | ~€5.95B (~$6.4B) market cap, early Sept 2026 (companiesmarketcap.com) | flags: customer concentration: Apple is ~20-25% of the Mob</t>
        </is>
      </c>
      <c r="M193" s="11" t="inlineStr">
        <is>
          <t>[VERIFIED NEW W13] Lead with AT&amp;S's AI/data-center substrate growth story - positioning it as the precision-substrate technology enabling next-gen high-performance computing, tying into F1's own compute/AI-driven engineering narrative, in the open PC</t>
        </is>
      </c>
    </row>
    <row r="194">
      <c r="A194" s="11" t="n">
        <v>191</v>
      </c>
      <c r="B194" s="11" t="inlineStr">
        <is>
          <t>W13</t>
        </is>
      </c>
      <c r="C194" s="11" t="inlineStr">
        <is>
          <t>13 AI Agents</t>
        </is>
      </c>
      <c r="D194" s="11" t="n">
        <v>64</v>
      </c>
      <c r="E194" s="11" t="inlineStr">
        <is>
          <t>Ada Support</t>
        </is>
      </c>
      <c r="F194" s="11" t="inlineStr">
        <is>
          <t>ada.cx</t>
        </is>
      </c>
      <c r="G194" s="11" t="inlineStr">
        <is>
          <t>Toronto, Canada</t>
        </is>
      </c>
      <c r="H194" s="11" t="inlineStr">
        <is>
          <t>Agentic AI customer-service platform for enterprise support teams</t>
        </is>
      </c>
      <c r="I194" s="11" t="inlineStr">
        <is>
          <t>201-1k</t>
        </is>
      </c>
      <c r="J194" s="11" t="inlineStr">
        <is>
          <t>201-1k</t>
        </is>
      </c>
      <c r="K194" s="11" t="inlineStr">
        <is>
          <t>verified-stretch</t>
        </is>
      </c>
      <c r="L194" s="11" t="inlineStr">
        <is>
          <t>~$70.6M ARR (2024, third-party est., getlatka.com); company reports &gt;100% YoY ARR growth in FY ending ~Mar 2026 (Ada press release/BusinessWire, Mar 2026) -- implies ARR now well above $50M and growing &gt;50% YoY (est) | $1.2B (Series C, 2021, reaffirm</t>
        </is>
      </c>
      <c r="M194" s="11" t="inlineStr">
        <is>
          <t xml:space="preserve">[VERIFIED NEW W13] "Always-on precision" story: agentic AI that never misses a customer call, echoing pit-wall decision speed -- first mover into an unclaimed AI customer-service category on the grid. | Hard filters appear to pass (ARR growing 100%+ </t>
        </is>
      </c>
    </row>
    <row r="195">
      <c r="A195" s="11" t="n">
        <v>192</v>
      </c>
      <c r="B195" s="11" t="inlineStr">
        <is>
          <t>W1</t>
        </is>
      </c>
      <c r="C195" s="11" t="inlineStr">
        <is>
          <t>16 Travel &amp; Hospitality</t>
        </is>
      </c>
      <c r="D195" s="11" t="n">
        <v>64</v>
      </c>
      <c r="E195" s="11" t="inlineStr">
        <is>
          <t>Aman Resorts (Aman Group)</t>
        </is>
      </c>
      <c r="F195" s="11" t="inlineStr">
        <is>
          <t>aman.com</t>
        </is>
      </c>
      <c r="G195" s="11" t="inlineStr">
        <is>
          <t>Geneva, Switzerland / London, UK</t>
        </is>
      </c>
      <c r="H195" s="11" t="inlineStr">
        <is>
          <t>ultra-luxury resort hotels and branded residences (34 hotels across 20 countries, 12 with branded residences)</t>
        </is>
      </c>
      <c r="I195" s="11" t="inlineStr">
        <is>
          <t>1,000-5,000</t>
        </is>
      </c>
      <c r="J195" s="11" t="inlineStr">
        <is>
          <t>5k-10k</t>
        </is>
      </c>
      <c r="K195" s="11" t="inlineStr">
        <is>
          <t>verified-stretch</t>
        </is>
      </c>
      <c r="L195" s="11" t="inlineStr">
        <is>
          <t>~$400M (est.) - search budget did not surface an updated consolidated figure; company was valued at $3B in its 2022 PIF/Cain funding round and has floated a further $2B raise for expansion | ~$3B (implied by 2022 PIF/Cain International $900M investme</t>
        </is>
      </c>
      <c r="M195" s="11" t="inlineStr">
        <is>
          <t>[VERIFIED NEW W1] If ownership optics are cleared: ultra-exclusive UHNW hospitality experience (private paddock retreats, calendar-spanning F1 tour package) targeting F1's fastest-growing luxury-guest segment; flag PIF/Mubadala optics for sponsor leg</t>
        </is>
      </c>
    </row>
    <row r="196">
      <c r="A196" s="11" t="n">
        <v>193</v>
      </c>
      <c r="B196" s="11" t="inlineStr">
        <is>
          <t>W13</t>
        </is>
      </c>
      <c r="C196" s="11" t="inlineStr">
        <is>
          <t>Devtools &amp; Integration</t>
        </is>
      </c>
      <c r="D196" s="11" t="n">
        <v>64</v>
      </c>
      <c r="E196" s="11" t="inlineStr">
        <is>
          <t>Cockroach Labs</t>
        </is>
      </c>
      <c r="F196" s="11" t="inlineStr">
        <is>
          <t>cockroachlabs.com</t>
        </is>
      </c>
      <c r="G196" s="11" t="inlineStr">
        <is>
          <t>New York, NY, USA</t>
        </is>
      </c>
      <c r="H196" s="11" t="inlineStr">
        <is>
          <t>Distributed SQL database (CockroachDB) for enterprise developers/infrastructure teams</t>
        </is>
      </c>
      <c r="I196" s="11" t="inlineStr">
        <is>
          <t>201-1k</t>
        </is>
      </c>
      <c r="J196" s="11" t="inlineStr">
        <is>
          <t>201-1k</t>
        </is>
      </c>
      <c r="K196" s="11" t="inlineStr">
        <is>
          <t>verified-stretch</t>
        </is>
      </c>
      <c r="L196" s="11" t="inlineStr">
        <is>
          <t>$145.8M FY2024 (company-disclosed); ARR reported to have tripled YoY heading into 2025 - source: Contrary Research / Cockroach Labs press materials | $5B post-money, Dec 2021 Series F - source: PitchBook/Crunchbase; no updated public valuation disclo</t>
        </is>
      </c>
      <c r="M196" s="11" t="inlineStr">
        <is>
          <t>[VERIFIED NEW W13] Position CockroachDB as the always-on, zero-downtime data infrastructure behind split-second telemetry and strategy decisions, into the still-open enterprise database/infra sponsorship slot. | All hard filters pass (revenue $145.8M</t>
        </is>
      </c>
    </row>
    <row r="197">
      <c r="A197" s="11" t="n">
        <v>194</v>
      </c>
      <c r="B197" s="11" t="inlineStr">
        <is>
          <t>W13</t>
        </is>
      </c>
      <c r="C197" s="11" t="inlineStr">
        <is>
          <t>OT &amp; Physical Security</t>
        </is>
      </c>
      <c r="D197" s="11" t="n">
        <v>64</v>
      </c>
      <c r="E197" s="11" t="inlineStr">
        <is>
          <t>Eulen S.A.</t>
        </is>
      </c>
      <c r="F197" s="11" t="inlineStr">
        <is>
          <t>eulen.com</t>
        </is>
      </c>
      <c r="G197" s="11" t="inlineStr">
        <is>
          <t>Madrid, Spain</t>
        </is>
      </c>
      <c r="H197" s="11" t="inlineStr">
        <is>
          <t>Facility management and security services (incl. converged physical/cyber security) to thousands of client contracts across 11 countries, mainly Spain/LatAm</t>
        </is>
      </c>
      <c r="I197" s="11" t="inlineStr">
        <is>
          <t>10k+ (~73,000-82,000, confirmed via WebSearch, Sep 2026)</t>
        </is>
      </c>
      <c r="J197" s="11" t="inlineStr">
        <is>
          <t>~73,000-82,000, confirmed via WebSearch, Sep 2026</t>
        </is>
      </c>
      <c r="K197" s="11" t="inlineStr">
        <is>
          <t>verified-stretch</t>
        </is>
      </c>
      <c r="L197" s="11" t="inlineStr">
        <is>
          <t>~€1.79B (~$1.9-2B) consolidated sales, FY2024 (confirmed via WebSearch, Sep 2026) | Private, no published valuation (family-owned; passes hard bar on revenue per brief rule) | flags: family-owned, no published valuation; historically thin net margins</t>
        </is>
      </c>
      <c r="M197" s="11" t="inlineStr">
        <is>
          <t>[VERIFIED NEW W13] Iberian/LatAm growth story leveraging Eulen's converged security/tech (SOC, IP surveillance) positioning; open category; best pursued once the succession dispute resolves. | Hard filters technically pass (revenue clears the family-</t>
        </is>
      </c>
    </row>
    <row r="198">
      <c r="A198" s="11" t="n">
        <v>195</v>
      </c>
      <c r="B198" s="11" t="inlineStr">
        <is>
          <t>W13</t>
        </is>
      </c>
      <c r="C198" s="11" t="inlineStr">
        <is>
          <t>Machine Tools &amp; 3D Print</t>
        </is>
      </c>
      <c r="D198" s="11" t="n">
        <v>64</v>
      </c>
      <c r="E198" s="11" t="inlineStr">
        <is>
          <t>Fair Friend Group (FFG)</t>
        </is>
      </c>
      <c r="F198" s="11" t="inlineStr">
        <is>
          <t>ffg-tw.com</t>
        </is>
      </c>
      <c r="G198" s="11" t="inlineStr">
        <is>
          <t>Taipei, Taiwan</t>
        </is>
      </c>
      <c r="H198" s="11" t="inlineStr">
        <is>
          <t>Machine tools (CNC lathes/mills, multiple brands including Feeler, Victor, MAG) via ~94 companies/50 factories in 10 countries</t>
        </is>
      </c>
      <c r="I198" s="11" t="inlineStr">
        <is>
          <t>10k+ (est ~13,000; group scale of 94 companies/50 factories across 10 countries is consistent with 10k+, but not independently itemized in an official filing)</t>
        </is>
      </c>
      <c r="J198" s="11" t="inlineStr">
        <is>
          <t>est ~13,000; group scale of 94 companies/50 factories across 10 countries is consistent with 10k+, but not independently itemized in an official filing</t>
        </is>
      </c>
      <c r="K198" s="11" t="inlineStr">
        <is>
          <t>verified-stretch</t>
        </is>
      </c>
      <c r="L198" s="11" t="inlineStr">
        <is>
          <t>Estimates vary and are not tightly dated: ~$1.4B (ZoomInfo, dated ~May 2026) vs ~$3.3B group-wide turnover (FFG corporate materials, undated) vs ~$1.8B machine-tool-division-only (CENS, 2014). All comfortably clear the &gt;$100M hard bar regardless of w</t>
        </is>
      </c>
      <c r="M198" s="11" t="inlineStr">
        <is>
          <t>[VERIFIED NEW W13] Global manufacturing-technology story: FFG is described as the world's #3 machine-tool group supplying precision equipment to automotive/aerospace primes across 10 countries -- an 'engineering the machines behind performance' angle</t>
        </is>
      </c>
    </row>
    <row r="199">
      <c r="A199" s="11" t="n">
        <v>196</v>
      </c>
      <c r="B199" s="11" t="inlineStr">
        <is>
          <t>W1</t>
        </is>
      </c>
      <c r="C199" s="11" t="inlineStr">
        <is>
          <t>53 Consumer &amp; Lifestyle</t>
        </is>
      </c>
      <c r="D199" s="11" t="n">
        <v>64</v>
      </c>
      <c r="E199" s="11" t="inlineStr">
        <is>
          <t>Fast Retailing Co., Ltd. (Uniqlo/GU)</t>
        </is>
      </c>
      <c r="F199" s="11" t="inlineStr">
        <is>
          <t>fastretailing.com</t>
        </is>
      </c>
      <c r="G199" s="11" t="inlineStr">
        <is>
          <t>Yamaguchi, Japan</t>
        </is>
      </c>
      <c r="H199" s="11" t="inlineStr">
        <is>
          <t>Uniqlo, GU, Theory apparel sold globally via retail and e-commerce</t>
        </is>
      </c>
      <c r="I199" s="11" t="inlineStr">
        <is>
          <t>50K-100K (~57,000)</t>
        </is>
      </c>
      <c r="J199" s="11" t="inlineStr">
        <is>
          <t>10k+</t>
        </is>
      </c>
      <c r="K199" s="11" t="inlineStr">
        <is>
          <t>verified-stretch</t>
        </is>
      </c>
      <c r="L199" s="11" t="inlineStr">
        <is>
          <t>¥3.4005 trillion (~$23B) FY2025 (year ended Aug 31, 2025), +9.6% YoY; FY2026 guidance raised to ¥3.97 trillion (+16.7%) — source: Fast Retailing IR results (Oct 9, 2025) | ~$118.3B market cap, intraday Sept 2026 (FRCOY) — Yahoo Finance/stockanalysis.</t>
        </is>
      </c>
      <c r="M199" s="11" t="inlineStr">
        <is>
          <t>[VERIFIED NEW W1] Upgrade the existing Uniqlo UT x F1 licensed-merchandise relationship into an official team or series apparel partnership, leveraging Uniqlo's global retail footprint for trackside/pop-up drops. | Mega global apparel brand, profitab</t>
        </is>
      </c>
    </row>
    <row r="200">
      <c r="A200" s="11" t="n">
        <v>197</v>
      </c>
      <c r="B200" s="11" t="inlineStr">
        <is>
          <t>W13</t>
        </is>
      </c>
      <c r="C200" s="11" t="inlineStr">
        <is>
          <t>Automation &amp; Robotics</t>
        </is>
      </c>
      <c r="D200" s="11" t="n">
        <v>64</v>
      </c>
      <c r="E200" s="11" t="inlineStr">
        <is>
          <t>Hans Turck GmbH &amp; Co. KG</t>
        </is>
      </c>
      <c r="F200" s="11" t="inlineStr">
        <is>
          <t>turck.com</t>
        </is>
      </c>
      <c r="G200" s="11" t="inlineStr">
        <is>
          <t>Muelheim an der Ruhr, Germany</t>
        </is>
      </c>
      <c r="H200" s="11" t="inlineStr">
        <is>
          <t>Industrial sensors and connectivity products for factory automation</t>
        </is>
      </c>
      <c r="I200" s="11" t="inlineStr">
        <is>
          <t>1k-5k (est ~4,600; company-published figures conflict, ranging from ~2,510 (2021) to ~5,000 across data aggregators - none current or official)</t>
        </is>
      </c>
      <c r="J200" s="11" t="inlineStr">
        <is>
          <t>2021) to ~5,000 across data aggregators - none current or official</t>
        </is>
      </c>
      <c r="K200" s="11" t="inlineStr">
        <is>
          <t>verified-stretch</t>
        </is>
      </c>
      <c r="L200" s="11" t="inlineStr">
        <is>
          <t>Uncertain/conflicting: most recent confirmed official figure is EUR470.3M (2021); third-party aggregators show a very wide and unreliable range (some as low as $50-100M, clearly inconsistent with the company's own 2019-2021 disclosures of EUR600-640M</t>
        </is>
      </c>
      <c r="M200" s="11" t="inlineStr">
        <is>
          <t>[VERIFIED NEW W13] Sensor/connectivity precision-engineering narrative in the same vein as Phoenix Contact/Weidmuller, best pursued once current financials are confirmed directly with the company (est). | Likely clears all hard filters (revenue almos</t>
        </is>
      </c>
    </row>
    <row r="201">
      <c r="A201" s="11" t="n">
        <v>198</v>
      </c>
      <c r="B201" s="11" t="inlineStr">
        <is>
          <t>W13</t>
        </is>
      </c>
      <c r="C201" s="11" t="inlineStr">
        <is>
          <t>Travel &amp; Hospitality</t>
        </is>
      </c>
      <c r="D201" s="11" t="n">
        <v>64</v>
      </c>
      <c r="E201" s="11" t="inlineStr">
        <is>
          <t>Hotelbeds Group (HBX Group)</t>
        </is>
      </c>
      <c r="F201" s="11" t="inlineStr">
        <is>
          <t>hotelbeds.com</t>
        </is>
      </c>
      <c r="G201" s="11" t="inlineStr">
        <is>
          <t>Palma de Mallorca, Spain</t>
        </is>
      </c>
      <c r="H201" s="11" t="inlineStr">
        <is>
          <t>B2B hotel-bed bank / travel wholesaler serving 60,000+ travel-trade distributors globally</t>
        </is>
      </c>
      <c r="I201" s="11" t="inlineStr">
        <is>
          <t>5k-10k</t>
        </is>
      </c>
      <c r="J201" s="11" t="inlineStr">
        <is>
          <t>5k-10k</t>
        </is>
      </c>
      <c r="K201" s="11" t="inlineStr">
        <is>
          <t>verified-stretch</t>
        </is>
      </c>
      <c r="L201" s="11" t="inlineStr">
        <is>
          <t xml:space="preserve">€693M with €363M core profit, FY2024 (Reuters/dominicantoday-sourced coverage of Barceló... [Hotelbeds figures per company reporting, 2025) | Post-IPO market cap ~€2.84-2.93B / ~$2.9-3.0B as of Feb 2025 listing (Reuters/MarketScreener/TradingView) | </t>
        </is>
      </c>
      <c r="M201" s="11" t="inlineStr">
        <is>
          <t>[VERIFIED NEW W13] Global travel-logistics story - position Hotelbeds/HBX as the infrastructure behind the travel trade that gets fans, teams and hospitality guests to Grand Prix weekends worldwide. | Hard filters pass (revenue and post-IPO market ca</t>
        </is>
      </c>
    </row>
    <row r="202">
      <c r="A202" s="11" t="n">
        <v>199</v>
      </c>
      <c r="B202" s="11" t="inlineStr">
        <is>
          <t>W13</t>
        </is>
      </c>
      <c r="C202" s="11" t="inlineStr">
        <is>
          <t>Commercial Vehicles</t>
        </is>
      </c>
      <c r="D202" s="11" t="n">
        <v>64</v>
      </c>
      <c r="E202" s="11" t="inlineStr">
        <is>
          <t>Krone Commercial Vehicle Group</t>
        </is>
      </c>
      <c r="F202" s="11" t="inlineStr">
        <is>
          <t>krone-cv.com</t>
        </is>
      </c>
      <c r="G202" s="11" t="inlineStr">
        <is>
          <t>Werlte, Germany</t>
        </is>
      </c>
      <c r="H202" s="11" t="inlineStr">
        <is>
          <t>Truck trailers and semi-trailers to thousands of logistics and trucking fleets, mainly in Europe</t>
        </is>
      </c>
      <c r="I202" s="11" t="inlineStr">
        <is>
          <t>1k-5k (~4,500, est; not independently reconfirmed)</t>
        </is>
      </c>
      <c r="J202" s="11" t="inlineStr">
        <is>
          <t>~4,500, est; not independently reconfirmed</t>
        </is>
      </c>
      <c r="K202" s="11" t="inlineStr">
        <is>
          <t>verified-stretch</t>
        </is>
      </c>
      <c r="L202" s="11" t="inlineStr">
        <is>
          <t xml:space="preserve">Group turnover ~€2.3B (FY2024/25) / ~€2.4B ($2.6B) FY2024, down from €3.2B prior year (confirmed via WebSearch, krone-trailer.com press release &amp; Commercial Motor, Feb 2026) | Private, no published valuation (family-owned; passes hard bar on revenue </t>
        </is>
      </c>
      <c r="M202" s="11" t="inlineStr">
        <is>
          <t>[VERIFIED NEW W13] Open commercial-logistics/trailer-manufacturing category; European trade/logistics visibility angle timed to Krone's demand-recovery narrative. | All hard filters pass (still profitable per company statement, headcount/audience/own</t>
        </is>
      </c>
    </row>
    <row r="203">
      <c r="A203" s="11" t="n">
        <v>200</v>
      </c>
      <c r="B203" s="11" t="inlineStr">
        <is>
          <t>W13</t>
        </is>
      </c>
      <c r="C203" s="11" t="inlineStr">
        <is>
          <t>Staffing &amp; Talent</t>
        </is>
      </c>
      <c r="D203" s="11" t="n">
        <v>64</v>
      </c>
      <c r="E203" s="11" t="inlineStr">
        <is>
          <t>Outsourcing Inc.</t>
        </is>
      </c>
      <c r="F203" s="11" t="inlineStr">
        <is>
          <t>outsourcing.co.jp</t>
        </is>
      </c>
      <c r="G203" s="11" t="inlineStr">
        <is>
          <t>Tokyo, Japan</t>
        </is>
      </c>
      <c r="H203" s="11" t="inlineStr">
        <is>
          <t>Staffing, engineering and business-process outsourcing services, Japan and internationally</t>
        </is>
      </c>
      <c r="I203" s="11" t="inlineStr">
        <is>
          <t>10k+</t>
        </is>
      </c>
      <c r="J203" s="11" t="inlineStr">
        <is>
          <t>10k+</t>
        </is>
      </c>
      <c r="K203" s="11" t="inlineStr">
        <is>
          <t>verified-stretch</t>
        </is>
      </c>
      <c r="L203" s="11" t="inlineStr">
        <is>
          <t>JPY 749.6B / ~$4.99B FY2023 (+8.6% YoY; staffingindustry.com, reported Feb 2024) - most recent figure independently confirmed in search; FY2024/25 results not verified | Market cap ~¥221bn (~$1.4-1.5B) per a 2026-dated Stockopedia pull, though the un</t>
        </is>
      </c>
      <c r="M203" s="11" t="inlineStr">
        <is>
          <t>[VERIFIED NEW W13] Precision-engineering and global-workforce-logistics story - Outsourcing Inc. keeps aviation, automotive and manufacturing lines staffed worldwide, a natural tie-in to F1's own high-precision, globally-mobile operations. | Hard fil</t>
        </is>
      </c>
    </row>
    <row r="204">
      <c r="A204" s="11" t="n">
        <v>201</v>
      </c>
      <c r="B204" s="11" t="inlineStr">
        <is>
          <t>W13</t>
        </is>
      </c>
      <c r="C204" s="11" t="inlineStr">
        <is>
          <t>Automation &amp; Robotics</t>
        </is>
      </c>
      <c r="D204" s="11" t="n">
        <v>64</v>
      </c>
      <c r="E204" s="11" t="inlineStr">
        <is>
          <t>Pilz GmbH &amp; Co. KG</t>
        </is>
      </c>
      <c r="F204" s="11" t="inlineStr">
        <is>
          <t>pilz.com</t>
        </is>
      </c>
      <c r="G204" s="11" t="inlineStr">
        <is>
          <t>Ostfildern, Germany</t>
        </is>
      </c>
      <c r="H204" s="11" t="inlineStr">
        <is>
          <t>Safety automation systems for industrial machinery</t>
        </is>
      </c>
      <c r="I204" s="11" t="inlineStr">
        <is>
          <t>1k-5k (2,504 employees worldwide as of Dec 31, 2024, +1.1% YoY, per Pilz 2024 annual press release)</t>
        </is>
      </c>
      <c r="J204" s="11" t="inlineStr">
        <is>
          <t>2,504 employees worldwide as of Dec 31, 2024, +1.1% YoY, per Pilz 2024 annual press release</t>
        </is>
      </c>
      <c r="K204" s="11" t="inlineStr">
        <is>
          <t>verified-stretch</t>
        </is>
      </c>
      <c r="L204" s="11" t="inlineStr">
        <is>
          <t>EUR341M in 2024, down 21% YoY after three very good prior years - weak, particularly in Germany/Europe; export share rose to 79% (source: Pilz 2024 financial-year press release) | n/a - family-owned, no published valuation; passes on revenue alone pe</t>
        </is>
      </c>
      <c r="M204" s="11" t="inlineStr">
        <is>
          <t>[VERIFIED NEW W13] Safety-culture/engineering-excellence narrative tying Pilz's industrial safety-automation expertise to F1's own uncompromising approach to driver and crew safety - best timed for when the company's order book recovers (est). | Reve</t>
        </is>
      </c>
    </row>
    <row r="205">
      <c r="A205" s="11" t="n">
        <v>202</v>
      </c>
      <c r="B205" s="11" t="inlineStr">
        <is>
          <t>W13</t>
        </is>
      </c>
      <c r="C205" s="11" t="inlineStr">
        <is>
          <t>Construction &amp; Field Svc</t>
        </is>
      </c>
      <c r="D205" s="11" t="n">
        <v>64</v>
      </c>
      <c r="E205" s="11" t="inlineStr">
        <is>
          <t>SafetyCulture Pty Ltd</t>
        </is>
      </c>
      <c r="F205" s="11" t="inlineStr">
        <is>
          <t>safetyculture.com</t>
        </is>
      </c>
      <c r="G205" s="11" t="inlineStr">
        <is>
          <t>Sydney, Australia</t>
        </is>
      </c>
      <c r="H205" s="11" t="inlineStr">
        <is>
          <t>Field inspection, safety and workflow software (iAuditor/SafetyCulture platform) used across construction, industrial and field operations</t>
        </is>
      </c>
      <c r="I205" s="11" t="inlineStr">
        <is>
          <t>201-1k (~910 employees as of mid-2026, per CB Insights/company data)</t>
        </is>
      </c>
      <c r="J205" s="11" t="inlineStr">
        <is>
          <t>~910 employees as of mid-2026, per CB Insights/company data</t>
        </is>
      </c>
      <c r="K205" s="11" t="inlineStr">
        <is>
          <t>verified-stretch</t>
        </is>
      </c>
      <c r="L205" s="11" t="inlineStr">
        <is>
          <t>Conflicting third-party estimates: ~$90.3M ARR (2025, per one aggregator) vs. ~$197.6M total revenue (2025, per another); an earlier confirmed data point showed $84.4M revenue in FY2023 (+32% YoY). No official company-disclosed figure found in this p</t>
        </is>
      </c>
      <c r="M205" s="11" t="inlineStr">
        <is>
          <t>[VERIFIED NEW W13] Safety-technology narrative: SafetyCulture's inspection/safety-workflow software mirrors F1's rigorous approach to pit-crew, marshal and paddock safety - a natural 'safety innovation partner' story once current financials are confi</t>
        </is>
      </c>
    </row>
    <row r="206">
      <c r="A206" s="11" t="n">
        <v>203</v>
      </c>
      <c r="B206" s="11" t="inlineStr">
        <is>
          <t>W13</t>
        </is>
      </c>
      <c r="C206" s="11" t="inlineStr">
        <is>
          <t>Commercial Vehicles</t>
        </is>
      </c>
      <c r="D206" s="11" t="n">
        <v>64</v>
      </c>
      <c r="E206" s="11" t="inlineStr">
        <is>
          <t>Zoomlion Heavy Industry Science and Technology Co., Ltd.</t>
        </is>
      </c>
      <c r="F206" s="11" t="inlineStr">
        <is>
          <t>zoomlion.com</t>
        </is>
      </c>
      <c r="G206" s="11" t="inlineStr">
        <is>
          <t>Changsha, China</t>
        </is>
      </c>
      <c r="H206" s="11" t="inlineStr">
        <is>
          <t>Construction machinery, cranes and heavy equipment</t>
        </is>
      </c>
      <c r="I206" s="11" t="inlineStr">
        <is>
          <t>10k+</t>
        </is>
      </c>
      <c r="J206" s="11" t="inlineStr">
        <is>
          <t>10k+</t>
        </is>
      </c>
      <c r="K206" s="11" t="inlineStr">
        <is>
          <t>verified-stretch</t>
        </is>
      </c>
      <c r="L206" s="11" t="inlineStr">
        <is>
          <t>RMB 52.107B in FY2025 (~$7.2B USD, est FX conversion), +14.58% YoY; net profit RMB 4.858B, +38.01% YoY (Zoomlion 2025 results, PR Newswire, 2 Apr 2026) - far exceeds the $100M hard bar | Market cap (est) in the multi-billion-dollar range for this dua</t>
        </is>
      </c>
      <c r="M206" s="11" t="inlineStr">
        <is>
          <t>[VERIFIED NEW W13] Global-expansion and heavy-engineering performance story - Zoomlion's rapid international growth (59% of revenue, manufacturing across 8+ countries) pairs with F1's global-market growth narrative; heavy machinery/construction is an</t>
        </is>
      </c>
    </row>
    <row r="207">
      <c r="A207" s="11" t="n">
        <v>204</v>
      </c>
      <c r="B207" s="11" t="inlineStr">
        <is>
          <t>W13</t>
        </is>
      </c>
      <c r="C207" s="11" t="inlineStr">
        <is>
          <t>Machine Tools &amp; 3D Print</t>
        </is>
      </c>
      <c r="D207" s="11" t="n">
        <v>58</v>
      </c>
      <c r="E207" s="11" t="inlineStr">
        <is>
          <t>Ace Micromatic Group</t>
        </is>
      </c>
      <c r="F207" s="11" t="inlineStr">
        <is>
          <t>acemicromatic.net</t>
        </is>
      </c>
      <c r="G207" s="11" t="inlineStr">
        <is>
          <t>Bengaluru, India</t>
        </is>
      </c>
      <c r="H207" s="11" t="inlineStr">
        <is>
          <t>CNC machine tools</t>
        </is>
      </c>
      <c r="I207" s="11" t="inlineStr">
        <is>
          <t>1k-5k (est; group-wide figure uncertain -- flagship Ace Designers Ltd confirmed at ~1,600-1,700 employees, but multi-entity group total not independently verified; input estimate ~4,000)</t>
        </is>
      </c>
      <c r="J207" s="11" t="inlineStr">
        <is>
          <t>est; group-wide figure uncertain -- flagship Ace Designers Ltd confirmed at ~1,600-1,700 employees, but multi-entity group total not independently verified; input estimate ~4,000</t>
        </is>
      </c>
      <c r="K207" s="11" t="inlineStr">
        <is>
          <t>verified-stretch</t>
        </is>
      </c>
      <c r="L207" s="11" t="inlineStr">
        <is>
          <t>Confirmed only at the flagship-entity level: Ace Designers Ltd revenue ~INR2,240 crore (~$269M est) for FY ended Mar 2024, per company filings/Tofler. Group-wide consolidated revenue could not be independently confirmed; the group has publicly target</t>
        </is>
      </c>
      <c r="M207" s="11" t="inlineStr">
        <is>
          <t>[VERIFIED NEW W13] India's largest machine-tool group riding the 'Make in India' manufacturing-growth story -- an angle built on India's industrial rise, pending firmer confirmation of export reach and consolidated financials. | Hard filters technica</t>
        </is>
      </c>
    </row>
    <row r="208">
      <c r="A208" s="11" t="n">
        <v>205</v>
      </c>
      <c r="B208" s="11" t="inlineStr">
        <is>
          <t>W1</t>
        </is>
      </c>
      <c r="C208" s="11" t="inlineStr">
        <is>
          <t>03 Luxury &amp; Beauty</t>
        </is>
      </c>
      <c r="D208" s="11" t="n">
        <v>58</v>
      </c>
      <c r="E208" s="11" t="inlineStr">
        <is>
          <t>Beiersdorf AG</t>
        </is>
      </c>
      <c r="F208" s="11" t="inlineStr">
        <is>
          <t>beiersdorf.com</t>
        </is>
      </c>
      <c r="G208" s="11" t="inlineStr">
        <is>
          <t>Germany</t>
        </is>
      </c>
      <c r="H208" s="11" t="inlineStr">
        <is>
          <t>Nivea, Eucerin, La Prairie skincare; sold globally through mass and prestige retail</t>
        </is>
      </c>
      <c r="I208" s="11" t="inlineStr">
        <is>
          <t>~24,000 employees (mega-brand scale)</t>
        </is>
      </c>
      <c r="J208" s="11" t="inlineStr">
        <is>
          <t>10k+</t>
        </is>
      </c>
      <c r="K208" s="11" t="inlineStr">
        <is>
          <t>verified-stretch</t>
        </is>
      </c>
      <c r="L208" s="11" t="inlineStr">
        <is>
          <t>€9.85B (~$10.7B), FY2025, source: Beiersdorf FY2025 results | €16.9B (~$18.4B) market cap, as of Sep 2026, source: companiesmarketcap.com / tradingeconomics.com | flags: China optics - La Prairie/Nivea China dependence</t>
        </is>
      </c>
      <c r="M208" s="11" t="inlineStr">
        <is>
          <t>[VERIFIED NEW W1] Global skincare science brand (Nivea, Eucerin) mid-turnaround - F1 sponsorship could support the reset/relaunch narrative to a global audience. | Cut FY2026 guidance and launched a NIVEA turnaround/restructuring plan with job cuts (</t>
        </is>
      </c>
    </row>
    <row r="209">
      <c r="A209" s="11" t="n">
        <v>206</v>
      </c>
      <c r="B209" s="11" t="inlineStr">
        <is>
          <t>W1</t>
        </is>
      </c>
      <c r="C209" s="11" t="inlineStr">
        <is>
          <t>04 Food &amp; Beverage</t>
        </is>
      </c>
      <c r="D209" s="11" t="n">
        <v>58</v>
      </c>
      <c r="E209" s="11" t="inlineStr">
        <is>
          <t>Coca-Cola FEMSA, S.A.B. de C.V.</t>
        </is>
      </c>
      <c r="F209" s="11" t="inlineStr">
        <is>
          <t>coca-colafemsa.com</t>
        </is>
      </c>
      <c r="G209" s="11" t="inlineStr">
        <is>
          <t>Mexico City, Mexico</t>
        </is>
      </c>
      <c r="H209" s="11" t="inlineStr">
        <is>
          <t>World's largest Coca-Cola franchise bottler by volume; beverage distribution across Mexico, Brazil, Colombia, Argentina,</t>
        </is>
      </c>
      <c r="I209" s="11" t="inlineStr">
        <is>
          <t>~90,000 employees per input estimate; public filings suggest headcount may run higher (~130,000) — not independently re-verified given search budget</t>
        </is>
      </c>
      <c r="J209" s="11" t="inlineStr">
        <is>
          <t>10k+</t>
        </is>
      </c>
      <c r="K209" s="11" t="inlineStr">
        <is>
          <t>verified-stretch</t>
        </is>
      </c>
      <c r="L209" s="11" t="inlineStr">
        <is>
          <t>US$15.56B FY2025 (MXN 291.75B, +4.3% YoY) — company Q4/FY25 investor results, verified Sept 2026 | US$22.9B market cap as of July 2026 (companiesmarketcap.com) — well above the input's ~$16B estimate | flags: Parent-brand adjacency with direct equity</t>
        </is>
      </c>
      <c r="M209" s="11" t="inlineStr">
        <is>
          <t>[VERIFIED NEW W1] Pitch a KOF-specific portfolio (e.g., water/juice sub-brands it bottles that are not part of the McLaren activation) tied to São Paulo or Mexico City GP grassroots/retail activation, explicitly scoped to avoid the Coca-Cola trademar</t>
        </is>
      </c>
    </row>
    <row r="210">
      <c r="A210" s="11" t="n">
        <v>207</v>
      </c>
      <c r="B210" s="11" t="inlineStr">
        <is>
          <t>W9</t>
        </is>
      </c>
      <c r="C210" s="11" t="inlineStr">
        <is>
          <t>48 Telecom &amp; Space</t>
        </is>
      </c>
      <c r="D210" s="11" t="n">
        <v>58</v>
      </c>
      <c r="E210" s="11" t="inlineStr">
        <is>
          <t>Colt Technology Services</t>
        </is>
      </c>
      <c r="F210" s="11" t="inlineStr">
        <is>
          <t>colt.net</t>
        </is>
      </c>
      <c r="G210" s="11" t="inlineStr">
        <is>
          <t>United Kingdom</t>
        </is>
      </c>
      <c r="H210" s="11" t="inlineStr">
        <is>
          <t xml:space="preserve">Global fiber network connectivity, SD-WAN, cloud connect and enterprise IT/voice services for multinational enterprises </t>
        </is>
      </c>
      <c r="I210" s="11" t="inlineStr">
        <is>
          <t>~5,900 (est.)</t>
        </is>
      </c>
      <c r="J210" s="11" t="inlineStr">
        <is>
          <t>5k-10k</t>
        </is>
      </c>
      <c r="K210" s="11" t="inlineStr">
        <is>
          <t>verified-stretch</t>
        </is>
      </c>
      <c r="L210" s="11" t="inlineStr">
        <is>
          <t>EUR 2.19B / ~$2.35B FY2024, +31.7% YoY (Lumen EMEA assets acquired Nov 2023) - confirmed via Telecompaper/Colt Group results; FY2025 figures not yet published | Not disclosed (private); est. enterprise value $3-4B [ESTIMATE, unverified] | flags: Reve</t>
        </is>
      </c>
      <c r="M210" s="11" t="inlineStr">
        <is>
          <t>[VERIFIED NEW W9] B2B connectivity/technology partner for team factory-to-track data networks or broadcast infrastructure, not a livery/consumer brand play | Solid, growing, well-capitalized telecom infrastructure player with fast private-owner decis</t>
        </is>
      </c>
    </row>
    <row r="211">
      <c r="A211" s="11" t="n">
        <v>208</v>
      </c>
      <c r="B211" s="11" t="inlineStr">
        <is>
          <t>W3</t>
        </is>
      </c>
      <c r="C211" s="11" t="inlineStr">
        <is>
          <t>42 Health &amp; Wellness</t>
        </is>
      </c>
      <c r="D211" s="11" t="n">
        <v>58</v>
      </c>
      <c r="E211" s="11" t="inlineStr">
        <is>
          <t>Divi's Laboratories Limited</t>
        </is>
      </c>
      <c r="F211" s="11" t="inlineStr">
        <is>
          <t>divislabs.com</t>
        </is>
      </c>
      <c r="G211" s="11" t="n"/>
      <c r="H211" s="11" t="n"/>
      <c r="I211" s="11" t="n"/>
      <c r="J211" s="11" t="inlineStr">
        <is>
          <t>unknown</t>
        </is>
      </c>
      <c r="K211" s="11" t="inlineStr">
        <is>
          <t>verified-stretch</t>
        </is>
      </c>
      <c r="L211" s="11" t="inlineStr">
        <is>
          <t xml:space="preserve"> |  | flags: Pure B2B/API manufacturer with no consumer-facing product or brand story - weakens the marketing rationale for a fan-facing platform like F1; Input's market cap estimate ($13B) was significantly understated versus verified ~$18.5B - use </t>
        </is>
      </c>
      <c r="M211" s="11" t="inlineStr">
        <is>
          <t xml:space="preserve">[VERIFIED NEW W3] If pursued, angle would need to be corporate/employer-brand and global quality-leadership positioning (attracting scientific talent, signaling manufacturing excellence to pharma partners) rather than a consumer product story. | </t>
        </is>
      </c>
    </row>
    <row r="212">
      <c r="A212" s="11" t="n">
        <v>209</v>
      </c>
      <c r="B212" s="11" t="inlineStr">
        <is>
          <t>W13</t>
        </is>
      </c>
      <c r="C212" s="11" t="inlineStr">
        <is>
          <t>Travel &amp; Hospitality</t>
        </is>
      </c>
      <c r="D212" s="11" t="n">
        <v>58</v>
      </c>
      <c r="E212" s="11" t="inlineStr">
        <is>
          <t>EIH Limited (Oberoi Hotels)</t>
        </is>
      </c>
      <c r="F212" s="11" t="inlineStr">
        <is>
          <t>oberoihotels.com</t>
        </is>
      </c>
      <c r="G212" s="11" t="inlineStr">
        <is>
          <t>New Delhi, India</t>
        </is>
      </c>
      <c r="H212" s="11" t="inlineStr">
        <is>
          <t>Ultra-luxury hospitality under the Oberoi and Trident hotel brands, ~30 properties across India, Egypt, Mauritius, Indonesia and Saudi Arabia</t>
        </is>
      </c>
      <c r="I212" s="11" t="inlineStr">
        <is>
          <t>5k-10k (est) - EIH Limited reported ~5,708 employees per recent aggregator data (2025/2026); note source figures conflict across trackers, treat as uncertain (est)</t>
        </is>
      </c>
      <c r="J212" s="11" t="inlineStr">
        <is>
          <t>est</t>
        </is>
      </c>
      <c r="K212" s="11" t="inlineStr">
        <is>
          <t>verified-stretch</t>
        </is>
      </c>
      <c r="L212" s="11" t="inlineStr">
        <is>
          <t>~$310-335M USD (est conversion) - consolidated revenue of INR 2,743.15 crore in FY25 (year ended Mar 2025), +9.23% YoY; Q4 FY25 PAT grew 6% YoY to INR 263 crore, confirming profitability (source: Business Standard, May 2025; screener.in FY25 filings)</t>
        </is>
      </c>
      <c r="M212" s="11" t="inlineStr">
        <is>
          <t>[VERIFIED NEW W13] Position Oberoi/Trident as F1's first dedicated ultra-luxury hospitality partner - VIP paddock-adjacent stays and bespoke travel packages for teams/sponsors/high-net-worth fans around Middle East and Asia-Pacific race weekends, lev</t>
        </is>
      </c>
    </row>
    <row r="213">
      <c r="A213" s="11" t="n">
        <v>210</v>
      </c>
      <c r="B213" s="11" t="inlineStr">
        <is>
          <t>W3</t>
        </is>
      </c>
      <c r="C213" s="11" t="inlineStr">
        <is>
          <t>42 Health &amp; Wellness</t>
        </is>
      </c>
      <c r="D213" s="11" t="n">
        <v>58</v>
      </c>
      <c r="E213" s="11" t="inlineStr">
        <is>
          <t>Eisai Co., Ltd.</t>
        </is>
      </c>
      <c r="F213" s="11" t="inlineStr">
        <is>
          <t>eisai.com</t>
        </is>
      </c>
      <c r="G213" s="11" t="n"/>
      <c r="H213" s="11" t="n"/>
      <c r="I213" s="11" t="n"/>
      <c r="J213" s="11" t="inlineStr">
        <is>
          <t>unknown</t>
        </is>
      </c>
      <c r="K213" s="11" t="inlineStr">
        <is>
          <t>verified-stretch</t>
        </is>
      </c>
      <c r="L213" s="11" t="inlineStr">
        <is>
          <t xml:space="preserve"> |  | flags: Operating profit declined 18.8% YoY in FY2025 - monitor before committing multi-year sponsorship spend; Leqembi segment still loss-making despite revenue growth; Input's market cap estimate ($19-22B) was materially overstated versus veri</t>
        </is>
      </c>
      <c r="M213" s="11" t="inlineStr">
        <is>
          <t xml:space="preserve">[VERIFIED NEW W3] If pursued, frame around Leqembi's first-in-category Alzheimer's story and FY2026 recovery guidance (+63% Leqembi growth projected) rather than current-year financial strength. | </t>
        </is>
      </c>
    </row>
    <row r="214">
      <c r="A214" s="11" t="n">
        <v>211</v>
      </c>
      <c r="B214" s="11" t="inlineStr">
        <is>
          <t>W4</t>
        </is>
      </c>
      <c r="C214" s="11" t="inlineStr">
        <is>
          <t>25 IT Services &amp; Consulting</t>
        </is>
      </c>
      <c r="D214" s="11" t="n">
        <v>58</v>
      </c>
      <c r="E214" s="11" t="inlineStr">
        <is>
          <t>FPT Corporation</t>
        </is>
      </c>
      <c r="F214" s="11" t="inlineStr">
        <is>
          <t>fpt.com</t>
        </is>
      </c>
      <c r="G214" s="11" t="n"/>
      <c r="H214" s="11" t="inlineStr">
        <is>
          <t>Global IT/software outsourcing, domestic telecom/ISP, and AI infrastructure (built Vietnam's first Nvidia-powered AI Fac</t>
        </is>
      </c>
      <c r="I214" s="11" t="n"/>
      <c r="J214" s="11" t="inlineStr">
        <is>
          <t>unknown</t>
        </is>
      </c>
      <c r="K214" s="11" t="inlineStr">
        <is>
          <t>verified-stretch</t>
        </is>
      </c>
      <c r="L214" s="11" t="inlineStr">
        <is>
          <t xml:space="preserve"> |  | flags: Subsidiary FPT Telecom is majority (50.17%) owned by Vietnam's Ministry of Public Security -- political/optics sensitivity if activation routes through the telecom arm; parent FPT Corp itself is only minority (5.67%) state-held; Primaril</t>
        </is>
      </c>
      <c r="M214" s="11" t="inlineStr">
        <is>
          <t xml:space="preserve">[VERIFIED NEW W4] Lead with FPT's Nvidia-powered AI Factory / AI-infrastructure story (data &amp; analytics technology partner) rather than the telecom/ISP business, avoiding the state-owned subsidiary optics. | </t>
        </is>
      </c>
    </row>
    <row r="215">
      <c r="A215" s="11" t="n">
        <v>212</v>
      </c>
      <c r="B215" s="11" t="inlineStr">
        <is>
          <t>W10</t>
        </is>
      </c>
      <c r="C215" s="11" t="inlineStr">
        <is>
          <t>43 Mobility &amp; Automotive</t>
        </is>
      </c>
      <c r="D215" s="11" t="n">
        <v>58</v>
      </c>
      <c r="E215" s="11" t="inlineStr">
        <is>
          <t>Group 1 Automotive</t>
        </is>
      </c>
      <c r="F215" s="11" t="inlineStr">
        <is>
          <t>group1auto.com</t>
        </is>
      </c>
      <c r="G215" s="11" t="n"/>
      <c r="H215" s="11" t="n"/>
      <c r="I215" s="11" t="n"/>
      <c r="J215" s="11" t="inlineStr">
        <is>
          <t>unknown</t>
        </is>
      </c>
      <c r="K215" s="11" t="inlineStr">
        <is>
          <t>verified-stretch</t>
        </is>
      </c>
      <c r="L215" s="11" t="inlineStr">
        <is>
          <t>USD 22.57B (FY2025 actual, +13.2% YoY) |  | flags: Market cap fell from ~$4.5-5.0B (2024 est.) to ~$3.2B (May 2026) amid auto-retail margin pressure; Dealer/retail network, not an OEM or product brand - sponsorship narrative is more local/hospitality</t>
        </is>
      </c>
      <c r="M215" s="11" t="inlineStr">
        <is>
          <t xml:space="preserve">[VERIFIED NEW W10] US hospitality/client-entertainment package tied to Miami, Austin, and Las Vegas GP weekends, potentially co-funded via OEM marketing-development funds from the brands Group 1 distributes. | </t>
        </is>
      </c>
    </row>
    <row r="216">
      <c r="A216" s="11" t="n">
        <v>213</v>
      </c>
      <c r="B216" s="11" t="inlineStr">
        <is>
          <t>W3</t>
        </is>
      </c>
      <c r="C216" s="11" t="inlineStr">
        <is>
          <t>42 Health &amp; Wellness</t>
        </is>
      </c>
      <c r="D216" s="11" t="n">
        <v>58</v>
      </c>
      <c r="E216" s="11" t="inlineStr">
        <is>
          <t>Insmed Incorporated</t>
        </is>
      </c>
      <c r="F216" s="11" t="inlineStr">
        <is>
          <t>insmed.com</t>
        </is>
      </c>
      <c r="G216" s="11" t="n"/>
      <c r="H216" s="11" t="n"/>
      <c r="I216" s="11" t="n"/>
      <c r="J216" s="11" t="inlineStr">
        <is>
          <t>unknown</t>
        </is>
      </c>
      <c r="K216" s="11" t="inlineStr">
        <is>
          <t>verified-stretch</t>
        </is>
      </c>
      <c r="L216" s="11" t="inlineStr">
        <is>
          <t>FY2025 Arikayce revenue exceeded guidance at &gt;$430M (+19% YoY); Brinsupri (launched Aug 2025) FY2026 revenue guidance raised to $1.25-1.4B with peak sales estimated &gt;$7B; Q2 2026 Brinsupri revenue alone was $309.2M - company press releases (prnewswir</t>
        </is>
      </c>
      <c r="M216" s="11" t="inlineStr">
        <is>
          <t xml:space="preserve">[VERIFIED NEW W3] High-growth biotech innovation story tied to a breakthrough drug launch - pairs well with F1's precision/performance narrative; any patient-facing content on rare respiratory disease should use dignity-first framing. | </t>
        </is>
      </c>
    </row>
    <row r="217">
      <c r="A217" s="11" t="n">
        <v>214</v>
      </c>
      <c r="B217" s="11" t="inlineStr">
        <is>
          <t>W6</t>
        </is>
      </c>
      <c r="C217" s="11" t="inlineStr">
        <is>
          <t>43 Mobility &amp; Automotive</t>
        </is>
      </c>
      <c r="D217" s="11" t="n">
        <v>58</v>
      </c>
      <c r="E217" s="11" t="inlineStr">
        <is>
          <t>InterGlobe Aviation Limited (IndiGo)</t>
        </is>
      </c>
      <c r="F217" s="11" t="inlineStr">
        <is>
          <t>goindigo.in</t>
        </is>
      </c>
      <c r="G217" s="11" t="n"/>
      <c r="H217" s="11" t="inlineStr">
        <is>
          <t>Passenger airline services (India's largest carrier by market share)</t>
        </is>
      </c>
      <c r="I217" s="11" t="n"/>
      <c r="J217" s="11" t="inlineStr">
        <is>
          <t>unknown</t>
        </is>
      </c>
      <c r="K217" s="11" t="inlineStr">
        <is>
          <t>verified-stretch</t>
        </is>
      </c>
      <c r="L217" s="11" t="inlineStr">
        <is>
          <t xml:space="preserve"> |  | flags: Airline sponsor category at F1 is already crowded with four major Gulf/Asian carriers holding title-level deals - a fifth airline logo (even from an uncontested market like India) adds category clutter.; Mega-brand scale (~$18-19B market</t>
        </is>
      </c>
      <c r="M217" s="11" t="inlineStr">
        <is>
          <t>[VERIFIED NEW W6] India-market-growth and fan-travel narrative - position around India's expanding F1 fanbase and IndiGo's dominant domestic network, but expect this to be treated as a premium/aspirational logo rather than a quick-close gap-fill give</t>
        </is>
      </c>
    </row>
    <row r="218">
      <c r="A218" s="11" t="n">
        <v>215</v>
      </c>
      <c r="B218" s="11" t="inlineStr">
        <is>
          <t>W13</t>
        </is>
      </c>
      <c r="C218" s="11" t="inlineStr">
        <is>
          <t>17 AI Cloud &amp; Data</t>
        </is>
      </c>
      <c r="D218" s="11" t="n">
        <v>58</v>
      </c>
      <c r="E218" s="11" t="inlineStr">
        <is>
          <t>Iris Energy (IREN)</t>
        </is>
      </c>
      <c r="F218" s="11" t="inlineStr">
        <is>
          <t>irisenergy.co</t>
        </is>
      </c>
      <c r="G218" s="11" t="inlineStr">
        <is>
          <t>Sydney, Australia</t>
        </is>
      </c>
      <c r="H218" s="11" t="inlineStr">
        <is>
          <t>AI/GPU cloud infrastructure and data centers (pivoted from bitcoin mining)</t>
        </is>
      </c>
      <c r="I218" s="11" t="inlineStr">
        <is>
          <t>201-1k</t>
        </is>
      </c>
      <c r="J218" s="11" t="inlineStr">
        <is>
          <t>201-1k</t>
        </is>
      </c>
      <c r="K218" s="11" t="inlineStr">
        <is>
          <t>verified-stretch</t>
        </is>
      </c>
      <c r="L218" s="11" t="inlineStr">
        <is>
          <t xml:space="preserve">$501M FY2025 (macrotrends/stockanalysis); AI Cloud ARR surpassed $500M annualized by early 2026 (company blog/press) | ~$14-18B market cap (NASDAQ, Sept 2026, stockanalysis.com/CNN) | flags: heavy single-customer concentration: Microsoft is expected </t>
        </is>
      </c>
      <c r="M218" s="11" t="inlineStr">
        <is>
          <t>[VERIFIED NEW W13] "Engine behind the AI era" story: IREN's data-center/power-engineering precision (renewable-powered AI compute at scale) paired against F1 teams' own AI/compute-hungry strategy operations. | Hard bars pass comfortably (revenue, val</t>
        </is>
      </c>
    </row>
    <row r="219">
      <c r="A219" s="11" t="n">
        <v>216</v>
      </c>
      <c r="B219" s="11" t="inlineStr">
        <is>
          <t>W8</t>
        </is>
      </c>
      <c r="C219" s="11" t="inlineStr">
        <is>
          <t>25 IT Services &amp; Consulting</t>
        </is>
      </c>
      <c r="D219" s="11" t="n">
        <v>58</v>
      </c>
      <c r="E219" s="11" t="inlineStr">
        <is>
          <t>Iron Mountain Incorporated</t>
        </is>
      </c>
      <c r="F219" s="11" t="inlineStr">
        <is>
          <t>ironmountain.com</t>
        </is>
      </c>
      <c r="G219" s="11" t="n"/>
      <c r="H219" s="11" t="inlineStr">
        <is>
          <t>Records management, data destruction, asset lifecycle management, and a fast-growing data-center/digital colocation busi</t>
        </is>
      </c>
      <c r="I219" s="11" t="n"/>
      <c r="J219" s="11" t="inlineStr">
        <is>
          <t>unknown</t>
        </is>
      </c>
      <c r="K219" s="11" t="inlineStr">
        <is>
          <t>verified-stretch</t>
        </is>
      </c>
      <c r="L219" s="11" t="inlineStr">
        <is>
          <t>$6.9B FY2025 (up 12.2% YoY, organic growth 10%; growth businesses - data center/digital/ALM - grew 30%+) |  | flags: REIT tax structure - confirm appetite/precedent for sponsorship-style brand marketing vs. enterprise sales spend; core legacy busines</t>
        </is>
      </c>
      <c r="M219" s="11" t="inlineStr">
        <is>
          <t xml:space="preserve">[VERIFIED NEW W8] Position as a data-infrastructure/digital-transformation partner (data centers, asset lifecycle, secure data management) rather than a legacy records-storage company - mirrors the cloud/enterprise-tech sponsorship playbook other F1 </t>
        </is>
      </c>
    </row>
    <row r="220">
      <c r="A220" s="11" t="n">
        <v>217</v>
      </c>
      <c r="B220" s="11" t="inlineStr">
        <is>
          <t>W3</t>
        </is>
      </c>
      <c r="C220" s="11" t="inlineStr">
        <is>
          <t>42 Health &amp; Wellness</t>
        </is>
      </c>
      <c r="D220" s="11" t="n">
        <v>58</v>
      </c>
      <c r="E220" s="11" t="inlineStr">
        <is>
          <t>Krka, d.d.</t>
        </is>
      </c>
      <c r="F220" s="11" t="inlineStr">
        <is>
          <t>krka.biz</t>
        </is>
      </c>
      <c r="G220" s="11" t="n"/>
      <c r="H220" s="11" t="n"/>
      <c r="I220" s="11" t="n"/>
      <c r="J220" s="11" t="inlineStr">
        <is>
          <t>unknown</t>
        </is>
      </c>
      <c r="K220" s="11" t="inlineStr">
        <is>
          <t>verified-stretch</t>
        </is>
      </c>
      <c r="L220" s="11" t="inlineStr">
        <is>
          <t xml:space="preserve"> |  | flags: Minority Slovenian state ownership (~27% aggregate, higher than input's ~20% estimate) - confirm against state-owned exclusion policy before outreach; Input's market cap estimate ($4.9-5.4B) was understated versus verified ~$9.2B</t>
        </is>
      </c>
      <c r="M220" s="11" t="inlineStr">
        <is>
          <t xml:space="preserve">[VERIFIED NEW W3] If cleared on ownership, position around Krka's steady Central European generics leadership and brand-reach expansion ambitions; hold outreach pending state-ownership compliance confirmation. | </t>
        </is>
      </c>
    </row>
    <row r="221">
      <c r="A221" s="11" t="n">
        <v>218</v>
      </c>
      <c r="B221" s="11" t="inlineStr">
        <is>
          <t>W10</t>
        </is>
      </c>
      <c r="C221" s="11" t="inlineStr">
        <is>
          <t>24 Logistics</t>
        </is>
      </c>
      <c r="D221" s="11" t="n">
        <v>58</v>
      </c>
      <c r="E221" s="11" t="inlineStr">
        <is>
          <t>Mainfreight</t>
        </is>
      </c>
      <c r="F221" s="11" t="inlineStr">
        <is>
          <t>mainfreight.com</t>
        </is>
      </c>
      <c r="G221" s="11" t="inlineStr">
        <is>
          <t>New Zealand</t>
        </is>
      </c>
      <c r="H221" s="11" t="inlineStr">
        <is>
          <t>3PL, freight forwarding (air/sea/road), warehousing</t>
        </is>
      </c>
      <c r="I221" s="11" t="inlineStr">
        <is>
          <t>~10,500 (2024)</t>
        </is>
      </c>
      <c r="J221" s="11" t="inlineStr">
        <is>
          <t>10k+</t>
        </is>
      </c>
      <c r="K221" s="11" t="inlineStr">
        <is>
          <t>verified-stretch</t>
        </is>
      </c>
      <c r="L221" s="11" t="inlineStr">
        <is>
          <t>NZD 5.23B FY2025 (~USD 3.15B), growing further to NZD 5.38B on a trailing basis into 2026 - materially higher than input's NZD 4.3B estimate | Market cap ~NZD 6.10B (~USD 3.6B) as of March 2026 - lower than input's NZD 7.0B estimate | flags: Revenue/</t>
        </is>
      </c>
      <c r="M221" s="11" t="inlineStr">
        <is>
          <t xml:space="preserve">[VERIFIED NEW W10] Team-level APAC/regional logistics and freight partner (factory-to-track regional legs, APAC race logistics) - avoids DHL's series-level exclusivity | Financially strong and growing global 3PL with genuine F1-market footprint, but </t>
        </is>
      </c>
    </row>
    <row r="222">
      <c r="A222" s="11" t="n">
        <v>219</v>
      </c>
      <c r="B222" s="11" t="inlineStr">
        <is>
          <t>W8</t>
        </is>
      </c>
      <c r="C222" s="11" t="inlineStr">
        <is>
          <t>02 Energy &amp; Industrial</t>
        </is>
      </c>
      <c r="D222" s="11" t="n">
        <v>58</v>
      </c>
      <c r="E222" s="11" t="inlineStr">
        <is>
          <t>Mitsubishi Corporation</t>
        </is>
      </c>
      <c r="F222" s="11" t="inlineStr">
        <is>
          <t>mitsubishicorp.com</t>
        </is>
      </c>
      <c r="G222" s="11" t="inlineStr">
        <is>
          <t>Tokyo, Japan</t>
        </is>
      </c>
      <c r="H222" s="11" t="inlineStr">
        <is>
          <t>General trading house across energy, metals, machinery, food, consumer industries</t>
        </is>
      </c>
      <c r="I222" s="11" t="inlineStr">
        <is>
          <t>~80,000 group (50k-100k band)</t>
        </is>
      </c>
      <c r="J222" s="11" t="inlineStr">
        <is>
          <t>10k+</t>
        </is>
      </c>
      <c r="K222" s="11" t="inlineStr">
        <is>
          <t>verified-stretch</t>
        </is>
      </c>
      <c r="L222" s="11" t="inlineStr">
        <is>
          <t>~JPY19T (~$127B) revenue FY ended Mar 2025 (co. filings) | ~JPY17.7-18.5T (~$110-123B USD) market cap (WebSearch, Sept 2026, TSE:8058; up ~41% YoY, well above input est. of $80-95B) | flags: Already a heavy sponsor of Japanese domestic sports (NPB ba</t>
        </is>
      </c>
      <c r="M222" s="11" t="inlineStr">
        <is>
          <t>[VERIFIED NEW W8] Global brand/energy-transition storytelling angle (Mitsubishi Corp's diversified energy and mobility portfolio) aimed at international expansion beyond its Japan-centric sports sponsorship base. | Financially ideal but mega-brand sc</t>
        </is>
      </c>
    </row>
    <row r="223">
      <c r="A223" s="11" t="n">
        <v>220</v>
      </c>
      <c r="B223" s="11" t="inlineStr">
        <is>
          <t>W4</t>
        </is>
      </c>
      <c r="C223" s="11" t="inlineStr">
        <is>
          <t>45 Electronic Parts</t>
        </is>
      </c>
      <c r="D223" s="11" t="n">
        <v>58</v>
      </c>
      <c r="E223" s="11" t="inlineStr">
        <is>
          <t>Omron Corporation</t>
        </is>
      </c>
      <c r="F223" s="11" t="inlineStr">
        <is>
          <t>omron.com</t>
        </is>
      </c>
      <c r="G223" s="11" t="n"/>
      <c r="H223" s="11" t="inlineStr">
        <is>
          <t>Industrial automation controllers/sensors, electronic components and health devices (blood-pressure monitors) sold to ma</t>
        </is>
      </c>
      <c r="I223" s="11" t="n"/>
      <c r="J223" s="11" t="inlineStr">
        <is>
          <t>unknown</t>
        </is>
      </c>
      <c r="K223" s="11" t="inlineStr">
        <is>
          <t>verified-stretch</t>
        </is>
      </c>
      <c r="L223" s="11" t="inlineStr">
        <is>
          <t xml:space="preserve"> |  | flags: Restructuring completed only recently (2023-25); monitor for any renewed cost-cutting given weak factory-automation demand cycles; Core brand is B2B industrial automation, which has less direct F1 marketing relevance than the health-devi</t>
        </is>
      </c>
      <c r="M223" s="11" t="inlineStr">
        <is>
          <t xml:space="preserve">[VERIFIED NEW W4] Lead with OMRON's consumer health-tech brand (blood-pressure/heart-health monitors) for a global awareness campaign tied to driver health/performance-monitoring storylines, sidestepping the industrial-automation image. | </t>
        </is>
      </c>
    </row>
    <row r="224">
      <c r="A224" s="11" t="n">
        <v>221</v>
      </c>
      <c r="B224" s="11" t="inlineStr">
        <is>
          <t>W13</t>
        </is>
      </c>
      <c r="C224" s="11" t="inlineStr">
        <is>
          <t>32 Defense &amp; Industrial AI</t>
        </is>
      </c>
      <c r="D224" s="11" t="n">
        <v>58</v>
      </c>
      <c r="E224" s="11" t="inlineStr">
        <is>
          <t>Poongsan Corporation</t>
        </is>
      </c>
      <c r="F224" s="11" t="inlineStr">
        <is>
          <t>poongsan.co.kr</t>
        </is>
      </c>
      <c r="G224" s="11" t="inlineStr">
        <is>
          <t>Seoul, South Korea</t>
        </is>
      </c>
      <c r="H224" s="11" t="inlineStr">
        <is>
          <t>Ammunition/defense systems and copper alloy materials</t>
        </is>
      </c>
      <c r="I224" s="11" t="inlineStr">
        <is>
          <t>1k-5k</t>
        </is>
      </c>
      <c r="J224" s="11" t="inlineStr">
        <is>
          <t>1k-5k</t>
        </is>
      </c>
      <c r="K224" s="11" t="inlineStr">
        <is>
          <t>verified-stretch</t>
        </is>
      </c>
      <c r="L224" s="11" t="inlineStr">
        <is>
          <t>$3.68B trailing 12 months (mid-2026, stockanalysis.com) | ~$1.54B market cap (Korea Exchange, Sept 2026, PitchBook/MarketScreener) | flags: National Pension Service (a state pension fund) holds ~11.4% -- a minority state-linked stake; ammunition/defe</t>
        </is>
      </c>
      <c r="M224" s="11" t="inlineStr">
        <is>
          <t>[VERIFIED NEW W13] Precision-engineering-under-pressure story: position Poongsan's defense-grade metallurgy and copper-alloy engineering as an 'the margins matter' technology-supplier narrative, distinct from ammunition messaging. | Hard filters pass</t>
        </is>
      </c>
    </row>
    <row r="225">
      <c r="A225" s="11" t="n">
        <v>222</v>
      </c>
      <c r="B225" s="11" t="inlineStr">
        <is>
          <t>W8</t>
        </is>
      </c>
      <c r="C225" s="11" t="inlineStr">
        <is>
          <t>18 Services &amp; Other</t>
        </is>
      </c>
      <c r="D225" s="11" t="n">
        <v>58</v>
      </c>
      <c r="E225" s="11" t="inlineStr">
        <is>
          <t>Rentokil Initial plc</t>
        </is>
      </c>
      <c r="F225" s="11" t="inlineStr">
        <is>
          <t>rentokil-initial.com</t>
        </is>
      </c>
      <c r="G225" s="11" t="inlineStr">
        <is>
          <t>Crawley, UK</t>
        </is>
      </c>
      <c r="H225" s="11" t="inlineStr">
        <is>
          <t>Pest control and hygiene services to businesses globally</t>
        </is>
      </c>
      <c r="I225" s="11" t="inlineStr">
        <is>
          <t>~50,000 (50k-100k band)</t>
        </is>
      </c>
      <c r="J225" s="11" t="inlineStr">
        <is>
          <t>10k+</t>
        </is>
      </c>
      <c r="K225" s="11" t="inlineStr">
        <is>
          <t>verified-stretch</t>
        </is>
      </c>
      <c r="L225" s="11" t="inlineStr">
        <is>
          <t>~£5.3B (~$6.7B) revenue FY2024 (annual report) | ~$12-16B market cap (WebSearch range across 2026; stock plunged ~17% after H1 2026 results to ~$23-24/share, implying ~$12B as of late Aug 2026, down from ~$16B earlier in the year; LSE/NYSE:RTO) | fla</t>
        </is>
      </c>
      <c r="M225" s="11" t="inlineStr">
        <is>
          <t>[VERIFIED NEW W8] Position as a global hygiene/pest-control category-first F1 partner; time outreach after Q3/Q4 2026 trading update once growth trajectory stabilizes. | Solid large-cap scale and no conflicts, but recent margin-target retreat and sto</t>
        </is>
      </c>
    </row>
    <row r="226">
      <c r="A226" s="11" t="n">
        <v>223</v>
      </c>
      <c r="B226" s="11" t="inlineStr">
        <is>
          <t>W13</t>
        </is>
      </c>
      <c r="C226" s="11" t="inlineStr">
        <is>
          <t>Grid &amp; Transformers</t>
        </is>
      </c>
      <c r="D226" s="11" t="n">
        <v>58</v>
      </c>
      <c r="E226" s="11" t="inlineStr">
        <is>
          <t>Siemens Energy India Limited</t>
        </is>
      </c>
      <c r="F226" s="11" t="inlineStr">
        <is>
          <t>siemensenergy.com</t>
        </is>
      </c>
      <c r="G226" s="11" t="inlineStr">
        <is>
          <t>Mumbai, India</t>
        </is>
      </c>
      <c r="H226" s="11" t="inlineStr">
        <is>
          <t>Transformers, switchgear and grid equipment for power generation, transmission and renewable integration</t>
        </is>
      </c>
      <c r="I226" s="11" t="inlineStr">
        <is>
          <t>1k-5k</t>
        </is>
      </c>
      <c r="J226" s="11" t="inlineStr">
        <is>
          <t>1k-5k</t>
        </is>
      </c>
      <c r="K226" s="11" t="inlineStr">
        <is>
          <t>verified-stretch</t>
        </is>
      </c>
      <c r="L226" s="11" t="inlineStr">
        <is>
          <t>Revenue ~Rs.9,436 Cr (~$1.1B USD, est FX conversion) per FY figures cited via Screener.in/INDmoney (2026); Q4 FY26 quarterly revenue Rs.2,394 Cr | Market cap Rs.1,13,214 Cr (~$13.6B USD, est FX conversion) as of 11 Sep 2026 (INDmoney) | flags: Brand-</t>
        </is>
      </c>
      <c r="M226" s="11" t="inlineStr">
        <is>
          <t>[VERIFIED NEW W13] Position explicitly as 'Siemens Energy' (distinct from Siemens AG) and lead with the energy-transition/grid-modernization story, timed to a team's sustainability or power-unit announcement, while proactively clarifying the entity s</t>
        </is>
      </c>
    </row>
    <row r="227">
      <c r="A227" s="11" t="n">
        <v>224</v>
      </c>
      <c r="B227" s="11" t="inlineStr">
        <is>
          <t>W13</t>
        </is>
      </c>
      <c r="C227" s="11" t="inlineStr">
        <is>
          <t>OT &amp; Physical Security</t>
        </is>
      </c>
      <c r="D227" s="11" t="n">
        <v>58</v>
      </c>
      <c r="E227" s="11" t="inlineStr">
        <is>
          <t>Sohgo Security Services Co., Ltd. (ALSOK)</t>
        </is>
      </c>
      <c r="F227" s="11" t="inlineStr">
        <is>
          <t>alsok.co.jp</t>
        </is>
      </c>
      <c r="G227" s="11" t="inlineStr">
        <is>
          <t>Tokyo, Japan</t>
        </is>
      </c>
      <c r="H227" s="11" t="inlineStr">
        <is>
          <t>Guarding, alarm monitoring and cash transport security services to thousands of corporate and individual clients, ~15% Japan market share</t>
        </is>
      </c>
      <c r="I227" s="11" t="inlineStr">
        <is>
          <t>10k+ (~40,000, est)</t>
        </is>
      </c>
      <c r="J227" s="11" t="inlineStr">
        <is>
          <t>~40,000, est</t>
        </is>
      </c>
      <c r="K227" s="11" t="inlineStr">
        <is>
          <t>verified-stretch</t>
        </is>
      </c>
      <c r="L227" s="11" t="inlineStr">
        <is>
          <t>Consolidated net sales &gt;¥520B (~$3.96B) for FY ended March 2025 (confirmed via WebSearch, financial data aggregators, Sep 2026) | Market cap ~$3.62B as of Aug 24, 2026 (confirmed via WebSearch) | flags: predominantly domestic-Japan revenue base despi</t>
        </is>
      </c>
      <c r="M227" s="11" t="inlineStr">
        <is>
          <t>[VERIFIED NEW W13] Anchor to the Japanese Grand Prix (Suzuka) as home-market activation; security-tech/monitoring innovation story, timed to the 2025 ALSOK rebrand seeking greater global visibility. | Hard filters pass (revenue, valuation, headcount,</t>
        </is>
      </c>
    </row>
    <row r="228">
      <c r="A228" s="11" t="n">
        <v>225</v>
      </c>
      <c r="B228" s="11" t="inlineStr">
        <is>
          <t>W2</t>
        </is>
      </c>
      <c r="C228" s="11" t="inlineStr">
        <is>
          <t>01 Banking &amp; Insurance</t>
        </is>
      </c>
      <c r="D228" s="11" t="n">
        <v>58</v>
      </c>
      <c r="E228" s="11" t="inlineStr">
        <is>
          <t>Svenska Handelsbanken</t>
        </is>
      </c>
      <c r="F228" s="11" t="inlineStr">
        <is>
          <t>handelsbanken.com</t>
        </is>
      </c>
      <c r="G228" s="11" t="inlineStr">
        <is>
          <t>Stockholm, Sweden</t>
        </is>
      </c>
      <c r="H228" s="11" t="inlineStr">
        <is>
          <t>Retail and corporate banking across Sweden, UK, Netherlands and the Nordics</t>
        </is>
      </c>
      <c r="I228" s="11" t="inlineStr">
        <is>
          <t>~12,200 (verified, FY2024 group headcount)</t>
        </is>
      </c>
      <c r="J228" s="11" t="inlineStr">
        <is>
          <t>10k+</t>
        </is>
      </c>
      <c r="K228" s="11" t="inlineStr">
        <is>
          <t>verified-stretch</t>
        </is>
      </c>
      <c r="L228" s="11" t="inlineStr">
        <is>
          <t xml:space="preserve">SEK 57.1B FY2025, down 9.3% YoY (source: MacroTrends/companiesmarketcap.com, 2026) | £22.83B market cap as of Aug 2026 (~$29B) (source: companiesmarketcap.com) | flags: Revenue down 9.3% YoY FY2025 - confirm cause (rate cycle) before pitching growth </t>
        </is>
      </c>
      <c r="M228" s="11" t="inlineStr">
        <is>
          <t>[VERIFIED NEW W2] Frame around Handelsbanken's UK/Netherlands growth push (offsetting flat Swedish home market) with a Silverstone/Zandvoort-linked relationship pitch rather than a mass-brand campaign. | Meets financial/ownership bar but the bank's l</t>
        </is>
      </c>
    </row>
    <row r="229">
      <c r="A229" s="11" t="n">
        <v>226</v>
      </c>
      <c r="B229" s="11" t="inlineStr">
        <is>
          <t>W3</t>
        </is>
      </c>
      <c r="C229" s="11" t="inlineStr">
        <is>
          <t>42 Health &amp; Wellness</t>
        </is>
      </c>
      <c r="D229" s="11" t="n">
        <v>58</v>
      </c>
      <c r="E229" s="11" t="inlineStr">
        <is>
          <t>Sysmex Corporation</t>
        </is>
      </c>
      <c r="F229" s="11" t="inlineStr">
        <is>
          <t>sysmex.com</t>
        </is>
      </c>
      <c r="G229" s="11" t="inlineStr">
        <is>
          <t>Japan</t>
        </is>
      </c>
      <c r="H229" s="11" t="inlineStr">
        <is>
          <t>Hematology and diagnostic instruments/reagents sold to clinical laboratories</t>
        </is>
      </c>
      <c r="I229" s="11" t="inlineStr">
        <is>
          <t>10,000-25,000 (~10,000+ est)</t>
        </is>
      </c>
      <c r="J229" s="11" t="inlineStr">
        <is>
          <t>10k+</t>
        </is>
      </c>
      <c r="K229" s="11" t="inlineStr">
        <is>
          <t>verified-stretch</t>
        </is>
      </c>
      <c r="L229" s="11" t="inlineStr">
        <is>
          <t>FY2025 net sales JPY 508.6B (~$3.39B USD), operating margin 17.2%, overseas sales ratio 86.7% (WebSearch, investing.com earnings call transcript) | ~$6.2-7.2B market cap as of Aug 19, 2026 (sources diverge: stockanalysis.com $7.16B vs companiesmarket</t>
        </is>
      </c>
      <c r="M229" s="11" t="inlineStr">
        <is>
          <t>[VERIFIED NEW W3] "Laboratory-grade precision, race-grade stakes" - hematology/diagnostic analytical accuracy mirrored against F1 telemetry precision; hold for a quarter to confirm the restructuring has stabilized before committing spend. | Strong gl</t>
        </is>
      </c>
    </row>
    <row r="230">
      <c r="A230" s="11" t="n">
        <v>227</v>
      </c>
      <c r="B230" s="11" t="inlineStr">
        <is>
          <t>W13</t>
        </is>
      </c>
      <c r="C230" s="11" t="inlineStr">
        <is>
          <t>Electronic Parts</t>
        </is>
      </c>
      <c r="D230" s="11" t="n">
        <v>58</v>
      </c>
      <c r="E230" s="11" t="inlineStr">
        <is>
          <t>Walsin Lihwa Corporation</t>
        </is>
      </c>
      <c r="F230" s="11" t="inlineStr">
        <is>
          <t>walsin.com</t>
        </is>
      </c>
      <c r="G230" s="11" t="inlineStr">
        <is>
          <t>Taipei, Taiwan</t>
        </is>
      </c>
      <c r="H230" s="11" t="inlineStr">
        <is>
          <t>Wire and cable, stainless steel and electronic materials to industrial, construction, utility and manufacturing customers across Asia, the US and Europe</t>
        </is>
      </c>
      <c r="I230" s="11" t="inlineStr">
        <is>
          <t>5k-10k (7,651 employees, company/GlobalData data, 2025-2026)</t>
        </is>
      </c>
      <c r="J230" s="11" t="inlineStr">
        <is>
          <t>7,651 employees, company/GlobalData data, 2025-2026</t>
        </is>
      </c>
      <c r="K230" s="11" t="inlineStr">
        <is>
          <t>verified-stretch</t>
        </is>
      </c>
      <c r="L230" s="11" t="inlineStr">
        <is>
          <t>NT$174.24B (~$5.6B) FY2025, down -2.83% YoY; 9-month 2025 net sales NT$132.38B (stockanalysis.com; Walsin Lihwa investor release, 2026) | ~NT$143.58B (~$4.6B) market cap, Sept 2026 (stockanalysis.com) | flags: thin and volatile margins - gross margin</t>
        </is>
      </c>
      <c r="M230" s="11" t="inlineStr">
        <is>
          <t>[VERIFIED NEW W13] Position Walsin Lihwa around the materials science behind next-gen EV charging and grid infrastructure (its wire &amp; cable and electronic-materials lines) - an infrastructure-of-the-future angle distinct from typical high-tech F1 spo</t>
        </is>
      </c>
    </row>
    <row r="231">
      <c r="A231" s="11" t="n">
        <v>228</v>
      </c>
      <c r="B231" s="11" t="inlineStr">
        <is>
          <t>W13</t>
        </is>
      </c>
      <c r="C231" s="11" t="inlineStr">
        <is>
          <t>Materials &amp; Mech Parts</t>
        </is>
      </c>
      <c r="D231" s="11" t="n">
        <v>58</v>
      </c>
      <c r="E231" s="11" t="inlineStr">
        <is>
          <t>fischerwerke GmbH &amp; Co. KG</t>
        </is>
      </c>
      <c r="F231" s="11" t="inlineStr">
        <is>
          <t>fischer.group</t>
        </is>
      </c>
      <c r="G231" s="11" t="inlineStr">
        <is>
          <t>Waldachtal, Germany</t>
        </is>
      </c>
      <c r="H231" s="11" t="inlineStr">
        <is>
          <t>Fixing systems and fasteners (construction, DIY, automotive)</t>
        </is>
      </c>
      <c r="I231" s="11" t="inlineStr">
        <is>
          <t>5k-10k (confirmed ~5,900 employees, 2023, up ~300 YoY)</t>
        </is>
      </c>
      <c r="J231" s="11" t="inlineStr">
        <is>
          <t>confirmed ~5,900 employees, 2023, up ~300 YoY</t>
        </is>
      </c>
      <c r="K231" s="11" t="inlineStr">
        <is>
          <t>verified-stretch</t>
        </is>
      </c>
      <c r="L231" s="11" t="inlineStr">
        <is>
          <t>EUR1.16B group turnover, FY2023 (reported Feb 2024) -- a company record, up 2% YoY; no independently confirmed 2024/2025 total-group figure found in this search pass (est for currency; separately, its Automotive division alone was projected at ~EUR20</t>
        </is>
      </c>
      <c r="M231" s="11" t="inlineStr">
        <is>
          <t>[VERIFIED NEW W13] German engineering-heritage story (75+ years, record 2023 turnover) -- a 'precision fixing technology' angle tying fischer's fastening/engineering innovation to F1 performance-engineering themes, in an open category. | Hard filters</t>
        </is>
      </c>
    </row>
    <row r="232">
      <c r="A232" s="11" t="n">
        <v>229</v>
      </c>
      <c r="B232" s="11" t="inlineStr">
        <is>
          <t>W2</t>
        </is>
      </c>
      <c r="C232" s="11" t="inlineStr">
        <is>
          <t>01 Banking &amp; Insurance</t>
        </is>
      </c>
      <c r="D232" s="11" t="n">
        <v>52</v>
      </c>
      <c r="E232" s="11" t="inlineStr">
        <is>
          <t>3i Group</t>
        </is>
      </c>
      <c r="F232" s="11" t="inlineStr">
        <is>
          <t>3i.com</t>
        </is>
      </c>
      <c r="G232" s="11" t="inlineStr">
        <is>
          <t>London, United Kingdom</t>
        </is>
      </c>
      <c r="H232" s="11" t="inlineStr">
        <is>
          <t>Private equity and infrastructure investment; NAV now ~77% concentrated in its Action retail stake (65.4%)</t>
        </is>
      </c>
      <c r="I232" s="11" t="inlineStr">
        <is>
          <t>~280-300 (verified small corporate/investment team; excludes Action's own ~250,000+ retail staff)</t>
        </is>
      </c>
      <c r="J232" s="11" t="inlineStr">
        <is>
          <t>10k+</t>
        </is>
      </c>
      <c r="K232" s="11" t="inlineStr">
        <is>
          <t>verified-stretch</t>
        </is>
      </c>
      <c r="L232" s="11" t="inlineStr">
        <is>
          <t>Not applicable - investment-return based; NAV £30.9B as of 31 Mar 2026, up 26% YoY (source: 3i.com FY26 press release) | ~£23.8B market cap as of 29 Mar 2026 (~$30B) (source: massivemoats.substack.com) | flags: Extremely thin headcount/organization r</t>
        </is>
      </c>
      <c r="M232" s="11" t="inlineStr">
        <is>
          <t>[VERIFIED NEW W2] Position as an HNW-investor/LP-facing prestige association (paddock club, investor days) rather than a mass-market brand sponsorship. | Financially exceeds the bar, but as a near-pure holding company it lacks the consumer/customer b</t>
        </is>
      </c>
    </row>
    <row r="233">
      <c r="A233" s="11" t="n">
        <v>230</v>
      </c>
      <c r="B233" s="11" t="inlineStr">
        <is>
          <t>W3</t>
        </is>
      </c>
      <c r="C233" s="11" t="inlineStr">
        <is>
          <t>42 Health &amp; Wellness</t>
        </is>
      </c>
      <c r="D233" s="11" t="n">
        <v>52</v>
      </c>
      <c r="E233" s="11" t="inlineStr">
        <is>
          <t>Ambu A/S</t>
        </is>
      </c>
      <c r="F233" s="11" t="inlineStr">
        <is>
          <t>ambu.com</t>
        </is>
      </c>
      <c r="G233" s="11" t="inlineStr">
        <is>
          <t>Denmark</t>
        </is>
      </c>
      <c r="H233" s="11" t="inlineStr">
        <is>
          <t>Single-use endoscopes and diagnostic equipment sold to hospitals</t>
        </is>
      </c>
      <c r="I233" s="11" t="inlineStr">
        <is>
          <t>1,000-5,000 (~4,500 est)</t>
        </is>
      </c>
      <c r="J233" s="11" t="inlineStr">
        <is>
          <t>5k-10k</t>
        </is>
      </c>
      <c r="K233" s="11" t="inlineStr">
        <is>
          <t>verified-stretch</t>
        </is>
      </c>
      <c r="L233" s="11" t="inlineStr">
        <is>
          <t>TTM revenue $947M as of Mar 2026; FY2024/25 organic growth +13.1%, EBIT margin 13.0% (WebSearch, stockanalysis.com/ambu.com) | ~$2.9B-$3.6B market cap as of Aug 28, 2026 (sources diverge: stockanalysis.com ~$2.9B vs TradingView ~$3.62B) | flags: bord</t>
        </is>
      </c>
      <c r="M233" s="11" t="inlineStr">
        <is>
          <t>[VERIFIED NEW W3] "Get it right, every time" - single-use endoscopy precision (zero cross-contamination risk) as a parallel to zero-margin-for-error pit-stop execution; best pitched as a medical/technical partner tier, not a fan-facing brand campaign</t>
        </is>
      </c>
    </row>
    <row r="234">
      <c r="A234" s="11" t="n">
        <v>231</v>
      </c>
      <c r="B234" s="11" t="inlineStr">
        <is>
          <t>W1</t>
        </is>
      </c>
      <c r="C234" s="11" t="inlineStr">
        <is>
          <t>03 Luxury &amp; Beauty</t>
        </is>
      </c>
      <c r="D234" s="11" t="n">
        <v>52</v>
      </c>
      <c r="E234" s="11" t="inlineStr">
        <is>
          <t>Amway</t>
        </is>
      </c>
      <c r="F234" s="11" t="inlineStr">
        <is>
          <t>amway.com</t>
        </is>
      </c>
      <c r="G234" s="11" t="inlineStr">
        <is>
          <t>Ada, Michigan, USA</t>
        </is>
      </c>
      <c r="H234" s="11" t="inlineStr">
        <is>
          <t>Beauty, personal care, and nutrition products via direct-selling/MLM network</t>
        </is>
      </c>
      <c r="I234" s="11" t="inlineStr">
        <is>
          <t>~13,000 corporate (est.)</t>
        </is>
      </c>
      <c r="J234" s="11" t="inlineStr">
        <is>
          <t>10k+</t>
        </is>
      </c>
      <c r="K234" s="11" t="inlineStr">
        <is>
          <t>verified-stretch</t>
        </is>
      </c>
      <c r="L234" s="11" t="inlineStr">
        <is>
          <t>$7.4B (2024) / $7.3B (2025, est.) — verified via company reporting/Direct Selling News/Yahoo Finance; multi-year declining trend ($7.7B in 2023) | Family-owned, none published | flags: MLM/direct-selling business model — reputational optics flag, inc</t>
        </is>
      </c>
      <c r="M234" s="11" t="inlineStr">
        <is>
          <t>[VERIFIED NEW W1] Approach through the DeVos family's established sports-ownership relationships rather than the Amway brand directly; if branded, anchor on Amway's Nutrilite performance-nutrition line for a driver fitness/wellness narrative that sid</t>
        </is>
      </c>
    </row>
    <row r="235">
      <c r="A235" s="11" t="n">
        <v>232</v>
      </c>
      <c r="B235" s="11" t="inlineStr">
        <is>
          <t>W3</t>
        </is>
      </c>
      <c r="C235" s="11" t="inlineStr">
        <is>
          <t>42 Health &amp; Wellness</t>
        </is>
      </c>
      <c r="D235" s="11" t="n">
        <v>52</v>
      </c>
      <c r="E235" s="11" t="inlineStr">
        <is>
          <t>Apollo Hospitals Enterprise Limited</t>
        </is>
      </c>
      <c r="F235" s="11" t="inlineStr">
        <is>
          <t>apollohospitals.com</t>
        </is>
      </c>
      <c r="G235" s="11" t="n"/>
      <c r="H235" s="11" t="inlineStr">
        <is>
          <t>Largest India hospital chain, plus pharmacy retail (Apollo Pharmacy) and digital health (Apollo 24/7)</t>
        </is>
      </c>
      <c r="I235" s="11" t="n"/>
      <c r="J235" s="11" t="inlineStr">
        <is>
          <t>unknown</t>
        </is>
      </c>
      <c r="K235" s="11" t="inlineStr">
        <is>
          <t>verified-stretch</t>
        </is>
      </c>
      <c r="L235" s="11" t="inlineStr">
        <is>
          <t>₹25,228.5 crore FY2026 (year ended March 2026, ~$2.85B est, company results) |  | flags: dignity framing required - patient-facing hospital/pharmacy group; pending demerger of pharmacy distribution, Apollo 24/7 and telehealth into a new entity (Apoll</t>
        </is>
      </c>
      <c r="M235" s="11" t="inlineStr">
        <is>
          <t xml:space="preserve">[VERIFIED NEW W3] India market-growth story via Apollo 24/7 digital wellness content and Apollo Pharmacy consumer touchpoints rather than hospital-centric messaging; wait for demerger clarity before structuring a multi-year deal. | </t>
        </is>
      </c>
    </row>
    <row r="236">
      <c r="A236" s="11" t="n">
        <v>233</v>
      </c>
      <c r="B236" s="11" t="inlineStr">
        <is>
          <t>W3</t>
        </is>
      </c>
      <c r="C236" s="11" t="inlineStr">
        <is>
          <t>42 Health &amp; Wellness</t>
        </is>
      </c>
      <c r="D236" s="11" t="n">
        <v>52</v>
      </c>
      <c r="E236" s="11" t="inlineStr">
        <is>
          <t>Arrowhead Pharmaceuticals, Inc.</t>
        </is>
      </c>
      <c r="F236" s="11" t="inlineStr">
        <is>
          <t>arrowheadpharma.com</t>
        </is>
      </c>
      <c r="G236" s="11" t="n"/>
      <c r="H236" s="11" t="n"/>
      <c r="I236" s="11" t="n"/>
      <c r="J236" s="11" t="inlineStr">
        <is>
          <t>unknown</t>
        </is>
      </c>
      <c r="K236" s="11" t="inlineStr">
        <is>
          <t>verified-stretch</t>
        </is>
      </c>
      <c r="L236" s="11" t="inlineStr">
        <is>
          <t>FY2025 (ended Sept 30, 2025) revenue $829.45M, up from $3.55M prior year, driven substantially by a Novartis licensing/collaboration deal ($200M upfront) plus other partner milestones (Takeda, GSK); FY2026 Q1 net income $30.8M on the back of REDEMPLO</t>
        </is>
      </c>
      <c r="M236" s="11" t="inlineStr">
        <is>
          <t>[VERIFIED NEW W3] Precision RNAi science-meets-engineering narrative - frame around innovation velocity from lab discovery to first FDA-approved therapy, echoing F1's performance-engineering identity; content could spotlight R&amp;D/manufacturing precisi</t>
        </is>
      </c>
    </row>
    <row r="237">
      <c r="A237" s="11" t="n">
        <v>234</v>
      </c>
      <c r="B237" s="11" t="inlineStr">
        <is>
          <t>W4</t>
        </is>
      </c>
      <c r="C237" s="11" t="inlineStr">
        <is>
          <t>48 Telecom &amp; Space</t>
        </is>
      </c>
      <c r="D237" s="11" t="n">
        <v>52</v>
      </c>
      <c r="E237" s="11" t="inlineStr">
        <is>
          <t>BT Group plc</t>
        </is>
      </c>
      <c r="F237" s="11" t="inlineStr">
        <is>
          <t>bt.com</t>
        </is>
      </c>
      <c r="G237" s="11" t="inlineStr">
        <is>
          <t>London, United Kingdom</t>
        </is>
      </c>
      <c r="H237" s="11" t="inlineStr">
        <is>
          <t>Fixed broadband, mobile (EE), and enterprise/wholesale telecom (Openreach) to UK consumers and businesses</t>
        </is>
      </c>
      <c r="I237" s="11" t="inlineStr">
        <is>
          <t>~130,000 (Enterprise; falling under restructuring)</t>
        </is>
      </c>
      <c r="J237" s="11" t="inlineStr">
        <is>
          <t>10k+</t>
        </is>
      </c>
      <c r="K237" s="11" t="inlineStr">
        <is>
          <t>verified-stretch</t>
        </is>
      </c>
      <c r="L237" s="11" t="inlineStr">
        <is>
          <t>£20.8B, FY2024/25 (company annual report) | £20.75B market cap (~$27B) as of 20 Sep 2026 (London Stock Exchange) | flags: cost-cutting watch: ~55,000 net job cuts targeted by 2030; lapsed F1 tie could read as 'been there, didn't renew'</t>
        </is>
      </c>
      <c r="M237" s="11" t="inlineStr">
        <is>
          <t>[VERIFIED NEW W4] Revive the BT-Williams F1 precedent (2015-2018 connectivity/data partnership) as proof of category fit; pitch Openreach/EE 5G and network-reliability story rather than a straight brand sponsorship, sized to fit restructuring-constra</t>
        </is>
      </c>
    </row>
    <row r="238">
      <c r="A238" s="11" t="n">
        <v>235</v>
      </c>
      <c r="B238" s="11" t="inlineStr">
        <is>
          <t>W1</t>
        </is>
      </c>
      <c r="C238" s="11" t="inlineStr">
        <is>
          <t>53 Consumer &amp; Lifestyle</t>
        </is>
      </c>
      <c r="D238" s="11" t="n">
        <v>52</v>
      </c>
      <c r="E238" s="11" t="inlineStr">
        <is>
          <t>C&amp;A (COFRA Holding / Brenninkmeijer family)</t>
        </is>
      </c>
      <c r="F238" s="11" t="inlineStr">
        <is>
          <t>c-and-a.com</t>
        </is>
      </c>
      <c r="G238" s="11" t="inlineStr">
        <is>
          <t>Vilvoorde, Belgium / Düsseldorf, Germany (COFRA parent: Zug, Switzerland)</t>
        </is>
      </c>
      <c r="H238" s="11" t="inlineStr">
        <is>
          <t>Fast-fashion apparel retail (~1,250 stores Europe, ~330 Brazil)</t>
        </is>
      </c>
      <c r="I238" s="11" t="inlineStr">
        <is>
          <t>~28,000 (est.)</t>
        </is>
      </c>
      <c r="J238" s="11" t="inlineStr">
        <is>
          <t>10k+</t>
        </is>
      </c>
      <c r="K238" s="11" t="inlineStr">
        <is>
          <t>verified-stretch</t>
        </is>
      </c>
      <c r="L238" s="11" t="inlineStr">
        <is>
          <t xml:space="preserve">~€3B (est., carried from input); COFRA parent group estimated $5-10B (Owler) — C&amp;A-specific segment revenue not independently verified within search budget | Family-owned, none published; COFRA family empire estimated at ~$38-39B overall (Bloomberg, </t>
        </is>
      </c>
      <c r="M238" s="11" t="inlineStr">
        <is>
          <t xml:space="preserve">[VERIFIED NEW W1] If pursued, approach via COFRA corporate rather than the C&amp;A retail brand directly, and pair with a European race (Zandvoort/Spa) mass-fashion youth activation. | Passes on scale but fast-fashion value positioning is a looser brand </t>
        </is>
      </c>
    </row>
    <row r="239">
      <c r="A239" s="11" t="n">
        <v>236</v>
      </c>
      <c r="B239" s="11" t="inlineStr">
        <is>
          <t>W7</t>
        </is>
      </c>
      <c r="C239" s="11" t="inlineStr">
        <is>
          <t>02 Energy &amp; Industrial</t>
        </is>
      </c>
      <c r="D239" s="11" t="n">
        <v>52</v>
      </c>
      <c r="E239" s="11" t="inlineStr">
        <is>
          <t>Canadian Natural Resources</t>
        </is>
      </c>
      <c r="F239" s="11" t="inlineStr">
        <is>
          <t>cnrl.com</t>
        </is>
      </c>
      <c r="G239" s="11" t="inlineStr">
        <is>
          <t>Calgary, Alberta, Canada</t>
        </is>
      </c>
      <c r="H239" s="11" t="inlineStr">
        <is>
          <t>Crude oil (oil sands, heavy/light conventional), natural gas and NGLs to North American markets, plus international crud</t>
        </is>
      </c>
      <c r="I239" s="11" t="inlineStr">
        <is>
          <t>~10,500 (est.) - not independently re-verified this pass</t>
        </is>
      </c>
      <c r="J239" s="11" t="inlineStr">
        <is>
          <t>10k+</t>
        </is>
      </c>
      <c r="K239" s="11" t="inlineStr">
        <is>
          <t>verified-stretch</t>
        </is>
      </c>
      <c r="L239" s="11" t="inlineStr">
        <is>
          <t>CAD $44.17B FY2025 (SEC 40-F/6-K FY2025 filings); net income CAD $10.82B FY2025 | Wide range across 2026 readings: ~CAD $144.95B (Mar 27, 2026) vs. ~$106.01B USD (Aug 21, 2026) - genuinely mega-cap regardless of exact reading; flagged for date sensit</t>
        </is>
      </c>
      <c r="M239" s="11" t="inlineStr">
        <is>
          <t>[VERIFIED NEW W7] Corporate/paddock-club or Canadian GP regional sponsorship outside the fuel category, leveraging UK North Sea presence for a British GP tie-in. | Mega-cap scale and genuine multi-geography operations (Canada/US/UK/Africa) are the st</t>
        </is>
      </c>
    </row>
    <row r="240">
      <c r="A240" s="11" t="n">
        <v>237</v>
      </c>
      <c r="B240" s="11" t="inlineStr">
        <is>
          <t>W5</t>
        </is>
      </c>
      <c r="C240" s="11" t="inlineStr">
        <is>
          <t>47 Vertical SaaS</t>
        </is>
      </c>
      <c r="D240" s="11" t="n">
        <v>52</v>
      </c>
      <c r="E240" s="11" t="inlineStr">
        <is>
          <t>Cast &amp; Crew</t>
        </is>
      </c>
      <c r="F240" s="11" t="inlineStr">
        <is>
          <t>castandcrew.com</t>
        </is>
      </c>
      <c r="G240" s="11" t="inlineStr">
        <is>
          <t>Burbank, CA, USA</t>
        </is>
      </c>
      <c r="H240" s="11" t="inlineStr">
        <is>
          <t>Entertainment production payroll, accounting and workflow software for film/TV/streaming</t>
        </is>
      </c>
      <c r="I240" s="11" t="inlineStr">
        <is>
          <t>~3,000 (est.; range cited 1,000-5,000 across 75 locations)</t>
        </is>
      </c>
      <c r="J240" s="11" t="inlineStr">
        <is>
          <t>5k-10k</t>
        </is>
      </c>
      <c r="K240" s="11" t="inlineStr">
        <is>
          <t>verified-stretch</t>
        </is>
      </c>
      <c r="L240" s="11" t="inlineStr">
        <is>
          <t>~$700M-1B (est.); sources conflict sharply - a single ZoomInfo estimate shows only $160.7M (likely a single-entity/legacy figure, inconsistent with a multi-billion valuation at typical services-software multiples), so treat the higher band as more cr</t>
        </is>
      </c>
      <c r="M240" s="11" t="inlineStr">
        <is>
          <t>[VERIFIED NEW W5] Entertainment-industry crossover angle (F1 in scripted/doc content, e.g. Drive to Survive-style productions) rather than a classic brand-visibility sponsorship. | Likely clears revenue/valuation bars but is a low-visibility B2B back</t>
        </is>
      </c>
    </row>
    <row r="241">
      <c r="A241" s="11" t="n">
        <v>238</v>
      </c>
      <c r="B241" s="11" t="inlineStr">
        <is>
          <t>W8</t>
        </is>
      </c>
      <c r="C241" s="11" t="inlineStr">
        <is>
          <t>18 Services &amp; Other</t>
        </is>
      </c>
      <c r="D241" s="11" t="n">
        <v>52</v>
      </c>
      <c r="E241" s="11" t="inlineStr">
        <is>
          <t>Chemed Corporation</t>
        </is>
      </c>
      <c r="F241" s="11" t="inlineStr">
        <is>
          <t>chemed.com</t>
        </is>
      </c>
      <c r="G241" s="11" t="n"/>
      <c r="H241" s="11" t="inlineStr">
        <is>
          <t>Two-segment holding company: VITAS Healthcare (hospice/palliative care) and Roto-Rooter (plumbing/drain cleaning service</t>
        </is>
      </c>
      <c r="I241" s="11" t="n"/>
      <c r="J241" s="11" t="inlineStr">
        <is>
          <t>unknown</t>
        </is>
      </c>
      <c r="K241" s="11" t="inlineStr">
        <is>
          <t>verified-stretch</t>
        </is>
      </c>
      <c r="L241" s="11" t="inlineStr">
        <is>
          <t>~$2.5-2.6B FY2025 (est from quarterly run-rate; Q4 2025 revenue $639.3M; FY2024 was $2.43B) |  | flags: conglomerate-style structure: two unrelated segments (hospice care + home services) requires the pitch to isolate Roto-Rooter only, never VITAS; R</t>
        </is>
      </c>
      <c r="M241" s="11" t="inlineStr">
        <is>
          <t>[VERIFIED NEW W8] Pitch Roto-Rooter specifically (not Chemed or VITAS) as a trusted, ubiquitous American home-services brand - trades/blue-collar-hero positioning, not the luxury-consumer F1 audience, so likely a niche regional/digital activation rat</t>
        </is>
      </c>
    </row>
    <row r="242">
      <c r="A242" s="11" t="n">
        <v>239</v>
      </c>
      <c r="B242" s="11" t="inlineStr">
        <is>
          <t>W1</t>
        </is>
      </c>
      <c r="C242" s="11" t="inlineStr">
        <is>
          <t>29 Tech Media &amp; Gaming</t>
        </is>
      </c>
      <c r="D242" s="11" t="n">
        <v>52</v>
      </c>
      <c r="E242" s="11" t="inlineStr">
        <is>
          <t>Cinemark Holdings, Inc.</t>
        </is>
      </c>
      <c r="F242" s="11" t="inlineStr">
        <is>
          <t>cinemark.com</t>
        </is>
      </c>
      <c r="G242" s="11" t="inlineStr">
        <is>
          <t>Plano, Texas, United States</t>
        </is>
      </c>
      <c r="H242" s="11" t="inlineStr">
        <is>
          <t>Movie theater exhibition across the Americas</t>
        </is>
      </c>
      <c r="I242" s="11" t="inlineStr">
        <is>
          <t>10K-50K (~14,000)</t>
        </is>
      </c>
      <c r="J242" s="11" t="inlineStr">
        <is>
          <t>10k+</t>
        </is>
      </c>
      <c r="K242" s="11" t="inlineStr">
        <is>
          <t>verified-stretch</t>
        </is>
      </c>
      <c r="L242" s="11" t="inlineStr">
        <is>
          <t>Trailing 12-month revenue ~$3.22B as of Mar 31, 2026; record $1.02B Q2 2026 (first quarter ever above $1B), driven by premium formats and loyalty growth — source: stockanalysis.com/company Q2 2026 release | ~$3.74B market cap as of Jun 9, 2026 — stoc</t>
        </is>
      </c>
      <c r="M242" s="11" t="inlineStr">
        <is>
          <t xml:space="preserve">[VERIFIED NEW W1] Live race-day cinema screenings or premium-format promotional tie-ins building on the commercial success of the "F1" feature film, rather than team/series sponsorship. | Demonstrated appetite for motorsport-adjacent content (F1 the </t>
        </is>
      </c>
    </row>
    <row r="243">
      <c r="A243" s="11" t="n">
        <v>240</v>
      </c>
      <c r="B243" s="11" t="inlineStr">
        <is>
          <t>W12</t>
        </is>
      </c>
      <c r="C243" s="11" t="inlineStr">
        <is>
          <t>17 AI Cloud &amp; Data</t>
        </is>
      </c>
      <c r="D243" s="11" t="n">
        <v>52</v>
      </c>
      <c r="E243" s="11" t="inlineStr">
        <is>
          <t>Cipher Mining</t>
        </is>
      </c>
      <c r="F243" s="11" t="inlineStr">
        <is>
          <t>ciphermining.com</t>
        </is>
      </c>
      <c r="G243" s="11" t="n"/>
      <c r="H243" s="11" t="inlineStr">
        <is>
          <t>AI/HPC data center capacity and colocation hosting (pivoted from bitcoin mining), large power-secured sites leased to hy</t>
        </is>
      </c>
      <c r="I243" s="11" t="n"/>
      <c r="J243" s="11" t="inlineStr">
        <is>
          <t>unknown</t>
        </is>
      </c>
      <c r="K243" s="11" t="inlineStr">
        <is>
          <t>verified-stretch</t>
        </is>
      </c>
      <c r="L243" s="11" t="inlineStr">
        <is>
          <t>$223.94M FY2025 (confirmed, +48% YoY) - stockanalysis.com/macrotrends.net. Q1 2026 revenue dipped to $34.8M as bitcoin-mining revenue winds down ahead of HPC ramp. Separately, the company has signed $11.4B of long-term CONTRACTED (not yet recognized)</t>
        </is>
      </c>
      <c r="M243" s="11" t="inlineStr">
        <is>
          <t>[VERIFIED NEW W12] Position as an emerging AI-infrastructure brand-awareness play (rebranding moment as 'Cipher Digital' + hyperscaler contract wins is a natural news hook) rather than a large stable-budget sponsor; revisit sizing once 2026-27 HPC re</t>
        </is>
      </c>
    </row>
    <row r="244">
      <c r="A244" s="11" t="n">
        <v>241</v>
      </c>
      <c r="B244" s="11" t="inlineStr">
        <is>
          <t>W13</t>
        </is>
      </c>
      <c r="C244" s="11" t="inlineStr">
        <is>
          <t>Trading &amp; Crypto</t>
        </is>
      </c>
      <c r="D244" s="11" t="n">
        <v>52</v>
      </c>
      <c r="E244" s="11" t="inlineStr">
        <is>
          <t>CoinDCX</t>
        </is>
      </c>
      <c r="F244" s="11" t="inlineStr">
        <is>
          <t>coindcx.com</t>
        </is>
      </c>
      <c r="G244" s="11" t="inlineStr">
        <is>
          <t>Mumbai, India</t>
        </is>
      </c>
      <c r="H244" s="11" t="inlineStr">
        <is>
          <t>Cryptocurrency exchange and trading platform, India and UAE/MENA (via BitOasis acquisition)</t>
        </is>
      </c>
      <c r="I244" s="11" t="inlineStr">
        <is>
          <t>201-1k</t>
        </is>
      </c>
      <c r="J244" s="11" t="inlineStr">
        <is>
          <t>201-1k</t>
        </is>
      </c>
      <c r="K244" s="11" t="inlineStr">
        <is>
          <t>verified-stretch</t>
        </is>
      </c>
      <c r="L244" s="11" t="inlineStr">
        <is>
          <t>~$141M ARR as of June 2025 (getlatka.com); YoY growth rate not independently confirmed | $2.45B post-money, Oct 15, 2025 (Coinbase minority investment; TradingView/Coinbase blog) | flags: revenue figure is ARR, not confirmed audited FY/TTM revenue; g</t>
        </is>
      </c>
      <c r="M244" s="11" t="inlineStr">
        <is>
          <t>[VERIFIED NEW W13] India/MENA growth-market story - CoinDCX as the exchange of record for the world's fastest-growing crypto user base, offering F1 a foothold distinct from the Western crypto sponsors already on the grid. | Valuation and capacity-to-</t>
        </is>
      </c>
    </row>
    <row r="245">
      <c r="A245" s="11" t="n">
        <v>242</v>
      </c>
      <c r="B245" s="11" t="inlineStr">
        <is>
          <t>W1</t>
        </is>
      </c>
      <c r="C245" s="11" t="inlineStr">
        <is>
          <t>04 Food &amp; Beverage</t>
        </is>
      </c>
      <c r="D245" s="11" t="n">
        <v>52</v>
      </c>
      <c r="E245" s="11" t="inlineStr">
        <is>
          <t>Culver's</t>
        </is>
      </c>
      <c r="F245" s="11" t="inlineStr">
        <is>
          <t>culvers.com</t>
        </is>
      </c>
      <c r="G245" s="11" t="inlineStr">
        <is>
          <t>Prairie du Sac, Wisconsin, USA</t>
        </is>
      </c>
      <c r="H245" s="11" t="inlineStr">
        <is>
          <t>Quick-service burger/frozen custard chain, primarily US Midwest</t>
        </is>
      </c>
      <c r="I245" s="11" t="inlineStr">
        <is>
          <t>~40,000 (franchise system, est.)</t>
        </is>
      </c>
      <c r="J245" s="11" t="inlineStr">
        <is>
          <t>10k+</t>
        </is>
      </c>
      <c r="K245" s="11" t="inlineStr">
        <is>
          <t>verified-stretch</t>
        </is>
      </c>
      <c r="L245" s="11" t="inlineStr">
        <is>
          <t>~$4.1-4.3B systemwide sales est. (2025, derived from $4.142M AUV x 1,000+ restaurants); Culver's Franchising System corporate revenue $337.7M FY2025 | Family-owned, no published valuation (private)</t>
        </is>
      </c>
      <c r="M245" s="11" t="inlineStr">
        <is>
          <t>[VERIFIED NEW W1] Midwest regional fan activation or co-op marketing with a team's US fan-club program, sized to a smaller local/regional sponsorship tier rather than a marquee F1 deal. | Solid, stable brand but budget capacity and national (vs. Midw</t>
        </is>
      </c>
    </row>
    <row r="246">
      <c r="A246" s="11" t="n">
        <v>243</v>
      </c>
      <c r="B246" s="11" t="inlineStr">
        <is>
          <t>W1</t>
        </is>
      </c>
      <c r="C246" s="11" t="inlineStr">
        <is>
          <t>53 Consumer &amp; Lifestyle</t>
        </is>
      </c>
      <c r="D246" s="11" t="n">
        <v>52</v>
      </c>
      <c r="E246" s="11" t="inlineStr">
        <is>
          <t>Dabur India Limited</t>
        </is>
      </c>
      <c r="F246" s="11" t="inlineStr">
        <is>
          <t>dabur.com</t>
        </is>
      </c>
      <c r="G246" s="11" t="inlineStr">
        <is>
          <t>Ghaziabad, India</t>
        </is>
      </c>
      <c r="H246" s="11" t="inlineStr">
        <is>
          <t>Ayurvedic/health, personal-care (hair oil, oral care) and food (Real juices) products sold across India, MENA, and SEA</t>
        </is>
      </c>
      <c r="I246" s="11" t="inlineStr">
        <is>
          <t>5,000-10,000 (~7,500)</t>
        </is>
      </c>
      <c r="J246" s="11" t="inlineStr">
        <is>
          <t>10k+</t>
        </is>
      </c>
      <c r="K246" s="11" t="inlineStr">
        <is>
          <t>verified-stretch</t>
        </is>
      </c>
      <c r="L246" s="11" t="inlineStr">
        <is>
          <t>~INR 13,193 crore (~$1.37B at ~96 INR/USD) FY2025-26 (year ended March 2026), +5% YoY - source: scanx.trade/screener.in | ~INR 850B (range INR 770-909B across sources) ~$8.8B as of Aug 2026 - source: eulerpool.com/stockanalysis.com</t>
        </is>
      </c>
      <c r="M246" s="11" t="inlineStr">
        <is>
          <t xml:space="preserve">[VERIFIED NEW W1] MENA-market haircare/personal-care regional activation timed to the Bahrain or Abu Dhabi GP weekend. | Real MENA/SEA footprint overlapping F1 host markets and an open personal-care category, but the brand is mass-positioned with no </t>
        </is>
      </c>
    </row>
    <row r="247">
      <c r="A247" s="11" t="n">
        <v>244</v>
      </c>
      <c r="B247" s="11" t="inlineStr">
        <is>
          <t>W10</t>
        </is>
      </c>
      <c r="C247" s="11" t="inlineStr">
        <is>
          <t>24 Logistics</t>
        </is>
      </c>
      <c r="D247" s="11" t="n">
        <v>52</v>
      </c>
      <c r="E247" s="11" t="inlineStr">
        <is>
          <t>Dachser</t>
        </is>
      </c>
      <c r="F247" s="11" t="inlineStr">
        <is>
          <t>dachser.com</t>
        </is>
      </c>
      <c r="G247" s="11" t="inlineStr">
        <is>
          <t>Germany</t>
        </is>
      </c>
      <c r="H247" s="11" t="inlineStr">
        <is>
          <t>Road freight, air/sea freight forwarding, contract logistics</t>
        </is>
      </c>
      <c r="I247" s="11" t="inlineStr">
        <is>
          <t>~37,500 (updated from ~34,000 in input)</t>
        </is>
      </c>
      <c r="J247" s="11" t="inlineStr">
        <is>
          <t>10k+</t>
        </is>
      </c>
      <c r="K247" s="11" t="inlineStr">
        <is>
          <t>verified-stretch</t>
        </is>
      </c>
      <c r="L247" s="11" t="inlineStr">
        <is>
          <t>~EUR 8.3B (2025, record year, +3.1% YoY) - confirmed and updated from input's EUR 8.0B (2024) figure | N/A (private, family-owned); revenue well over $100M so family-ownership pass applies per policy, flagged for no public valuation | flags: Air &amp; Se</t>
        </is>
      </c>
      <c r="M247" s="11" t="inlineStr">
        <is>
          <t xml:space="preserve">[VERIFIED NEW W10] Team-level European road-freight/contract-logistics partner for team factory operations (regional, avoiding DHL's series category) | Financially sound, family-run European logistics leader, but B2B-only brand with zero sponsorship </t>
        </is>
      </c>
    </row>
    <row r="248">
      <c r="A248" s="11" t="n">
        <v>245</v>
      </c>
      <c r="B248" s="11" t="inlineStr">
        <is>
          <t>W1</t>
        </is>
      </c>
      <c r="C248" s="11" t="inlineStr">
        <is>
          <t>04 Food &amp; Beverage</t>
        </is>
      </c>
      <c r="D248" s="11" t="n">
        <v>52</v>
      </c>
      <c r="E248" s="11" t="inlineStr">
        <is>
          <t>Dallmayr</t>
        </is>
      </c>
      <c r="F248" s="11" t="inlineStr">
        <is>
          <t>dallmayr.com</t>
        </is>
      </c>
      <c r="G248" s="11" t="inlineStr">
        <is>
          <t>Munich, Germany</t>
        </is>
      </c>
      <c r="H248" s="11" t="inlineStr">
        <is>
          <t>coffee, tea, delicatessen, foodservice/vending</t>
        </is>
      </c>
      <c r="I248" s="11" t="inlineStr">
        <is>
          <t>~4,800-8,000 (group, est.; sources vary)</t>
        </is>
      </c>
      <c r="J248" s="11" t="inlineStr">
        <is>
          <t>5k-10k</t>
        </is>
      </c>
      <c r="K248" s="11" t="inlineStr">
        <is>
          <t>verified-stretch</t>
        </is>
      </c>
      <c r="L248" s="11" t="inlineStr">
        <is>
          <t xml:space="preserve">€1.2B (2025, reported in context of Lavazza merger talks - Trademagazin); operates in 50+ countries, 121,000+ vending machines | family-owned, none published | flags: reported to be in merger talks with Lavazza (Italy) - ownership/independence could </t>
        </is>
      </c>
      <c r="M248" s="11" t="inlineStr">
        <is>
          <t>[VERIFIED NEW W1] Premium hospitality coffee partner for F1 paddock club / VIP hospitality suites, leveraging affluent-buyer fit. | Premium/affluent positioning is a plus, but limited global consumer-brand footprint and pending M&amp;A uncertainty (Lavaz</t>
        </is>
      </c>
    </row>
    <row r="249">
      <c r="A249" s="11" t="n">
        <v>246</v>
      </c>
      <c r="B249" s="11" t="inlineStr">
        <is>
          <t>W1</t>
        </is>
      </c>
      <c r="C249" s="11" t="inlineStr">
        <is>
          <t>04 Food &amp; Beverage</t>
        </is>
      </c>
      <c r="D249" s="11" t="n">
        <v>52</v>
      </c>
      <c r="E249" s="11" t="inlineStr">
        <is>
          <t>Dr. Oetker</t>
        </is>
      </c>
      <c r="F249" s="11" t="inlineStr">
        <is>
          <t>oetker.com</t>
        </is>
      </c>
      <c r="G249" s="11" t="inlineStr">
        <is>
          <t>Bielefeld, Germany</t>
        </is>
      </c>
      <c r="H249" s="11" t="inlineStr">
        <is>
          <t>baking mixes, frozen pizza, desserts, puddings</t>
        </is>
      </c>
      <c r="I249" s="11" t="inlineStr">
        <is>
          <t>~35,000 (Oetker Group)</t>
        </is>
      </c>
      <c r="J249" s="11" t="inlineStr">
        <is>
          <t>10k+</t>
        </is>
      </c>
      <c r="K249" s="11" t="inlineStr">
        <is>
          <t>verified-stretch</t>
        </is>
      </c>
      <c r="L249" s="11" t="inlineStr">
        <is>
          <t>Oetker Group sales €7.1B (FY2025, company press release, oetker.com); food division (incl. Coppenrath &amp; Wiese) €4.3B FY2025/FY2024 flat | family-owned, none published | flags: Oetker family also owns Oetker Collection (luxury hospitality) - avoid dup</t>
        </is>
      </c>
      <c r="M249" s="11" t="inlineStr">
        <is>
          <t>[VERIFIED NEW W1] Family-legacy/craftsmanship storytelling + hospitality crossover via Oetker Collection for paddock/VIP experiential activation. | Financially strong and stable but brand story (baking mixes, frozen pizza) has weak natural tie to per</t>
        </is>
      </c>
    </row>
    <row r="250">
      <c r="A250" s="11" t="n">
        <v>247</v>
      </c>
      <c r="B250" s="11" t="inlineStr">
        <is>
          <t>W13</t>
        </is>
      </c>
      <c r="C250" s="11" t="inlineStr">
        <is>
          <t>Gulf Sovereign &amp; Tourism</t>
        </is>
      </c>
      <c r="D250" s="11" t="n">
        <v>52</v>
      </c>
      <c r="E250" s="11" t="inlineStr">
        <is>
          <t>Dubai Investments PJSC</t>
        </is>
      </c>
      <c r="F250" s="11" t="inlineStr">
        <is>
          <t>dubaiinvestments.com</t>
        </is>
      </c>
      <c r="G250" s="11" t="inlineStr">
        <is>
          <t>Dubai, UAE</t>
        </is>
      </c>
      <c r="H250" s="11" t="inlineStr">
        <is>
          <t>Diversified investment holding - real estate, industrial manufacturing, financial investments - across Gulf subsidiaries</t>
        </is>
      </c>
      <c r="I250" s="11" t="inlineStr">
        <is>
          <t>1k-5k (~5,000, est, across subsidiaries)</t>
        </is>
      </c>
      <c r="J250" s="11" t="inlineStr">
        <is>
          <t>~5,000, est, across subsidiaries</t>
        </is>
      </c>
      <c r="K250" s="11" t="inlineStr">
        <is>
          <t>verified-stretch</t>
        </is>
      </c>
      <c r="L250" s="11" t="inlineStr">
        <is>
          <t>~$729M annual revenue as of Feb 2026 reporting; AED 1.5B net profit in 2025 (confirmed via WebSearch, Sep 2026) | ~AED 7B / $1.9B market cap, DFM-listed (est, not independently reconfirmed with a current 2026 figure) | flags: diversified holding stru</t>
        </is>
      </c>
      <c r="M250" s="11" t="inlineStr">
        <is>
          <t>[VERIFIED NEW W13] Industrial/real-estate diversification story tied to UAE's non-oil private-investment growth narrative; open 'diversified holding' category, though brand focus would need sharpening. | Hard filters pass (revenue, valuation, headcou</t>
        </is>
      </c>
    </row>
    <row r="251">
      <c r="A251" s="11" t="n">
        <v>248</v>
      </c>
      <c r="B251" s="11" t="inlineStr">
        <is>
          <t>W10</t>
        </is>
      </c>
      <c r="C251" s="11" t="inlineStr">
        <is>
          <t>24 Logistics</t>
        </is>
      </c>
      <c r="D251" s="11" t="n">
        <v>52</v>
      </c>
      <c r="E251" s="11" t="inlineStr">
        <is>
          <t>Ekol Logistics</t>
        </is>
      </c>
      <c r="F251" s="11" t="inlineStr">
        <is>
          <t>ekol.com</t>
        </is>
      </c>
      <c r="G251" s="11" t="n"/>
      <c r="H251" s="11" t="n"/>
      <c r="I251" s="11" t="n"/>
      <c r="J251" s="11" t="inlineStr">
        <is>
          <t>unknown</t>
        </is>
      </c>
      <c r="K251" s="11" t="inlineStr">
        <is>
          <t>verified-stretch</t>
        </is>
      </c>
      <c r="L251" s="11" t="inlineStr">
        <is>
          <t>USD 755.6M (2025 actual, post-divestment) |  | flags: Sold its international Turkey-Europe transport network to DFDS in Nov 2024 for USD 277M - the remaining business is more domestic/regional-Turkey focused, narrowing the pan-European growth story o</t>
        </is>
      </c>
      <c r="M251" s="11" t="inlineStr">
        <is>
          <t xml:space="preserve">[VERIFIED NEW W10] Turkey-domestic activation narrative built around its automotive-sector client base (34% of revenue), best timed if Istanbul Park returns to the calendar or via Turkish fan-base engagement. | </t>
        </is>
      </c>
    </row>
    <row r="252">
      <c r="A252" s="11" t="n">
        <v>249</v>
      </c>
      <c r="B252" s="11" t="inlineStr">
        <is>
          <t>W13</t>
        </is>
      </c>
      <c r="C252" s="11" t="inlineStr">
        <is>
          <t>09 Fintech</t>
        </is>
      </c>
      <c r="D252" s="11" t="n">
        <v>52</v>
      </c>
      <c r="E252" s="11" t="inlineStr">
        <is>
          <t>Fawry</t>
        </is>
      </c>
      <c r="F252" s="11" t="inlineStr">
        <is>
          <t>fawry.com</t>
        </is>
      </c>
      <c r="G252" s="11" t="inlineStr">
        <is>
          <t>Cairo, Egypt</t>
        </is>
      </c>
      <c r="H252" s="11" t="inlineStr">
        <is>
          <t>Digital payments and e-finance platform for Egyptian consumers and merchants</t>
        </is>
      </c>
      <c r="I252" s="11" t="inlineStr">
        <is>
          <t>1k-5k</t>
        </is>
      </c>
      <c r="J252" s="11" t="inlineStr">
        <is>
          <t>1k-5k</t>
        </is>
      </c>
      <c r="K252" s="11" t="inlineStr">
        <is>
          <t>verified-stretch</t>
        </is>
      </c>
      <c r="L252" s="11" t="inlineStr">
        <is>
          <t>EGP 8.65B (2025), +57% YoY (from EGP 5.51B) ~ $175-180M USD equiv. - source: stockanalysis.com/company filings | EGP 66.26B market cap as of Sept 2026 (~$1.3-1.4B USD at ~EGP48-50/USD); note the market cap was as low as EGP 49.74B (~$1.0B) as recentl</t>
        </is>
      </c>
      <c r="M252" s="11" t="inlineStr">
        <is>
          <t>[VERIFIED NEW W13] A MENA digital-payments growth story timed to the region's F1 races (Bahrain, Saudi Arabia, Qatar, Abu Dhabi GPs), positioning Fawry as the infrastructure behind Egypt's cashless-economy shift, into an open MENA fintech sponsorship</t>
        </is>
      </c>
    </row>
    <row r="253">
      <c r="A253" s="11" t="n">
        <v>250</v>
      </c>
      <c r="B253" s="11" t="inlineStr">
        <is>
          <t>W2</t>
        </is>
      </c>
      <c r="C253" s="11" t="inlineStr">
        <is>
          <t>01 Banking &amp; Insurance</t>
        </is>
      </c>
      <c r="D253" s="11" t="n">
        <v>52</v>
      </c>
      <c r="E253" s="11" t="inlineStr">
        <is>
          <t>Federated Hermes, Inc.</t>
        </is>
      </c>
      <c r="F253" s="11" t="n"/>
      <c r="G253" s="11" t="inlineStr">
        <is>
          <t>Pittsburgh, PA, USA</t>
        </is>
      </c>
      <c r="H253" s="11" t="inlineStr">
        <is>
          <t>Money-market and active asset management for institutional and retail clients</t>
        </is>
      </c>
      <c r="I253" s="11" t="inlineStr">
        <is>
          <t>1,000–5,000</t>
        </is>
      </c>
      <c r="J253" s="11" t="inlineStr">
        <is>
          <t>5k-10k</t>
        </is>
      </c>
      <c r="K253" s="11" t="inlineStr">
        <is>
          <t>verified-stretch</t>
        </is>
      </c>
      <c r="L253" s="11" t="inlineStr">
        <is>
          <t>$1.80B FY2025 (up 10.3% YoY, driven by higher money-market/equity AUM), per FY2025 earnings release/10-K (SEC) | $4.45B market cap as of 11 Sep 2026 (MacroTrends/stockanalysis.com) | flags: Name collision: exclusion-list 'Hermes' entries likely refer</t>
        </is>
      </c>
      <c r="M253" s="11" t="inlineStr">
        <is>
          <t>[VERIFIED NEW W2] Position around stewardship/responsible-investing (Hermes EOS) narrative tied to F1's sustainability push — likely a smaller regional/team-level activation rather than a series-level deal. | Real, profitable, ownership-clean target,</t>
        </is>
      </c>
    </row>
    <row r="254">
      <c r="A254" s="11" t="n">
        <v>251</v>
      </c>
      <c r="B254" s="11" t="inlineStr">
        <is>
          <t>W8</t>
        </is>
      </c>
      <c r="C254" s="11" t="inlineStr">
        <is>
          <t>29 Tech Media &amp; Gaming</t>
        </is>
      </c>
      <c r="D254" s="11" t="n">
        <v>52</v>
      </c>
      <c r="E254" s="11" t="inlineStr">
        <is>
          <t>GDS Holdings Limited</t>
        </is>
      </c>
      <c r="F254" s="11" t="inlineStr">
        <is>
          <t>gds-services.com</t>
        </is>
      </c>
      <c r="G254" s="11" t="n"/>
      <c r="H254" s="11" t="inlineStr">
        <is>
          <t>Data center colocation and cloud infrastructure real estate services</t>
        </is>
      </c>
      <c r="I254" s="11" t="n"/>
      <c r="J254" s="11" t="inlineStr">
        <is>
          <t>unknown</t>
        </is>
      </c>
      <c r="K254" s="11" t="inlineStr">
        <is>
          <t>verified-stretch</t>
        </is>
      </c>
      <c r="L254" s="11" t="inlineStr">
        <is>
          <t xml:space="preserve"> | ~$6.4-6.9B market cap (verified Sep 2026, NASDAQ:GDS; $6.38B as of Sep 8, 2026 per stockanalysis.com, down from $8.58B in Mar 2026) | flags: Historically loss-making through 2023-2024 due to heavy capex/leverage; only returned to sustained profita</t>
        </is>
      </c>
      <c r="M254" s="11" t="inlineStr">
        <is>
          <t xml:space="preserve">[VERIFIED NEW W8] AI/cloud infrastructure and data-center capacity growth story for F1's data-heavy team/broadcast tech narrative - best pursued after counterparty risk review clears, or via APAC race activation angle (Chinese GP) rather than global </t>
        </is>
      </c>
    </row>
    <row r="255">
      <c r="A255" s="11" t="n">
        <v>252</v>
      </c>
      <c r="B255" s="11" t="inlineStr">
        <is>
          <t>W6</t>
        </is>
      </c>
      <c r="C255" s="11" t="inlineStr">
        <is>
          <t>43 Mobility &amp; Automotive</t>
        </is>
      </c>
      <c r="D255" s="11" t="n">
        <v>52</v>
      </c>
      <c r="E255" s="11" t="inlineStr">
        <is>
          <t>Gentex Corporation</t>
        </is>
      </c>
      <c r="F255" s="11" t="inlineStr">
        <is>
          <t>gentex.com</t>
        </is>
      </c>
      <c r="G255" s="11" t="inlineStr">
        <is>
          <t>Zeeland, Michigan, USA</t>
        </is>
      </c>
      <c r="H255" s="11" t="inlineStr">
        <is>
          <t>Auto-dimming mirrors, camera/electronics modules for vehicle OEMs</t>
        </is>
      </c>
      <c r="I255" s="11" t="inlineStr">
        <is>
          <t>~8,000 (pre-VOXX; expanded following the April 2025 VOXX acquisition)</t>
        </is>
      </c>
      <c r="J255" s="11" t="inlineStr">
        <is>
          <t>5k-10k</t>
        </is>
      </c>
      <c r="K255" s="11" t="inlineStr">
        <is>
          <t>verified-stretch</t>
        </is>
      </c>
      <c r="L255" s="11" t="inlineStr">
        <is>
          <t>$2.53B consolidated CY2025 (incl. VOXX); core Gentex revenue $2.27B, -2% YoY on tariff/China-export headwinds (company results) | ~$4.95B market cap as of 16 Sep 2026 (stockanalysis.com) - down materially from the input's $7B estimate | flags: core (</t>
        </is>
      </c>
      <c r="M255" s="11" t="inlineStr">
        <is>
          <t>[VERIFIED NEW W6] If pursued, frame around camera/driver-monitoring electronics (ties to F1 driver-vision and safety-camera systems), but wait for VOXX integration and the organic revenue trend to stabilize before a full pitch. | No F1 conflict and n</t>
        </is>
      </c>
    </row>
    <row r="256">
      <c r="A256" s="11" t="n">
        <v>253</v>
      </c>
      <c r="B256" s="11" t="inlineStr">
        <is>
          <t>W13</t>
        </is>
      </c>
      <c r="C256" s="11" t="inlineStr">
        <is>
          <t>09 Fintech</t>
        </is>
      </c>
      <c r="D256" s="11" t="n">
        <v>52</v>
      </c>
      <c r="E256" s="11" t="inlineStr">
        <is>
          <t>Globe Fintech Innovations (GCash / Mynt)</t>
        </is>
      </c>
      <c r="F256" s="11" t="inlineStr">
        <is>
          <t>gcash.com</t>
        </is>
      </c>
      <c r="G256" s="11" t="inlineStr">
        <is>
          <t>Manila, Philippines</t>
        </is>
      </c>
      <c r="H256" s="11" t="inlineStr">
        <is>
          <t>Mobile wallet, digital payments, and financial services super-app for Philippine consumers/merchants</t>
        </is>
      </c>
      <c r="I256" s="11" t="inlineStr">
        <is>
          <t>1k-5k</t>
        </is>
      </c>
      <c r="J256" s="11" t="inlineStr">
        <is>
          <t>1k-5k</t>
        </is>
      </c>
      <c r="K256" s="11" t="inlineStr">
        <is>
          <t>verified-stretch</t>
        </is>
      </c>
      <c r="L256" s="11" t="inlineStr">
        <is>
          <t>Highly variable estimates: ~$1.4B (Oct 2025 est.) vs. other estimates of $100-200M/yr; Globe's equity-earnings share from Mynt grew 64% YoY (PHP3.8B to PHP6.1B) in 2025 - sources: Caproasia, Bloomberg (Aug 2025), insiderph.com - figure genuinely unce</t>
        </is>
      </c>
      <c r="M256" s="11" t="inlineStr">
        <is>
          <t>[VERIFIED NEW W13] A Southeast Asia financial-inclusion growth story timed to the Singapore Grand Prix's regional reach, positioning GCash as the super-app powering millions of underbanked consumers, into an open digital-wallet sponsorship slot. | Ha</t>
        </is>
      </c>
    </row>
    <row r="257">
      <c r="A257" s="11" t="n">
        <v>254</v>
      </c>
      <c r="B257" s="11" t="inlineStr">
        <is>
          <t>W1</t>
        </is>
      </c>
      <c r="C257" s="11" t="inlineStr">
        <is>
          <t>49 Home &amp; Living</t>
        </is>
      </c>
      <c r="D257" s="11" t="n">
        <v>52</v>
      </c>
      <c r="E257" s="11" t="inlineStr">
        <is>
          <t>Godrej Consumer Products Limited</t>
        </is>
      </c>
      <c r="F257" s="11" t="inlineStr">
        <is>
          <t>godrejcp.com</t>
        </is>
      </c>
      <c r="G257" s="11" t="inlineStr">
        <is>
          <t>Mumbai, India</t>
        </is>
      </c>
      <c r="H257" s="11" t="inlineStr">
        <is>
          <t>Household insecticides (Good Knight, HIT) and personal-care products sold across India, Africa, Indonesia, and LatAm</t>
        </is>
      </c>
      <c r="I257" s="11" t="inlineStr">
        <is>
          <t>5,000-10,000 (~7,000)</t>
        </is>
      </c>
      <c r="J257" s="11" t="inlineStr">
        <is>
          <t>10k+</t>
        </is>
      </c>
      <c r="K257" s="11" t="inlineStr">
        <is>
          <t>verified-stretch</t>
        </is>
      </c>
      <c r="L257" s="11" t="inlineStr">
        <is>
          <t>~INR 15,178 crore (~$1.58B) FY2025-26 (year ended March 2026) - source: investorfeed.in | ~INR 1.0-1.1 trillion (~$10.9B, range INR 88,187-109,579 Cr across sources) as of mid-2026 - source: screener.in/tijorifinance.com</t>
        </is>
      </c>
      <c r="M257" s="11" t="inlineStr">
        <is>
          <t>[VERIFIED NEW W1] Africa/LatAm growth-market household-care fan engagement, positioned as a brand-awareness play rather than a performance story. | Genuinely broad emerging-market footprint and an unclaimed household-care category, but an insecticide</t>
        </is>
      </c>
    </row>
    <row r="258">
      <c r="A258" s="11" t="n">
        <v>255</v>
      </c>
      <c r="B258" s="11" t="inlineStr">
        <is>
          <t>W1</t>
        </is>
      </c>
      <c r="C258" s="11" t="inlineStr">
        <is>
          <t>04 Food &amp; Beverage</t>
        </is>
      </c>
      <c r="D258" s="11" t="n">
        <v>52</v>
      </c>
      <c r="E258" s="11" t="inlineStr">
        <is>
          <t>Gruma, S.A.B. de C.V.</t>
        </is>
      </c>
      <c r="F258" s="11" t="inlineStr">
        <is>
          <t>gruma.com</t>
        </is>
      </c>
      <c r="G258" s="11" t="inlineStr">
        <is>
          <t>San Pedro Garza García, Mexico</t>
        </is>
      </c>
      <c r="H258" s="11" t="inlineStr">
        <is>
          <t>Corn flour and tortillas (Mission, Maseca) sold across the Americas and Europe</t>
        </is>
      </c>
      <c r="I258" s="11" t="inlineStr">
        <is>
          <t>10,000-50,000 (~21,000)</t>
        </is>
      </c>
      <c r="J258" s="11" t="inlineStr">
        <is>
          <t>10k+</t>
        </is>
      </c>
      <c r="K258" s="11" t="inlineStr">
        <is>
          <t>verified-stretch</t>
        </is>
      </c>
      <c r="L258" s="11" t="inlineStr">
        <is>
          <t>~$6.5-6.8B TTM through mid-2026 (above the input's ~$5.7B estimate) - source: alphaspread.com/tipranks.com | ~$4.9B market cap as of Aug 2026 - source: multiples.vc/tipranks.com</t>
        </is>
      </c>
      <c r="M258" s="11" t="inlineStr">
        <is>
          <t>[VERIFIED NEW W1] Mission-brand fan-zone activation tied to the Mexico City GP (home market) and/or the Austin (US) GP, leaning on local-hero brand recognition rather than a global performance narrative. | Real multi-market presence and an open stapl</t>
        </is>
      </c>
    </row>
    <row r="259">
      <c r="A259" s="11" t="n">
        <v>256</v>
      </c>
      <c r="B259" s="11" t="inlineStr">
        <is>
          <t>W1</t>
        </is>
      </c>
      <c r="C259" s="11" t="inlineStr">
        <is>
          <t>04 Food &amp; Beverage</t>
        </is>
      </c>
      <c r="D259" s="11" t="n">
        <v>52</v>
      </c>
      <c r="E259" s="11" t="inlineStr">
        <is>
          <t>Haidilao International Holding Ltd. / Super Hi International Holding Ltd.</t>
        </is>
      </c>
      <c r="F259" s="11" t="n"/>
      <c r="G259" s="11" t="inlineStr">
        <is>
          <t>China (Haidilao, HKEX: 6862) / Singapore (Super Hi, Nasdaq: HDL, international spin-off)</t>
        </is>
      </c>
      <c r="H259" s="11" t="inlineStr">
        <is>
          <t xml:space="preserve">Hot pot restaurant chain dine-in F&amp;B; Haidilao operates mainland China restaurants, Super Hi runs the international arm </t>
        </is>
      </c>
      <c r="I259" s="11" t="inlineStr">
        <is>
          <t>~120,000 employees (input est., combined group)</t>
        </is>
      </c>
      <c r="J259" s="11" t="inlineStr">
        <is>
          <t>10k+</t>
        </is>
      </c>
      <c r="K259" s="11" t="inlineStr">
        <is>
          <t>verified-stretch</t>
        </is>
      </c>
      <c r="L259" s="11" t="inlineStr">
        <is>
          <t>Combined est. ~US$6.5-7.0B: Haidilao domestic FY2024 RMB 42.75B (~US$5.9B, +3.1% YoY — FY2025 domestic figure not yet fully published as of search) + Super Hi FY2025 US$840.8M (+8% YoY, confirmed). Domestic FY2025 figure is (est.) - search budget | H</t>
        </is>
      </c>
      <c r="M259" s="11" t="inlineStr">
        <is>
          <t>[VERIFIED NEW W1] Shanghai GP hospitality/fan-dining activation for Super Hi's international expansion story, positioning Haidilao's communal dining culture as a fan-zone experience rather than a car-livery sponsorship. | Strong financial scale and p</t>
        </is>
      </c>
    </row>
    <row r="260">
      <c r="A260" s="11" t="n">
        <v>257</v>
      </c>
      <c r="B260" s="11" t="inlineStr">
        <is>
          <t>W6</t>
        </is>
      </c>
      <c r="C260" s="11" t="inlineStr">
        <is>
          <t>33 Automation &amp; Robotics</t>
        </is>
      </c>
      <c r="D260" s="11" t="n">
        <v>52</v>
      </c>
      <c r="E260" s="11" t="inlineStr">
        <is>
          <t>Haier Smart Home Co Ltd</t>
        </is>
      </c>
      <c r="F260" s="11" t="inlineStr">
        <is>
          <t>haier.com</t>
        </is>
      </c>
      <c r="G260" s="11" t="inlineStr">
        <is>
          <t>Qingdao, China</t>
        </is>
      </c>
      <c r="H260" s="11" t="inlineStr">
        <is>
          <t>Home appliances and smart-home/industrial IoT solutions (Haier, GE Appliances, Candy brands)</t>
        </is>
      </c>
      <c r="I260" s="11" t="inlineStr">
        <is>
          <t>~100,000+</t>
        </is>
      </c>
      <c r="J260" s="11" t="inlineStr">
        <is>
          <t>10k+</t>
        </is>
      </c>
      <c r="K260" s="11" t="inlineStr">
        <is>
          <t>verified-stretch</t>
        </is>
      </c>
      <c r="L260" s="11" t="inlineStr">
        <is>
          <t>FY2025 revenue RMB 302.35B (~$42.1B), +5.71% YoY (source: Haier Smart Home FY2025 annual report, marketscreener.com/stockanalysis.com) | ~$26B market cap (most recent verified figure Jun 2026, companiesmarketcap.com; no more current Sep 2026 figure f</t>
        </is>
      </c>
      <c r="M260" s="11" t="inlineStr">
        <is>
          <t>[VERIFIED NEW W6] Revive the Candy/Haier motorsport heritage narrative (1979 Tyrrell sponsorship) to position GE Appliances/Candy as a premium global home-tech brand building Western consumer visibility. | Mega-brand global appliance revenue with a g</t>
        </is>
      </c>
    </row>
    <row r="261">
      <c r="A261" s="11" t="n">
        <v>258</v>
      </c>
      <c r="B261" s="11" t="inlineStr">
        <is>
          <t>W8</t>
        </is>
      </c>
      <c r="C261" s="11" t="inlineStr">
        <is>
          <t>29 Tech Media &amp; Gaming</t>
        </is>
      </c>
      <c r="D261" s="11" t="n">
        <v>52</v>
      </c>
      <c r="E261" s="11" t="inlineStr">
        <is>
          <t>Hakuhodo DY Holdings Inc</t>
        </is>
      </c>
      <c r="F261" s="11" t="inlineStr">
        <is>
          <t>hakuhodody-holdings.co.jp</t>
        </is>
      </c>
      <c r="G261" s="11" t="n"/>
      <c r="H261" s="11" t="inlineStr">
        <is>
          <t>Advertising, marketing and media agency holding group (Hakuhodo, Daiko)</t>
        </is>
      </c>
      <c r="I261" s="11" t="n"/>
      <c r="J261" s="11" t="inlineStr">
        <is>
          <t>unknown</t>
        </is>
      </c>
      <c r="K261" s="11" t="inlineStr">
        <is>
          <t>verified-stretch</t>
        </is>
      </c>
      <c r="L261" s="11" t="inlineStr">
        <is>
          <t xml:space="preserve"> | ~JPY427-428B (~$2.7-2.9B) market cap (verified Sep 8-18, 2026, TSE:2433; USDJPY ~154-157) - below original JPY500-650B (~$3.3-4.3B) estimate due to JPY weakness/share price decline | flags: Market cap verified lower than estimate (~$2.7-2.9B vs. o</t>
        </is>
      </c>
      <c r="M261" s="11" t="inlineStr">
        <is>
          <t>[VERIFIED NEW W8] Japan/APAC marketing-agency partner angle for F1's Japanese GP (Suzuka) activation and broader APAC fan-growth campaigns - best pitched as a regional/agency-of-record partnership rather than a marquee global sponsorship given soften</t>
        </is>
      </c>
    </row>
    <row r="262">
      <c r="A262" s="11" t="n">
        <v>259</v>
      </c>
      <c r="B262" s="11" t="inlineStr">
        <is>
          <t>W1</t>
        </is>
      </c>
      <c r="C262" s="11" t="inlineStr">
        <is>
          <t>04 Food &amp; Beverage</t>
        </is>
      </c>
      <c r="D262" s="11" t="n">
        <v>52</v>
      </c>
      <c r="E262" s="11" t="inlineStr">
        <is>
          <t>Haribo</t>
        </is>
      </c>
      <c r="F262" s="11" t="inlineStr">
        <is>
          <t>haribo.com</t>
        </is>
      </c>
      <c r="G262" s="11" t="inlineStr">
        <is>
          <t>Bonn/Grafschaft, Germany</t>
        </is>
      </c>
      <c r="H262" s="11" t="inlineStr">
        <is>
          <t>gummy/confectionery candy</t>
        </is>
      </c>
      <c r="I262" s="11" t="inlineStr">
        <is>
          <t>~7,000 (est.)</t>
        </is>
      </c>
      <c r="J262" s="11" t="inlineStr">
        <is>
          <t>5k-10k</t>
        </is>
      </c>
      <c r="K262" s="11" t="inlineStr">
        <is>
          <t>verified-stretch</t>
        </is>
      </c>
      <c r="L262" s="11" t="inlineStr">
        <is>
          <t>~$2.9B global (est., multiple trade sources); UK&amp;I unit alone £291.5M FY2024 (up 7.7% YoY, The Grocer) | family-owned, none published | flags: estimates - private company, no audited consolidated figures found</t>
        </is>
      </c>
      <c r="M262" s="11" t="inlineStr">
        <is>
          <t>[VERIFIED NEW W1] Fan-engagement/kids-and-family trackside activation, playful brand mascot tie-ins at races. | Strong global brand recognition and fan-engagement fit, but demographic (kids/families) misaligned with F1's affluent/senior skew.</t>
        </is>
      </c>
    </row>
    <row r="263">
      <c r="A263" s="11" t="n">
        <v>260</v>
      </c>
      <c r="B263" s="11" t="inlineStr">
        <is>
          <t>W7</t>
        </is>
      </c>
      <c r="C263" s="11" t="inlineStr">
        <is>
          <t>02 Energy &amp; Industrial</t>
        </is>
      </c>
      <c r="D263" s="11" t="n">
        <v>52</v>
      </c>
      <c r="E263" s="11" t="inlineStr">
        <is>
          <t>Helmerich &amp; Payne</t>
        </is>
      </c>
      <c r="F263" s="11" t="inlineStr">
        <is>
          <t>helmerichpayne.com</t>
        </is>
      </c>
      <c r="G263" s="11" t="n"/>
      <c r="H263" s="11" t="inlineStr">
        <is>
          <t>Land drilling rigs and rig-technology services to US and international E&amp;Ps</t>
        </is>
      </c>
      <c r="I263" s="11" t="n"/>
      <c r="J263" s="11" t="inlineStr">
        <is>
          <t>unknown</t>
        </is>
      </c>
      <c r="K263" s="11" t="inlineStr">
        <is>
          <t>verified-stretch</t>
        </is>
      </c>
      <c r="L263" s="11" t="inlineStr">
        <is>
          <t>TTM ~$4.08B as of May 2026 (up sharply from FY2024's $2.75B, likely reflecting acquisition-driven scale-up); FY2025 Q4 net loss of $57M including $56M in one-time charges |  | flags: FY2025 Q4 net loss with $56M one-time charges - verify current prof</t>
        </is>
      </c>
      <c r="M263" s="11" t="inlineStr">
        <is>
          <t xml:space="preserve">[VERIFIED NEW W7] FlexRig automation and digital-drilling technology partner - automation/precision-engineering narrative. | </t>
        </is>
      </c>
    </row>
    <row r="264">
      <c r="A264" s="11" t="n">
        <v>261</v>
      </c>
      <c r="B264" s="11" t="inlineStr">
        <is>
          <t>W3</t>
        </is>
      </c>
      <c r="C264" s="11" t="inlineStr">
        <is>
          <t>42 Health &amp; Wellness</t>
        </is>
      </c>
      <c r="D264" s="11" t="n">
        <v>52</v>
      </c>
      <c r="E264" s="11" t="inlineStr">
        <is>
          <t>Humana Inc.</t>
        </is>
      </c>
      <c r="F264" s="11" t="inlineStr">
        <is>
          <t>humana.com</t>
        </is>
      </c>
      <c r="G264" s="11" t="n"/>
      <c r="H264" s="11" t="inlineStr">
        <is>
          <t>Medicare Advantage-focused health insurer</t>
        </is>
      </c>
      <c r="I264" s="11" t="n"/>
      <c r="J264" s="11" t="inlineStr">
        <is>
          <t>unknown</t>
        </is>
      </c>
      <c r="K264" s="11" t="inlineStr">
        <is>
          <t>verified-stretch</t>
        </is>
      </c>
      <c r="L264" s="11" t="inlineStr">
        <is>
          <t>$129.66B FY2025 (10-K/Q4 2025 earnings release, filed ~Feb 2026) |  | flags: dignity framing required - senior/patient population; Medicare Advantage reimbursement/star-rating margin pressure - monitor; narrow demographic overlap between Medicare-age</t>
        </is>
      </c>
      <c r="M264" s="11" t="inlineStr">
        <is>
          <t>[VERIFIED NEW W3] Position around healthy-aging/longevity science content and CenterWell (primary care/pharmacy) rather than the insurance brand itself; consider a B2B employer-wellness or driver-longevity content partnership instead of consumer trac</t>
        </is>
      </c>
    </row>
    <row r="265">
      <c r="A265" s="11" t="n">
        <v>262</v>
      </c>
      <c r="B265" s="11" t="inlineStr">
        <is>
          <t>W3</t>
        </is>
      </c>
      <c r="C265" s="11" t="inlineStr">
        <is>
          <t>42 Health &amp; Wellness</t>
        </is>
      </c>
      <c r="D265" s="11" t="n">
        <v>52</v>
      </c>
      <c r="E265" s="11" t="inlineStr">
        <is>
          <t>IHH Healthcare Berhad</t>
        </is>
      </c>
      <c r="F265" s="11" t="inlineStr">
        <is>
          <t>ihhhealthcare.com</t>
        </is>
      </c>
      <c r="G265" s="11" t="n"/>
      <c r="H265" s="11" t="inlineStr">
        <is>
          <t>Asia's largest private hospital group (Gleneagles, Parkway, Fortis stake)</t>
        </is>
      </c>
      <c r="I265" s="11" t="n"/>
      <c r="J265" s="11" t="inlineStr">
        <is>
          <t>unknown</t>
        </is>
      </c>
      <c r="K265" s="11" t="inlineStr">
        <is>
          <t>verified-stretch</t>
        </is>
      </c>
      <c r="L265" s="11" t="inlineStr">
        <is>
          <t>RM25.74B FY2025 (~$5.6B est, company results reported ~March 2026) |  | flags: dignity framing required - patient-facing hospital group; minority state ownership (Khazanah Nasional ~26%, EPF ~13%) - flag, not majority; FX-driven profit volatility (ri</t>
        </is>
      </c>
      <c r="M265" s="11" t="inlineStr">
        <is>
          <t xml:space="preserve">[VERIFIED NEW W3] Singapore GP hospitality/medical-tourism tie-in, premium executive health-screening packaging for F1's affluent travelling fanbase, or a 'peak performance &amp; recovery' content partnership with F1 paddock sports-medicine angle. | </t>
        </is>
      </c>
    </row>
    <row r="266">
      <c r="A266" s="11" t="n">
        <v>263</v>
      </c>
      <c r="B266" s="11" t="inlineStr">
        <is>
          <t>W2</t>
        </is>
      </c>
      <c r="C266" s="11" t="inlineStr">
        <is>
          <t>01 Banking &amp; Insurance</t>
        </is>
      </c>
      <c r="D266" s="11" t="n">
        <v>52</v>
      </c>
      <c r="E266" s="11" t="inlineStr">
        <is>
          <t>IIFL Finance</t>
        </is>
      </c>
      <c r="F266" s="11" t="inlineStr">
        <is>
          <t>iifl.com</t>
        </is>
      </c>
      <c r="G266" s="11" t="inlineStr">
        <is>
          <t>Mumbai, India</t>
        </is>
      </c>
      <c r="H266" s="11" t="inlineStr">
        <is>
          <t>Gold loans, housing finance, MSME/digital lending</t>
        </is>
      </c>
      <c r="I266" s="11" t="inlineStr">
        <is>
          <t>~30,000 (est.)</t>
        </is>
      </c>
      <c r="J266" s="11" t="inlineStr">
        <is>
          <t>10k+</t>
        </is>
      </c>
      <c r="K266" s="11" t="inlineStr">
        <is>
          <t>verified-stretch</t>
        </is>
      </c>
      <c r="L266" s="11" t="inlineStr">
        <is>
          <t>$1.52B consolidated total income, FY2026 (ended Mar-2026: Rs 13,373.83 Cr, +30.6% YoY) - Investing.com/Whalesbook | ~$2.9B market cap as of 18 Sep 2026 (Rs 25,620.61 Cr) - stockanalysis/tickertape | flags: Market cap currently below $3B large-cap thr</t>
        </is>
      </c>
      <c r="M266" s="11" t="inlineStr">
        <is>
          <t xml:space="preserve">[VERIFIED NEW W2] If pursued, frame around the digital-lending growth turnaround story and gold-loan-network customer scale; best revisited once market cap re-clears $3B. | Recovering fast and no F1 conflict, but market cap has actually fallen below </t>
        </is>
      </c>
    </row>
    <row r="267">
      <c r="A267" s="11" t="n">
        <v>264</v>
      </c>
      <c r="B267" s="11" t="inlineStr">
        <is>
          <t>W3</t>
        </is>
      </c>
      <c r="C267" s="11" t="inlineStr">
        <is>
          <t>42 Health &amp; Wellness</t>
        </is>
      </c>
      <c r="D267" s="11" t="n">
        <v>52</v>
      </c>
      <c r="E267" s="11" t="inlineStr">
        <is>
          <t>Integer Holdings Corporation</t>
        </is>
      </c>
      <c r="F267" s="11" t="inlineStr">
        <is>
          <t>integer.net</t>
        </is>
      </c>
      <c r="G267" s="11" t="inlineStr">
        <is>
          <t>United States (Plano, TX)</t>
        </is>
      </c>
      <c r="H267" s="11" t="inlineStr">
        <is>
          <t>Contract design/manufacturing of medical device components (cardiac, neuromodulation, vascular) sold B2B to medtech OEMs</t>
        </is>
      </c>
      <c r="I267" s="11" t="inlineStr">
        <is>
          <t>~11,000 (est., unverified this pass)</t>
        </is>
      </c>
      <c r="J267" s="11" t="inlineStr">
        <is>
          <t>10k+</t>
        </is>
      </c>
      <c r="K267" s="11" t="inlineStr">
        <is>
          <t>verified-stretch</t>
        </is>
      </c>
      <c r="L267" s="11" t="inlineStr">
        <is>
          <t xml:space="preserve">FY2025 revenue $1.854B (up 8% YoY); FY2024 revenue $1,716.6M (up 10% YoY) - source: company FY2025 earnings release / SEC 10-K filings. Both figures above input's ~$1.7B FY2024 estimate | Market cap ~$4.3B (ITGR at ~$126/share) as of Sept 17, 2026 - </t>
        </is>
      </c>
      <c r="M267" s="11" t="inlineStr">
        <is>
          <t>[VERIFIED NEW W3] If pursued, frame around precision-engineering/reliability-under-stress parallels for a trade/B2B audience (medtech OEM customers, investors) rather than a consumer campaign | Financially solid and profitable with a workable precisi</t>
        </is>
      </c>
    </row>
    <row r="268">
      <c r="A268" s="11" t="n">
        <v>265</v>
      </c>
      <c r="B268" s="11" t="inlineStr">
        <is>
          <t>W2</t>
        </is>
      </c>
      <c r="C268" s="11" t="inlineStr">
        <is>
          <t>01 Banking &amp; Insurance</t>
        </is>
      </c>
      <c r="D268" s="11" t="n">
        <v>52</v>
      </c>
      <c r="E268" s="11" t="inlineStr">
        <is>
          <t>Intermediate Capital Group (ICG)</t>
        </is>
      </c>
      <c r="F268" s="11" t="inlineStr">
        <is>
          <t>icgam.com</t>
        </is>
      </c>
      <c r="G268" s="11" t="inlineStr">
        <is>
          <t>London, United Kingdom</t>
        </is>
      </c>
      <c r="H268" s="11" t="inlineStr">
        <is>
          <t>Private credit and alternative asset management to institutional investors (pension funds, insurers, sovereign wealth fu</t>
        </is>
      </c>
      <c r="I268" s="11" t="inlineStr">
        <is>
          <t>~700-900 (est.)</t>
        </is>
      </c>
      <c r="J268" s="11" t="inlineStr">
        <is>
          <t>250-1k</t>
        </is>
      </c>
      <c r="K268" s="11" t="inlineStr">
        <is>
          <t>verified-stretch</t>
        </is>
      </c>
      <c r="L268" s="11" t="inlineStr">
        <is>
          <t>£1,036M FY2026 total revenue; management fees £604M FY2025 (+19% YoY), fee-related earnings £350M FY2026 (+23% YoY) (source: icgam.com FY25 RNS / company reports) | ~£5.4-6.7B market cap (2026, sources vary by date/currency) (source: companiesmarketc</t>
        </is>
      </c>
      <c r="M268" s="11" t="inlineStr">
        <is>
          <t xml:space="preserve">[VERIFIED NEW W2] Frame as an LP-relationship and dealmaker-recruiting tool (paddock hospitality for institutional investors and prospective hires) rather than a consumer sponsorship. | Strong growth and profitability clear the capacity bar, but the </t>
        </is>
      </c>
    </row>
    <row r="269">
      <c r="A269" s="11" t="n">
        <v>266</v>
      </c>
      <c r="B269" s="11" t="inlineStr">
        <is>
          <t>W1</t>
        </is>
      </c>
      <c r="C269" s="11" t="inlineStr">
        <is>
          <t>04 Food &amp; Beverage</t>
        </is>
      </c>
      <c r="D269" s="11" t="n">
        <v>52</v>
      </c>
      <c r="E269" s="11" t="inlineStr">
        <is>
          <t>J.R. Simplot Company</t>
        </is>
      </c>
      <c r="F269" s="11" t="inlineStr">
        <is>
          <t>simplot.com</t>
        </is>
      </c>
      <c r="G269" s="11" t="inlineStr">
        <is>
          <t>Boise, Idaho, USA</t>
        </is>
      </c>
      <c r="H269" s="11" t="inlineStr">
        <is>
          <t>potato products, agribusiness, food ingredients, fertilizer</t>
        </is>
      </c>
      <c r="I269" s="11" t="inlineStr">
        <is>
          <t>~15,000-16,000 (est.)</t>
        </is>
      </c>
      <c r="J269" s="11" t="inlineStr">
        <is>
          <t>10k+</t>
        </is>
      </c>
      <c r="K269" s="11" t="inlineStr">
        <is>
          <t>verified-stretch</t>
        </is>
      </c>
      <c r="L269" s="11" t="inlineStr">
        <is>
          <t>$11B (Forbes, FY2024, up from $9.8B FY2023) - ranked #47 on Forbes America's Largest Private Companies 2024 | family-owned, none published | flags: B2B-distribution character - majority of business is agribusiness/food-service supply chain, not direc</t>
        </is>
      </c>
      <c r="M269" s="11" t="inlineStr">
        <is>
          <t>[VERIFIED NEW W1] Precision-agriculture/agri-tech innovation story (data-driven farming) as a performance/technology sponsorship angle rather than a consumer-brand one. | Mega-scale revenue and family wealth are attractive, but business is fundamenta</t>
        </is>
      </c>
    </row>
    <row r="270">
      <c r="A270" s="11" t="n">
        <v>267</v>
      </c>
      <c r="B270" s="11" t="inlineStr">
        <is>
          <t>W13</t>
        </is>
      </c>
      <c r="C270" s="11" t="inlineStr">
        <is>
          <t>Gulf Sovereign &amp; Tourism</t>
        </is>
      </c>
      <c r="D270" s="11" t="n">
        <v>52</v>
      </c>
      <c r="E270" s="11" t="inlineStr">
        <is>
          <t>Jabal Omar Development Company</t>
        </is>
      </c>
      <c r="F270" s="11" t="inlineStr">
        <is>
          <t>jabalomar.com.sa</t>
        </is>
      </c>
      <c r="G270" s="11" t="inlineStr">
        <is>
          <t>Mecca, Saudi Arabia</t>
        </is>
      </c>
      <c r="H270" s="11" t="inlineStr">
        <is>
          <t>Hospitality and real estate development adjacent to the Grand Mosque (hotel towers, retail) serving the global pilgrim/tourist market</t>
        </is>
      </c>
      <c r="I270" s="11" t="inlineStr">
        <is>
          <t>1k-5k (~1,500, est)</t>
        </is>
      </c>
      <c r="J270" s="11" t="inlineStr">
        <is>
          <t>~1,500, est</t>
        </is>
      </c>
      <c r="K270" s="11" t="inlineStr">
        <is>
          <t>verified-stretch</t>
        </is>
      </c>
      <c r="L270" s="11" t="inlineStr">
        <is>
          <t xml:space="preserve">SAR 2.11B (~$560M) FY2025, +11.17% YoY; net profit surged to SAR 2.39B (from SAR 200M in 2024) (confirmed via WebSearch, Argaam/stockanalysis.com, Sep 2026) | ~SAR 16.7B / $4.46B market cap as of March 2026 (confirmed via search, carried from input) </t>
        </is>
      </c>
      <c r="M270" s="11" t="inlineStr">
        <is>
          <t>[VERIFIED NEW W13] Tie to Jabal Omar's explosive 2025 profit growth and Saudi Vision 2030 tourism/sports diversification narrative; open 'hospitality/pilgrimage tourism development' category. | Hard filters pass on available evidence (revenue, valuat</t>
        </is>
      </c>
    </row>
    <row r="271">
      <c r="A271" s="11" t="n">
        <v>268</v>
      </c>
      <c r="B271" s="11" t="inlineStr">
        <is>
          <t>W4</t>
        </is>
      </c>
      <c r="C271" s="11" t="inlineStr">
        <is>
          <t>45 Electronic Parts</t>
        </is>
      </c>
      <c r="D271" s="11" t="n">
        <v>52</v>
      </c>
      <c r="E271" s="11" t="inlineStr">
        <is>
          <t>Johnson Electric Holdings Limited</t>
        </is>
      </c>
      <c r="F271" s="11" t="inlineStr">
        <is>
          <t>johnsonelectric.com</t>
        </is>
      </c>
      <c r="G271" s="11" t="n"/>
      <c r="H271" s="11" t="inlineStr">
        <is>
          <t>World's largest maker of micro electric motors and motion subsystems for automotive, industrial and consumer-electronics</t>
        </is>
      </c>
      <c r="I271" s="11" t="n"/>
      <c r="J271" s="11" t="inlineStr">
        <is>
          <t>unknown</t>
        </is>
      </c>
      <c r="K271" s="11" t="inlineStr">
        <is>
          <t>verified-stretch</t>
        </is>
      </c>
      <c r="L271" s="11" t="inlineStr">
        <is>
          <t xml:space="preserve"> | ~HK$19.4B / ~$2.5B market cap (0179.HK, Investing.com, 20 Sep 2026) -- down from $4.1B est Aug 2025 | flags: Below $3B market-cap floor at current pricing -- reverify closer to outreach; Zero brand-marketing/sponsorship history of any kind (pure O</t>
        </is>
      </c>
      <c r="M271" s="11" t="inlineStr">
        <is>
          <t>[VERIFIED NEW W4] If pursued, angle as a precision-motion/automotive-technology partner story (motors/actuators powering EV and industrial systems) rather than a brand-marketing sponsorship; better suited to a technical partner tier than a primary sp</t>
        </is>
      </c>
    </row>
    <row r="272">
      <c r="A272" s="11" t="n">
        <v>269</v>
      </c>
      <c r="B272" s="11" t="inlineStr">
        <is>
          <t>W6</t>
        </is>
      </c>
      <c r="C272" s="11" t="inlineStr">
        <is>
          <t>43 Mobility &amp; Automotive</t>
        </is>
      </c>
      <c r="D272" s="11" t="n">
        <v>52</v>
      </c>
      <c r="E272" s="11" t="inlineStr">
        <is>
          <t>KLN Logistics Group Limited (formerly Kerry Logistics Network; renamed 2025)</t>
        </is>
      </c>
      <c r="F272" s="11" t="inlineStr">
        <is>
          <t>kln-logistics.com</t>
        </is>
      </c>
      <c r="G272" s="11" t="n"/>
      <c r="H272" s="11" t="inlineStr">
        <is>
          <t>Freight forwarding (International Freight Forwarding segment) and integrated logistics/warehousing (Integrated Logistics</t>
        </is>
      </c>
      <c r="I272" s="11" t="n"/>
      <c r="J272" s="11" t="inlineStr">
        <is>
          <t>unknown</t>
        </is>
      </c>
      <c r="K272" s="11" t="inlineStr">
        <is>
          <t>verified-stretch</t>
        </is>
      </c>
      <c r="L272" s="11" t="inlineStr">
        <is>
          <t xml:space="preserve"> |  | flags: Input's revenue (~$18B) and market cap (~$3-4B) estimates were both materially overstated - actual figures are ~$7.2B revenue and ~$1.3-1.6B market cap, making this the smallest company in the batch by a wide margin.; Majority (51.8%) ow</t>
        </is>
      </c>
      <c r="M272" s="11" t="inlineStr">
        <is>
          <t xml:space="preserve">[VERIFIED NEW W6] Asia/China market-access story for a team building its APAC commercial presence - lead with SF Holding/KLN's combined China-Southeast Asia freight network rather than KLN's standalone scale. | </t>
        </is>
      </c>
    </row>
    <row r="273">
      <c r="A273" s="11" t="n">
        <v>270</v>
      </c>
      <c r="B273" s="11" t="inlineStr">
        <is>
          <t>W11</t>
        </is>
      </c>
      <c r="C273" s="11" t="inlineStr">
        <is>
          <t>29 Tech Media &amp; Gaming</t>
        </is>
      </c>
      <c r="D273" s="11" t="n">
        <v>52</v>
      </c>
      <c r="E273" s="11" t="inlineStr">
        <is>
          <t>Kadokawa Corporation</t>
        </is>
      </c>
      <c r="F273" s="11" t="inlineStr">
        <is>
          <t>kadokawa.co.jp</t>
        </is>
      </c>
      <c r="G273" s="11" t="n"/>
      <c r="H273" s="11" t="inlineStr">
        <is>
          <t>Publishing, anime production, video game publishing (majority owner of FromSoftware - Elden Ring, Dark Souls), live ente</t>
        </is>
      </c>
      <c r="I273" s="11" t="n"/>
      <c r="J273" s="11" t="inlineStr">
        <is>
          <t>unknown</t>
        </is>
      </c>
      <c r="K273" s="11" t="inlineStr">
        <is>
          <t>verified-stretch</t>
        </is>
      </c>
      <c r="L273" s="11" t="inlineStr">
        <is>
          <t>JPY282.91B (~$1.9B) FY2026, +1.8% YoY (confirmed) - stockanalysis.com. However, company reported a ~60% profit drop as anime and publishing units struggled, per Outlook Respawn/company FY2026 report. |  | flags: Sony Group ~10.04% stake (confirmed 20</t>
        </is>
      </c>
      <c r="M273" s="11" t="inlineStr">
        <is>
          <t>[VERIFIED NEW W11] FromSoftware/Elden Ring gaming-audience activation is the strongest hook (bypasses the wobbly corporate-parent picture) - pitch at the game-franchise level rather than the holding-company level, and revisit once the Oasis/managemen</t>
        </is>
      </c>
    </row>
    <row r="274">
      <c r="A274" s="11" t="n">
        <v>271</v>
      </c>
      <c r="B274" s="11" t="inlineStr">
        <is>
          <t>W13</t>
        </is>
      </c>
      <c r="C274" s="11" t="inlineStr">
        <is>
          <t>Staffing &amp; Talent</t>
        </is>
      </c>
      <c r="D274" s="11" t="n">
        <v>52</v>
      </c>
      <c r="E274" s="11" t="inlineStr">
        <is>
          <t>Kanzhun Limited (Boss Zhipin)</t>
        </is>
      </c>
      <c r="F274" s="11" t="inlineStr">
        <is>
          <t>ir.kanzhun.com</t>
        </is>
      </c>
      <c r="G274" s="11" t="inlineStr">
        <is>
          <t>Beijing, China</t>
        </is>
      </c>
      <c r="H274" s="11" t="inlineStr">
        <is>
          <t>Online recruitment platform (Boss Zhipin) connecting job seekers and employers</t>
        </is>
      </c>
      <c r="I274" s="11" t="inlineStr">
        <is>
          <t>5k-10k</t>
        </is>
      </c>
      <c r="J274" s="11" t="inlineStr">
        <is>
          <t>5k-10k</t>
        </is>
      </c>
      <c r="K274" s="11" t="inlineStr">
        <is>
          <t>verified-stretch</t>
        </is>
      </c>
      <c r="L274" s="11" t="inlineStr">
        <is>
          <t>RMB 7,355.7M / $1,007.7M FY2024 (Kanzhun IR/Nasdaq press release, March 2025); RMB 8,267.5M / $1,182.2M FY2025 | Market cap ~$6-7B through 2025, $7.14B as of Aug 2026 (stockanalysis.com/Yahoo Finance) | flags: revenue and user base overwhelmingly Chi</t>
        </is>
      </c>
      <c r="M274" s="11" t="inlineStr">
        <is>
          <t xml:space="preserve">[VERIFIED NEW W13] China/APAC market-entry story for F1 - use Kanzhun's AI-driven hiring technology and stated push into new geographies (Vietnam, Argentina, Brazil) as the hook for an emerging-market or technology-partner angle. | Hard filters pass </t>
        </is>
      </c>
    </row>
    <row r="275">
      <c r="A275" s="11" t="n">
        <v>272</v>
      </c>
      <c r="B275" s="11" t="inlineStr">
        <is>
          <t>W7</t>
        </is>
      </c>
      <c r="C275" s="11" t="inlineStr">
        <is>
          <t>02 Energy &amp; Industrial</t>
        </is>
      </c>
      <c r="D275" s="11" t="n">
        <v>52</v>
      </c>
      <c r="E275" s="11" t="inlineStr">
        <is>
          <t>Keyera Corp</t>
        </is>
      </c>
      <c r="F275" s="11" t="inlineStr">
        <is>
          <t>keyera.com</t>
        </is>
      </c>
      <c r="G275" s="11" t="n"/>
      <c r="H275" s="11" t="inlineStr">
        <is>
          <t>NGL gathering, processing, fractionation, storage and marketing in Western Canada</t>
        </is>
      </c>
      <c r="I275" s="11" t="n"/>
      <c r="J275" s="11" t="inlineStr">
        <is>
          <t>unknown</t>
        </is>
      </c>
      <c r="K275" s="11" t="inlineStr">
        <is>
          <t>verified-stretch</t>
        </is>
      </c>
      <c r="L275" s="11" t="inlineStr">
        <is>
          <t>CAD $6.85B FY2025 (investing.com / koalagains.com) |  | flags: smaller large-cap - verify budget fit (confirmed: smallest of the 11 by both revenue and market cap); regional concentration in Western Canada</t>
        </is>
      </c>
      <c r="M275" s="11" t="inlineStr">
        <is>
          <t xml:space="preserve">[VERIFIED NEW W7] Smaller regional/local activation (Canadian GP hospitality, corporate B2B) as a fallback/stretch option rather than a marquee sponsorship. | </t>
        </is>
      </c>
    </row>
    <row r="276">
      <c r="A276" s="11" t="n">
        <v>273</v>
      </c>
      <c r="B276" s="11" t="inlineStr">
        <is>
          <t>W4</t>
        </is>
      </c>
      <c r="C276" s="11" t="inlineStr">
        <is>
          <t>05 HPC &amp; Supercomputing</t>
        </is>
      </c>
      <c r="D276" s="11" t="n">
        <v>52</v>
      </c>
      <c r="E276" s="11" t="inlineStr">
        <is>
          <t>King Slide Works Co., Ltd.</t>
        </is>
      </c>
      <c r="F276" s="11" t="inlineStr">
        <is>
          <t>kingslide.com.tw</t>
        </is>
      </c>
      <c r="G276" s="11" t="n"/>
      <c r="H276" s="11" t="inlineStr">
        <is>
          <t>World-leading precision slide-rail systems for server racks and storage, sold to server ODMs (Dell, HPE, Foxconn, Quanta</t>
        </is>
      </c>
      <c r="I276" s="11" t="n"/>
      <c r="J276" s="11" t="inlineStr">
        <is>
          <t>unknown</t>
        </is>
      </c>
      <c r="K276" s="11" t="inlineStr">
        <is>
          <t>verified-stretch</t>
        </is>
      </c>
      <c r="L276" s="11" t="inlineStr">
        <is>
          <t xml:space="preserve"> | ~NT$1.12-1.15T (~$35B) market cap (TPE:2059, stockanalysis.com/TradingView, mid-Sep 2026) -- up sharply (~+250% YoY) from $7B est Aug 2025 on AI-server rack re-rating | flags: Extremely high market-cap-to-revenue multiple (bubble risk) -- durabili</t>
        </is>
      </c>
      <c r="M276" s="11" t="inlineStr">
        <is>
          <t>[VERIFIED NEW W4] Position as part of the AI-datacenter supply-chain story alongside networking/cooling partners (rack infrastructure powering the compute behind team simulation/strategy tools) -- a co-branded technical-supplier narrative rather than</t>
        </is>
      </c>
    </row>
    <row r="277">
      <c r="A277" s="11" t="n">
        <v>274</v>
      </c>
      <c r="B277" s="11" t="inlineStr">
        <is>
          <t>W1</t>
        </is>
      </c>
      <c r="C277" s="11" t="inlineStr">
        <is>
          <t>03 Luxury &amp; Beauty</t>
        </is>
      </c>
      <c r="D277" s="11" t="n">
        <v>52</v>
      </c>
      <c r="E277" s="11" t="inlineStr">
        <is>
          <t>Kose Corporation</t>
        </is>
      </c>
      <c r="F277" s="11" t="inlineStr">
        <is>
          <t>kose.com</t>
        </is>
      </c>
      <c r="G277" s="11" t="inlineStr">
        <is>
          <t>Japan</t>
        </is>
      </c>
      <c r="H277" s="11" t="inlineStr">
        <is>
          <t>Prestige and mass cosmetics (Decorté, Sekkisei, Est); sold via department stores/drugstores in Japan/Asia, growing in No</t>
        </is>
      </c>
      <c r="I277" s="11" t="inlineStr">
        <is>
          <t>~5,700 employees</t>
        </is>
      </c>
      <c r="J277" s="11" t="inlineStr">
        <is>
          <t>5k-10k</t>
        </is>
      </c>
      <c r="K277" s="11" t="inlineStr">
        <is>
          <t>verified-stretch</t>
        </is>
      </c>
      <c r="L277" s="11" t="inlineStr">
        <is>
          <t>$2.2B (¥330.2B), FY2025, source: Kose Holdings FY2025 earnings report | $1.9B market cap, as of Jul 17 2026, source: PitchBook / stockanalysis.com | flags: China optics - Asia prestige beauty exposure</t>
        </is>
      </c>
      <c r="M277" s="11" t="inlineStr">
        <is>
          <t>[VERIFIED NEW W1] Prestige J-beauty house using F1's Asia-Pacific and North America growth markets to accelerate its international expansion narrative. | Announced a voluntary retirement program and structural reform (Aug 2026 earnings briefing) alon</t>
        </is>
      </c>
    </row>
    <row r="278">
      <c r="A278" s="11" t="n">
        <v>275</v>
      </c>
      <c r="B278" s="11" t="inlineStr">
        <is>
          <t>W1</t>
        </is>
      </c>
      <c r="C278" s="11" t="inlineStr">
        <is>
          <t>03 Luxury &amp; Beauty</t>
        </is>
      </c>
      <c r="D278" s="11" t="n">
        <v>52</v>
      </c>
      <c r="E278" s="11" t="inlineStr">
        <is>
          <t>LG Household &amp; Health Care</t>
        </is>
      </c>
      <c r="F278" s="11" t="inlineStr">
        <is>
          <t>lghnh.com</t>
        </is>
      </c>
      <c r="G278" s="11" t="inlineStr">
        <is>
          <t>South Korea</t>
        </is>
      </c>
      <c r="H278" s="11" t="inlineStr">
        <is>
          <t>Cosmetics (Whoo, Su:m37), household/personal care, beverages; sold across Korea/China/global retail</t>
        </is>
      </c>
      <c r="I278" s="11" t="inlineStr">
        <is>
          <t>~4,500 employees</t>
        </is>
      </c>
      <c r="J278" s="11" t="inlineStr">
        <is>
          <t>1k-5k</t>
        </is>
      </c>
      <c r="K278" s="11" t="inlineStr">
        <is>
          <t>verified-stretch</t>
        </is>
      </c>
      <c r="L278" s="11" t="inlineStr">
        <is>
          <t>$4.6B (most recent FY) / $4.4B trailing-12mo, FY2025, source: companiesmarketcap.com / LG H&amp;H filings | $3.3B market cap, as of Sep 4 2026, source: companiesmarketcap.com | flags: China optics - duty-free/China channel dependence flagged in restructu</t>
        </is>
      </c>
      <c r="M278" s="11" t="inlineStr">
        <is>
          <t>[VERIFIED NEW W1] Korean luxury beauty major rebuilding global distribution - F1 as a platform to reset international (ex-China) brand momentum. | Mid-restructuring of domestic distribution/duty-free channels; Q1 2026 swung back to profit signaling i</t>
        </is>
      </c>
    </row>
    <row r="279">
      <c r="A279" s="11" t="n">
        <v>276</v>
      </c>
      <c r="B279" s="11" t="inlineStr">
        <is>
          <t>W3</t>
        </is>
      </c>
      <c r="C279" s="11" t="inlineStr">
        <is>
          <t>42 Health &amp; Wellness</t>
        </is>
      </c>
      <c r="D279" s="11" t="n">
        <v>52</v>
      </c>
      <c r="E279" s="11" t="inlineStr">
        <is>
          <t>Legend Biotech Corporation</t>
        </is>
      </c>
      <c r="F279" s="11" t="inlineStr">
        <is>
          <t>legendbiotech.com</t>
        </is>
      </c>
      <c r="G279" s="11" t="inlineStr">
        <is>
          <t>United States (Somerset, NJ) / founded and majority-linked to China via GenScript</t>
        </is>
      </c>
      <c r="H279" s="11" t="inlineStr">
        <is>
          <t>Carvykti CAR-T cell therapy for multiple myeloma, co-commercialized globally with Johnson &amp; Johnson (Janssen) to hospita</t>
        </is>
      </c>
      <c r="I279" s="11" t="inlineStr">
        <is>
          <t>~3,000 (est., unverified this pass)</t>
        </is>
      </c>
      <c r="J279" s="11" t="inlineStr">
        <is>
          <t>1k-5k</t>
        </is>
      </c>
      <c r="K279" s="11" t="inlineStr">
        <is>
          <t>verified-stretch</t>
        </is>
      </c>
      <c r="L279" s="11" t="inlineStr">
        <is>
          <t>FY2025 CARVYKTI net trade sales ~$1.9B (up strongly YoY, Q4 2025 $555M, +66% YoY); CARVYKTI franchise achieved full-year profitability in 2025 (operating margin improved from -142% in Q2 2023 to -6% in Q4 2025); company-wide profitability targeted fo</t>
        </is>
      </c>
      <c r="M279" s="11" t="inlineStr">
        <is>
          <t>[VERIFIED NEW W3] If pursued, lead with the J&amp;J/Janssen global commercial partnership and innovation-in-cancer-treatment story rather than the GenScript/China angle, with dignity-first creative | Genuinely innovative, franchise-profitable cell-therap</t>
        </is>
      </c>
    </row>
    <row r="280">
      <c r="A280" s="11" t="n">
        <v>277</v>
      </c>
      <c r="B280" s="11" t="inlineStr">
        <is>
          <t>W13</t>
        </is>
      </c>
      <c r="C280" s="11" t="inlineStr">
        <is>
          <t>Gulf Sovereign &amp; Tourism</t>
        </is>
      </c>
      <c r="D280" s="11" t="n">
        <v>52</v>
      </c>
      <c r="E280" s="11" t="inlineStr">
        <is>
          <t>Lulu Retail Holdings PLC</t>
        </is>
      </c>
      <c r="F280" s="11" t="inlineStr">
        <is>
          <t>luluretail.com</t>
        </is>
      </c>
      <c r="G280" s="11" t="inlineStr">
        <is>
          <t>Abu Dhabi, UAE</t>
        </is>
      </c>
      <c r="H280" s="11" t="inlineStr">
        <is>
          <t>Hypermarkets and retail (GCC's largest grocery/retail chain, also a tourist shopping destination) to tens of millions of shoppers</t>
        </is>
      </c>
      <c r="I280" s="11" t="inlineStr">
        <is>
          <t>10k+ (53,459 employees, Lulu Group International, as of June 2026, confirmed via WebSearch)</t>
        </is>
      </c>
      <c r="J280" s="11" t="inlineStr">
        <is>
          <t>53,459 employees, Lulu Group International, as of June 2026, confirmed via WebSearch</t>
        </is>
      </c>
      <c r="K280" s="11" t="inlineStr">
        <is>
          <t>verified-stretch</t>
        </is>
      </c>
      <c r="L280" s="11" t="inlineStr">
        <is>
          <t>H1 2025 revenue $4.1B, +5.9% YoY; net income $127M, +9.1% YoY (confirmed via WebSearch, luluretail.com H1 2025 results); full-year ~$8.3B (est, consistent with input) | ~$6.5B market cap, ADX-listed post Nov-2024 IPO (est, carried from input, not ind</t>
        </is>
      </c>
      <c r="M280" s="11" t="inlineStr">
        <is>
          <t>[VERIFIED NEW W13] GCC's largest hypermarket chain as a consumer-facing regional retail sponsor, tied to Abu Dhabi GP home-market activation and the recent landmark IPO growth story; open grocery/retail category. | Hard filters pass (revenue, valuati</t>
        </is>
      </c>
    </row>
    <row r="281">
      <c r="A281" s="11" t="n">
        <v>278</v>
      </c>
      <c r="B281" s="11" t="inlineStr">
        <is>
          <t>W3</t>
        </is>
      </c>
      <c r="C281" s="11" t="inlineStr">
        <is>
          <t>42 Health &amp; Wellness</t>
        </is>
      </c>
      <c r="D281" s="11" t="n">
        <v>52</v>
      </c>
      <c r="E281" s="11" t="inlineStr">
        <is>
          <t>M3, Inc.</t>
        </is>
      </c>
      <c r="F281" s="11" t="inlineStr">
        <is>
          <t>corporate.m3.com</t>
        </is>
      </c>
      <c r="G281" s="11" t="inlineStr">
        <is>
          <t>Japan</t>
        </is>
      </c>
      <c r="H281" s="11" t="inlineStr">
        <is>
          <t>Digital platform for physicians (medical information, pharma marketing, telemedicine, clinical trial support) sold to ph</t>
        </is>
      </c>
      <c r="I281" s="11" t="inlineStr">
        <is>
          <t>~7,000 (group, est., unverified this pass)</t>
        </is>
      </c>
      <c r="J281" s="11" t="inlineStr">
        <is>
          <t>5k-10k</t>
        </is>
      </c>
      <c r="K281" s="11" t="inlineStr">
        <is>
          <t>verified-stretch</t>
        </is>
      </c>
      <c r="L281" s="11" t="inlineStr">
        <is>
          <t>FY ended March 2025 (FY24) group revenue JPY 284.9B (~$1.9B at ~150 JPY/USD), up 19.3% YoY; operating profit JPY63.0B (down 2.2% YoY), net profit JPY44.3B (down 8.7% YoY) - source: M3 FY24Q4 tanshin filing. Revenue well above input's ~$1.2B estimate;</t>
        </is>
      </c>
      <c r="M281" s="11" t="inlineStr">
        <is>
          <t>[VERIFIED NEW W3] If pursued, position as a data/precision-in-medicine story targeting pharma industry decision-makers rather than a consumer campaign; Japan GP (Suzuka) hometown angle available | Profitable and global in reach but a B2B digital-heal</t>
        </is>
      </c>
    </row>
    <row r="282">
      <c r="A282" s="11" t="n">
        <v>279</v>
      </c>
      <c r="B282" s="11" t="inlineStr">
        <is>
          <t>W11</t>
        </is>
      </c>
      <c r="C282" s="11" t="inlineStr">
        <is>
          <t>29 Tech Media &amp; Gaming</t>
        </is>
      </c>
      <c r="D282" s="11" t="n">
        <v>52</v>
      </c>
      <c r="E282" s="11" t="inlineStr">
        <is>
          <t>MFE-MediaForEurope N.V.</t>
        </is>
      </c>
      <c r="F282" s="11" t="inlineStr">
        <is>
          <t>mfemediaforeurope.com</t>
        </is>
      </c>
      <c r="G282" s="11" t="n"/>
      <c r="H282" s="11" t="n"/>
      <c r="I282" s="11" t="n"/>
      <c r="J282" s="11" t="inlineStr">
        <is>
          <t>unknown</t>
        </is>
      </c>
      <c r="K282" s="11" t="inlineStr">
        <is>
          <t>verified-stretch</t>
        </is>
      </c>
      <c r="L282" s="11" t="inlineStr">
        <is>
          <t>EUR 4,031.1M (2025 actual, +37% YoY, driven by ProSiebenSat.1 consolidation from Q4 2025; like-for-like Italy/Spain-only revenue actually fell 3.0% to EUR 2,861.9M) |  | flags: Family-controlled (Berlusconi/Fininvest) with majority voting power via a</t>
        </is>
      </c>
      <c r="M282" s="11" t="inlineStr">
        <is>
          <t xml:space="preserve">[VERIFIED NEW W11] Pan-European ad-inventory or content partnership (post-ProSieben integration) for F1-adjacent programming/promotion across Italy, Spain, Germany, Austria, and Switzerland, framed as a scale media buy rather than a broadcast-rights </t>
        </is>
      </c>
    </row>
    <row r="283">
      <c r="A283" s="11" t="n">
        <v>280</v>
      </c>
      <c r="B283" s="11" t="inlineStr">
        <is>
          <t>W1</t>
        </is>
      </c>
      <c r="C283" s="11" t="inlineStr">
        <is>
          <t>53 Consumer &amp; Lifestyle</t>
        </is>
      </c>
      <c r="D283" s="11" t="n">
        <v>52</v>
      </c>
      <c r="E283" s="11" t="inlineStr">
        <is>
          <t>MINISO Group Holding Limited</t>
        </is>
      </c>
      <c r="F283" s="11" t="inlineStr">
        <is>
          <t>miniso.com</t>
        </is>
      </c>
      <c r="G283" s="11" t="inlineStr">
        <is>
          <t>Guangzhou, China</t>
        </is>
      </c>
      <c r="H283" s="11" t="inlineStr">
        <is>
          <t>Variety/lifestyle retail (IP-licensed and 10-yuan store concept) with global franchise expansion in 110+ countries</t>
        </is>
      </c>
      <c r="I283" s="11" t="inlineStr">
        <is>
          <t>1K-5K (~5,000 direct; franchise network far larger)</t>
        </is>
      </c>
      <c r="J283" s="11" t="inlineStr">
        <is>
          <t>5k-10k</t>
        </is>
      </c>
      <c r="K283" s="11" t="inlineStr">
        <is>
          <t>verified-stretch</t>
        </is>
      </c>
      <c r="L283" s="11" t="inlineStr">
        <is>
          <t>Trailing 12-month revenue ~$2.76B as of Jul 2026; Q1 2026 revenue RMB5,688.4M (~$824.6M), +28.5% YoY — source: MINISO IR release (May 26, 2026) | Market cap data conflicting across sources: ~$4.2B (May 2026, stockanalysis.com) vs. input estimate ~$5.</t>
        </is>
      </c>
      <c r="M283" s="11" t="inlineStr">
        <is>
          <t>[VERIFIED NEW W1] F1 China GP (Shanghai) or Singapore GP retail activation featuring licensed F1 collectible merchandise, mirroring MINISO's existing collectible-IP collaboration model. | Strong growth and a proven IP-merchandising model make F1 coll</t>
        </is>
      </c>
    </row>
    <row r="284">
      <c r="A284" s="11" t="n">
        <v>281</v>
      </c>
      <c r="B284" s="11" t="inlineStr">
        <is>
          <t>W6</t>
        </is>
      </c>
      <c r="C284" s="11" t="inlineStr">
        <is>
          <t>43 Mobility &amp; Automotive</t>
        </is>
      </c>
      <c r="D284" s="11" t="n">
        <v>52</v>
      </c>
      <c r="E284" s="11" t="inlineStr">
        <is>
          <t>MRF Limited</t>
        </is>
      </c>
      <c r="F284" s="11" t="inlineStr">
        <is>
          <t>mrftyres.com</t>
        </is>
      </c>
      <c r="G284" s="11" t="inlineStr">
        <is>
          <t>Chennai, India</t>
        </is>
      </c>
      <c r="H284" s="11" t="inlineStr">
        <is>
          <t>Tires for passenger, commercial vehicles and motorsport (India's largest tire maker)</t>
        </is>
      </c>
      <c r="I284" s="11" t="inlineStr">
        <is>
          <t>~18,000</t>
        </is>
      </c>
      <c r="J284" s="11" t="inlineStr">
        <is>
          <t>10k+</t>
        </is>
      </c>
      <c r="K284" s="11" t="inlineStr">
        <is>
          <t>verified-stretch</t>
        </is>
      </c>
      <c r="L284" s="11" t="inlineStr">
        <is>
          <t>₹316.54B (~$3.6B), FY2025-26 (ended Mar 2026), +11% YoY, crossing ₹300B for the first time (company results) | ~₹53,300 crore (~$6.1-6.4B) as of 18 Sep 2026 (screener.in, gurufocus) - materially below the input's ~$12B estimate | flags: market cap co</t>
        </is>
      </c>
      <c r="M284" s="11" t="inlineStr">
        <is>
          <t>[VERIFIED NEW W6] "From club racing to the global stage" - MRF's credible grassroots-to-global-formula motorsport lineage (F3, karting, rally) is a natural, authentic bridge into F1-adjacent or team-partner storytelling, aimed at capturing India's fa</t>
        </is>
      </c>
    </row>
    <row r="285">
      <c r="A285" s="11" t="n">
        <v>282</v>
      </c>
      <c r="B285" s="11" t="inlineStr">
        <is>
          <t>W3</t>
        </is>
      </c>
      <c r="C285" s="11" t="inlineStr">
        <is>
          <t>42 Health &amp; Wellness</t>
        </is>
      </c>
      <c r="D285" s="11" t="n">
        <v>52</v>
      </c>
      <c r="E285" s="11" t="inlineStr">
        <is>
          <t>Madrigal Pharmaceuticals, Inc.</t>
        </is>
      </c>
      <c r="F285" s="11" t="inlineStr">
        <is>
          <t>madrigalpharma.com</t>
        </is>
      </c>
      <c r="G285" s="11" t="n"/>
      <c r="H285" s="11" t="n"/>
      <c r="I285" s="11" t="n"/>
      <c r="J285" s="11" t="inlineStr">
        <is>
          <t>unknown</t>
        </is>
      </c>
      <c r="K285" s="11" t="inlineStr">
        <is>
          <t>verified-stretch</t>
        </is>
      </c>
      <c r="L285" s="11" t="inlineStr">
        <is>
          <t xml:space="preserve"> |  | flags: Company is not yet profitable despite fast-growing revenue - sponsorship spend capacity is a real near-term constraint; Single-product commercial-stage biotech (Rezdiffra) - revenue concentration risk</t>
        </is>
      </c>
      <c r="M285" s="11" t="inlineStr">
        <is>
          <t xml:space="preserve">[VERIFIED NEW W3] If pursued, position as the first-mover in the large new MASH/NASH category with a rapid revenue ramp story; best held for a later wave once profitability trends improve. | </t>
        </is>
      </c>
    </row>
    <row r="286">
      <c r="A286" s="11" t="n">
        <v>283</v>
      </c>
      <c r="B286" s="11" t="inlineStr">
        <is>
          <t>W1</t>
        </is>
      </c>
      <c r="C286" s="11" t="inlineStr">
        <is>
          <t>53 Consumer &amp; Lifestyle</t>
        </is>
      </c>
      <c r="D286" s="11" t="n">
        <v>52</v>
      </c>
      <c r="E286" s="11" t="inlineStr">
        <is>
          <t>Marico Limited</t>
        </is>
      </c>
      <c r="F286" s="11" t="inlineStr">
        <is>
          <t>marico.com</t>
        </is>
      </c>
      <c r="G286" s="11" t="inlineStr">
        <is>
          <t>Mumbai, India</t>
        </is>
      </c>
      <c r="H286" s="11" t="inlineStr">
        <is>
          <t>Parachute coconut oil, Saffola edible oil, and personal-care brands sold in India, SEA, MENA, and Africa</t>
        </is>
      </c>
      <c r="I286" s="11" t="inlineStr">
        <is>
          <t>1,000-5,000 (~2,600)</t>
        </is>
      </c>
      <c r="J286" s="11" t="inlineStr">
        <is>
          <t>5k-10k</t>
        </is>
      </c>
      <c r="K286" s="11" t="inlineStr">
        <is>
          <t>verified-stretch</t>
        </is>
      </c>
      <c r="L286" s="11" t="inlineStr">
        <is>
          <t xml:space="preserve">~INR 10,831 crore (~$1.13B) LTM through Dec 2025, +13.1% YoY; Q1 FY27 revenue +22.2% YoY to INR 4,005 crore - source: tipranks.com/screener.in | ~INR 1.04-1.05 trillion (~$10.8B) as of mid-Sept 2026 - source: tickertape.in (grown materially past the </t>
        </is>
      </c>
      <c r="M286" s="11" t="inlineStr">
        <is>
          <t>[VERIFIED NEW W1] MENA/Africa regional haircare sampling or driver-grooming tie-in activation, kept small-scale given budget constraints. | Solid emerging-market breadth and an open category, but sub-$1.5B revenue and a mass-market oil/haircare portf</t>
        </is>
      </c>
    </row>
    <row r="287">
      <c r="A287" s="11" t="n">
        <v>284</v>
      </c>
      <c r="B287" s="11" t="inlineStr">
        <is>
          <t>W6</t>
        </is>
      </c>
      <c r="C287" s="11" t="inlineStr">
        <is>
          <t>21 Materials &amp; Mech Parts</t>
        </is>
      </c>
      <c r="D287" s="11" t="n">
        <v>52</v>
      </c>
      <c r="E287" s="11" t="inlineStr">
        <is>
          <t>Mueller Industries Inc</t>
        </is>
      </c>
      <c r="F287" s="11" t="inlineStr">
        <is>
          <t>muellerindustries.com</t>
        </is>
      </c>
      <c r="G287" s="11" t="inlineStr">
        <is>
          <t>Memphis, Tennessee, USA</t>
        </is>
      </c>
      <c r="H287" s="11" t="inlineStr">
        <is>
          <t xml:space="preserve">Copper, brass and plastic tube/fittings and piping systems for HVAC, plumbing, refrigeration, automotive and industrial </t>
        </is>
      </c>
      <c r="I287" s="11" t="inlineStr">
        <is>
          <t>~6,500</t>
        </is>
      </c>
      <c r="J287" s="11" t="inlineStr">
        <is>
          <t>5k-10k</t>
        </is>
      </c>
      <c r="K287" s="11" t="inlineStr">
        <is>
          <t>verified-stretch</t>
        </is>
      </c>
      <c r="L287" s="11" t="inlineStr">
        <is>
          <t>FY2025 (year ended Dec 27 2025) net sales $4.18B, up from $3.76B in FY2024 (source: Mueller Industries FY2025 10-K, sec.gov) | ~$13-15B market cap (mid-2026 range, stockanalysis.com/macrotrends) - materially above prior est. of ~$9B | flags: commodit</t>
        </is>
      </c>
      <c r="M287" s="11" t="inlineStr">
        <is>
          <t>[VERIFIED NEW W6] American manufacturing/materials engineering heritage - copper thermal and flow-system expertise framed as a cooling/heat-exchange engineering angle. | Profitable, diversified materials manufacturer, but copper tube/fittings is a lo</t>
        </is>
      </c>
    </row>
    <row r="288">
      <c r="A288" s="11" t="n">
        <v>285</v>
      </c>
      <c r="B288" s="11" t="inlineStr">
        <is>
          <t>W11</t>
        </is>
      </c>
      <c r="C288" s="11" t="inlineStr">
        <is>
          <t>29 Tech Media &amp; Gaming</t>
        </is>
      </c>
      <c r="D288" s="11" t="n">
        <v>52</v>
      </c>
      <c r="E288" s="11" t="inlineStr">
        <is>
          <t>Nexstar Media Group</t>
        </is>
      </c>
      <c r="F288" s="11" t="inlineStr">
        <is>
          <t>nexstar.tv</t>
        </is>
      </c>
      <c r="G288" s="11" t="n"/>
      <c r="H288" s="11" t="n"/>
      <c r="I288" s="11" t="n"/>
      <c r="J288" s="11" t="inlineStr">
        <is>
          <t>unknown</t>
        </is>
      </c>
      <c r="K288" s="11" t="inlineStr">
        <is>
          <t>verified-stretch</t>
        </is>
      </c>
      <c r="L288" s="11" t="inlineStr">
        <is>
          <t xml:space="preserve">USD 4.95B (2025 actual, -8.5% YoY on tough political-ad-cycle comparison) |  | flags: The CW (Nexstar-owned) already broadcasts NASCAR Xfinity Series - an existing motorsport programming relationship that could create competitive-category tension in </t>
        </is>
      </c>
      <c r="M288" s="11" t="inlineStr">
        <is>
          <t xml:space="preserve">[VERIFIED NEW W11] National ad-inventory/promotional trade partnership across Nexstar's local stations for F1 race-weekend promotion in US markets, positioned as a media-buy trade rather than a livery sponsorship. | </t>
        </is>
      </c>
    </row>
    <row r="289">
      <c r="A289" s="11" t="n">
        <v>286</v>
      </c>
      <c r="B289" s="11" t="inlineStr">
        <is>
          <t>W7</t>
        </is>
      </c>
      <c r="C289" s="11" t="inlineStr">
        <is>
          <t>02 Energy &amp; Industrial</t>
        </is>
      </c>
      <c r="D289" s="11" t="n">
        <v>52</v>
      </c>
      <c r="E289" s="11" t="inlineStr">
        <is>
          <t>Noble Corporation</t>
        </is>
      </c>
      <c r="F289" s="11" t="inlineStr">
        <is>
          <t>noblecorp.com</t>
        </is>
      </c>
      <c r="G289" s="11" t="n"/>
      <c r="H289" s="11" t="inlineStr">
        <is>
          <t>Offshore drilling rigs contracted to international and national oil companies (post 2024 Diamond Offshore merger)</t>
        </is>
      </c>
      <c r="I289" s="11" t="n"/>
      <c r="J289" s="11" t="inlineStr">
        <is>
          <t>unknown</t>
        </is>
      </c>
      <c r="K289" s="11" t="inlineStr">
        <is>
          <t>verified-stretch</t>
        </is>
      </c>
      <c r="L289" s="11" t="inlineStr">
        <is>
          <t>$3.29B FY2025 revenue (confirmed) |  | flags: 2026 revenue/EBITDA guidance cut mid-year amid offshore market shift - softer near-term outlook; employee count (~3,200 est.) looks low for a post-merger combined entity - verify current headcount; cyclic</t>
        </is>
      </c>
      <c r="M289" s="11" t="inlineStr">
        <is>
          <t xml:space="preserve">[VERIFIED NEW W7] Combined-fleet scale/engineering story post-Diamond Offshore merger - largest-fleet positioning once guidance stabilizes. | </t>
        </is>
      </c>
    </row>
    <row r="290">
      <c r="A290" s="11" t="n">
        <v>287</v>
      </c>
      <c r="B290" s="11" t="inlineStr">
        <is>
          <t>W1</t>
        </is>
      </c>
      <c r="C290" s="11" t="inlineStr">
        <is>
          <t>04 Food &amp; Beverage</t>
        </is>
      </c>
      <c r="D290" s="11" t="n">
        <v>52</v>
      </c>
      <c r="E290" s="11" t="inlineStr">
        <is>
          <t>Orion Corporation</t>
        </is>
      </c>
      <c r="F290" s="11" t="inlineStr">
        <is>
          <t>orionworld.com</t>
        </is>
      </c>
      <c r="G290" s="11" t="inlineStr">
        <is>
          <t>Seoul, South Korea</t>
        </is>
      </c>
      <c r="H290" s="11" t="inlineStr">
        <is>
          <t>Choco Pie and snack/confectionery brands sold across Korea, China, Vietnam, Russia, and the US</t>
        </is>
      </c>
      <c r="I290" s="11" t="inlineStr">
        <is>
          <t>1,000-5,000 (~3,000)</t>
        </is>
      </c>
      <c r="J290" s="11" t="inlineStr">
        <is>
          <t>5k-10k</t>
        </is>
      </c>
      <c r="K290" s="11" t="inlineStr">
        <is>
          <t>verified-stretch</t>
        </is>
      </c>
      <c r="L290" s="11" t="inlineStr">
        <is>
          <t>~KRW 3.22 trillion LTM through June 2025 (~$2.3-2.4B), +7.1% YoY - source: stockanalysis.com | ~$3.5-3.7B market cap as of Sept 2026 - source: companiesmarketcap.com / stockanalysis.com | flags: Russia market exposure raises sanctions/optics question</t>
        </is>
      </c>
      <c r="M290" s="11" t="inlineStr">
        <is>
          <t xml:space="preserve">[VERIFIED NEW W1] China/Vietnam market fan-zone Choco Pie sampling activation tied to a regional GP weekend, not a livery-level partnership. | Genuine pan-Asia/Russia distribution and an open snack category, but a mass-market confectionery brand has </t>
        </is>
      </c>
    </row>
    <row r="291">
      <c r="A291" s="11" t="n">
        <v>288</v>
      </c>
      <c r="B291" s="11" t="inlineStr">
        <is>
          <t>W5</t>
        </is>
      </c>
      <c r="C291" s="11" t="inlineStr">
        <is>
          <t>47 Vertical SaaS</t>
        </is>
      </c>
      <c r="D291" s="11" t="n">
        <v>52</v>
      </c>
      <c r="E291" s="11" t="inlineStr">
        <is>
          <t>PDI Technologies</t>
        </is>
      </c>
      <c r="F291" s="11" t="inlineStr">
        <is>
          <t>pditechnologies.com</t>
        </is>
      </c>
      <c r="G291" s="11" t="inlineStr">
        <is>
          <t>Alpharetta, GA, USA</t>
        </is>
      </c>
      <c r="H291" s="11" t="inlineStr">
        <is>
          <t>Convenience retail and petroleum wholesale software (ERP, fuel pricing, loyalty, payments)</t>
        </is>
      </c>
      <c r="I291" s="11" t="inlineStr">
        <is>
          <t>~1,300-2,400 (conflicting sources: CBInsights cites 1,300 total; third-party aggregator cites 2,372)</t>
        </is>
      </c>
      <c r="J291" s="11" t="inlineStr">
        <is>
          <t>1k-5k</t>
        </is>
      </c>
      <c r="K291" s="11" t="inlineStr">
        <is>
          <t>verified-stretch</t>
        </is>
      </c>
      <c r="L291" s="11" t="inlineStr">
        <is>
          <t>~$273M-750M (est.; sources conflict widely: one aggregator cites $273M, another cites $750M as of July 2025, Owler's $25-100M range is clearly too low given 200,000+ site footprint - all exceed the $100M bar regardless) | Not disclosed; no $1B+ trans</t>
        </is>
      </c>
      <c r="M291" s="11" t="inlineStr">
        <is>
          <t>[VERIFIED NEW W5] Global fuel/travel-retail footprint (60+ countries) pairs naturally with F1's travel/logistics and energy-transition storylines. | Revenue and scale look real, but PE ownership lacks any confirmed $1B+ valuation evidence, capping th</t>
        </is>
      </c>
    </row>
    <row r="292">
      <c r="A292" s="11" t="n">
        <v>289</v>
      </c>
      <c r="B292" s="11" t="inlineStr">
        <is>
          <t>W6</t>
        </is>
      </c>
      <c r="C292" s="11" t="inlineStr">
        <is>
          <t>21 Materials &amp; Mech Parts</t>
        </is>
      </c>
      <c r="D292" s="11" t="n">
        <v>52</v>
      </c>
      <c r="E292" s="11" t="inlineStr">
        <is>
          <t>Pentair plc</t>
        </is>
      </c>
      <c r="F292" s="11" t="inlineStr">
        <is>
          <t>pentair.com</t>
        </is>
      </c>
      <c r="G292" s="11" t="inlineStr">
        <is>
          <t>London, UK (Ireland-domiciled; US operating HQ)</t>
        </is>
      </c>
      <c r="H292" s="11" t="inlineStr">
        <is>
          <t>Water treatment, pool equipment and flow-control/pump systems for residential, commercial and industrial customers</t>
        </is>
      </c>
      <c r="I292" s="11" t="inlineStr">
        <is>
          <t>~10,500</t>
        </is>
      </c>
      <c r="J292" s="11" t="inlineStr">
        <is>
          <t>10k+</t>
        </is>
      </c>
      <c r="K292" s="11" t="inlineStr">
        <is>
          <t>verified-stretch</t>
        </is>
      </c>
      <c r="L292" s="11" t="inlineStr">
        <is>
          <t xml:space="preserve">FY2025 sales $4.2B, up 2% YoY; operating income $858M (20.5% margin, +80bps) (source: Pentair Q4/FY2025 results, Feb 3 2026, investors.pentair.com) | ~$9.0-9.6B market cap (Sep 2026, stockanalysis.com/companiesmarketcap.com) - materially below prior </t>
        </is>
      </c>
      <c r="M292" s="11" t="inlineStr">
        <is>
          <t xml:space="preserve">[VERIFIED NEW W6] Premium consumer water/pool brand seeking global lifestyle visibility, secondarily framed via flow-control/pump engineering precision. | Solid profitable margin expansion but consumer pool/water-treatment positioning lacks a strong </t>
        </is>
      </c>
    </row>
    <row r="293">
      <c r="A293" s="11" t="n">
        <v>290</v>
      </c>
      <c r="B293" s="11" t="inlineStr">
        <is>
          <t>W7</t>
        </is>
      </c>
      <c r="C293" s="11" t="inlineStr">
        <is>
          <t>02 Energy &amp; Industrial</t>
        </is>
      </c>
      <c r="D293" s="11" t="n">
        <v>52</v>
      </c>
      <c r="E293" s="11" t="inlineStr">
        <is>
          <t>Plains All American Pipeline</t>
        </is>
      </c>
      <c r="F293" s="11" t="inlineStr">
        <is>
          <t>plains.com</t>
        </is>
      </c>
      <c r="G293" s="11" t="n"/>
      <c r="H293" s="11" t="inlineStr">
        <is>
          <t>Crude oil and NGL pipelines, storage and marketing across the US and Canada</t>
        </is>
      </c>
      <c r="I293" s="11" t="n"/>
      <c r="J293" s="11" t="inlineStr">
        <is>
          <t>unknown</t>
        </is>
      </c>
      <c r="K293" s="11" t="inlineStr">
        <is>
          <t>verified-stretch</t>
        </is>
      </c>
      <c r="L293" s="11" t="inlineStr">
        <is>
          <t>~$44.3B FY2025 (Product sales $42.5B, down 10% YoY on lower commodity prices, + Services $1.76B, +4% YoY), largely low-margin pass-through marketing revenue (SEC 10-K FY2025) |  | flags: MLP structure (K-1 tax); headline revenue is largely low-margin</t>
        </is>
      </c>
      <c r="M293" s="11" t="inlineStr">
        <is>
          <t xml:space="preserve">[VERIFIED NEW W7] If pursued, a Houston/Texas corporate hospitality tie-in around crude logistics; best treated as a fallback/stretch name. | </t>
        </is>
      </c>
    </row>
    <row r="294">
      <c r="A294" s="11" t="n">
        <v>291</v>
      </c>
      <c r="B294" s="11" t="inlineStr">
        <is>
          <t>W4</t>
        </is>
      </c>
      <c r="C294" s="11" t="inlineStr">
        <is>
          <t>29 Tech Media &amp; Gaming</t>
        </is>
      </c>
      <c r="D294" s="11" t="n">
        <v>52</v>
      </c>
      <c r="E294" s="11" t="inlineStr">
        <is>
          <t>Prosus N.V.</t>
        </is>
      </c>
      <c r="F294" s="11" t="inlineStr">
        <is>
          <t>prosus.com</t>
        </is>
      </c>
      <c r="G294" s="11" t="n"/>
      <c r="H294" s="11" t="inlineStr">
        <is>
          <t xml:space="preserve">Global internet/technology investment holding operating and investing in classifieds, food delivery (iFood), edtech and </t>
        </is>
      </c>
      <c r="I294" s="11" t="n"/>
      <c r="J294" s="11" t="inlineStr">
        <is>
          <t>unknown</t>
        </is>
      </c>
      <c r="K294" s="11" t="inlineStr">
        <is>
          <t>verified-stretch</t>
        </is>
      </c>
      <c r="L294" s="11" t="inlineStr">
        <is>
          <t xml:space="preserve"> | ~EUR77B (~$83B) market cap on its primary Amsterdam listing (PRX.AS), mid-Sep 2026; some data aggregators show figures as high as ~$194B where Naspers/Prosus cross-holdings are double-counted -- mega-cap either way | flags: Corporate holding-compa</t>
        </is>
      </c>
      <c r="M294" s="11" t="inlineStr">
        <is>
          <t>[VERIFIED NEW W4] Do not pitch the Prosus corporate name directly -- instead approach a flagship, newly-profitable portfolio brand (e.g., iFood in Brazil/LatAm, or a classifieds/fintech asset in an F1-relevant market) for a regional sponsorship, with</t>
        </is>
      </c>
    </row>
    <row r="295">
      <c r="A295" s="11" t="n">
        <v>292</v>
      </c>
      <c r="B295" s="11" t="inlineStr">
        <is>
          <t>W8</t>
        </is>
      </c>
      <c r="C295" s="11" t="inlineStr">
        <is>
          <t>24 Logistics</t>
        </is>
      </c>
      <c r="D295" s="11" t="n">
        <v>52</v>
      </c>
      <c r="E295" s="11" t="inlineStr">
        <is>
          <t>Public Storage</t>
        </is>
      </c>
      <c r="F295" s="11" t="inlineStr">
        <is>
          <t>publicstorage.com</t>
        </is>
      </c>
      <c r="G295" s="11" t="n"/>
      <c r="H295" s="11" t="inlineStr">
        <is>
          <t>Largest US self-storage REIT - leases storage units to consumers and small businesses nationwide</t>
        </is>
      </c>
      <c r="I295" s="11" t="n"/>
      <c r="J295" s="11" t="inlineStr">
        <is>
          <t>unknown</t>
        </is>
      </c>
      <c r="K295" s="11" t="inlineStr">
        <is>
          <t>verified-stretch</t>
        </is>
      </c>
      <c r="L295" s="11" t="inlineStr">
        <is>
          <t>$4.82B FY2025 (up 2.7% YoY, per Q4/FY2025 results, reported ~Feb 2026) |  | flags: REIT structure - marketing spend is typically local/performance (search/local SEO) rather than brand/sponsorship-oriented; no history of major sponsorship spend to poi</t>
        </is>
      </c>
      <c r="M295" s="11" t="inlineStr">
        <is>
          <t xml:space="preserve">[VERIFIED NEW W8] If pursued, position as a brand-awareness/logistics-adjacent play (storage-for-life-transitions, moving, small business) rather than a performance-marketing pitch; acknowledge this is atypical for a REIT's marketing budget. | </t>
        </is>
      </c>
    </row>
    <row r="296">
      <c r="A296" s="11" t="n">
        <v>293</v>
      </c>
      <c r="B296" s="11" t="inlineStr">
        <is>
          <t>W1</t>
        </is>
      </c>
      <c r="C296" s="11" t="inlineStr">
        <is>
          <t>53 Consumer &amp; Lifestyle</t>
        </is>
      </c>
      <c r="D296" s="11" t="n">
        <v>52</v>
      </c>
      <c r="E296" s="11" t="inlineStr">
        <is>
          <t>QuikTrip</t>
        </is>
      </c>
      <c r="F296" s="11" t="inlineStr">
        <is>
          <t>quiktrip.com</t>
        </is>
      </c>
      <c r="G296" s="11" t="inlineStr">
        <is>
          <t>Tulsa, Oklahoma, USA</t>
        </is>
      </c>
      <c r="H296" s="11" t="inlineStr">
        <is>
          <t>Convenience store and fuel retail chain</t>
        </is>
      </c>
      <c r="I296" s="11" t="inlineStr">
        <is>
          <t>~25,000 (est.)</t>
        </is>
      </c>
      <c r="J296" s="11" t="inlineStr">
        <is>
          <t>10k+</t>
        </is>
      </c>
      <c r="K296" s="11" t="inlineStr">
        <is>
          <t>verified-stretch</t>
        </is>
      </c>
      <c r="L296" s="11" t="inlineStr">
        <is>
          <t>$14.16B (FY2024, verified — Wikipedia/company reporting); input's ~$18B (incl. fuel) estimate not independently confirmed | Family-owned, none published | flags: no evidence of prior sports/motorsport sponsorship activity to build on</t>
        </is>
      </c>
      <c r="M296" s="11" t="inlineStr">
        <is>
          <t>[VERIFIED NEW W1] If pursued, frame around fuel/mobility and road-trip convenience messaging tied to a Texas-market race (COTA), leaning on operational scale rather than existing brand fandom. | Financially large and clean (no red flags), but a gener</t>
        </is>
      </c>
    </row>
    <row r="297">
      <c r="A297" s="11" t="n">
        <v>294</v>
      </c>
      <c r="B297" s="11" t="inlineStr">
        <is>
          <t>W3</t>
        </is>
      </c>
      <c r="C297" s="11" t="inlineStr">
        <is>
          <t>42 Health &amp; Wellness</t>
        </is>
      </c>
      <c r="D297" s="11" t="n">
        <v>52</v>
      </c>
      <c r="E297" s="11" t="inlineStr">
        <is>
          <t>Ramsay Health Care Limited</t>
        </is>
      </c>
      <c r="F297" s="11" t="inlineStr">
        <is>
          <t>ramsayhealth.com</t>
        </is>
      </c>
      <c r="G297" s="11" t="n"/>
      <c r="H297" s="11" t="inlineStr">
        <is>
          <t>Private hospital operator across Australia, UK, Europe and Asia</t>
        </is>
      </c>
      <c r="I297" s="11" t="n"/>
      <c r="J297" s="11" t="inlineStr">
        <is>
          <t>unknown</t>
        </is>
      </c>
      <c r="K297" s="11" t="inlineStr">
        <is>
          <t>verified-stretch</t>
        </is>
      </c>
      <c r="L297" s="11" t="inlineStr">
        <is>
          <t>A$17.8B FY2025 (year ended June 2025, ~$11.5B est, company results, 28 Aug 2025) |  | flags: post-COVID labor-cost pressure on margins - monitor; statutory net profit collapsed 82.4% FY2025 (financing costs/tax) even as underlying profit rose modestl</t>
        </is>
      </c>
      <c r="M297" s="11" t="inlineStr">
        <is>
          <t xml:space="preserve">[VERIFIED NEW W3] Melbourne GP home-market hospitality/community tie-in, or a paddock sports-medicine/recovery content partnership; avoid framing that reads as consumer entertainment given the patient-care core business. | </t>
        </is>
      </c>
    </row>
    <row r="298">
      <c r="A298" s="11" t="n">
        <v>295</v>
      </c>
      <c r="B298" s="11" t="inlineStr">
        <is>
          <t>W1</t>
        </is>
      </c>
      <c r="C298" s="11" t="inlineStr">
        <is>
          <t>49 Home &amp; Living</t>
        </is>
      </c>
      <c r="D298" s="11" t="n">
        <v>52</v>
      </c>
      <c r="E298" s="11" t="inlineStr">
        <is>
          <t>Reckitt Benckiser Group plc</t>
        </is>
      </c>
      <c r="F298" s="11" t="inlineStr">
        <is>
          <t>reckitt.com</t>
        </is>
      </c>
      <c r="G298" s="11" t="inlineStr">
        <is>
          <t>United Kingdom</t>
        </is>
      </c>
      <c r="H298" s="11" t="inlineStr">
        <is>
          <t>Household/hygiene (Dettol, Lysol, Finish), health (Durex, Enfamil); global mass retail</t>
        </is>
      </c>
      <c r="I298" s="11" t="inlineStr">
        <is>
          <t>~30,000 employees (mega-brand scale)</t>
        </is>
      </c>
      <c r="J298" s="11" t="inlineStr">
        <is>
          <t>10k+</t>
        </is>
      </c>
      <c r="K298" s="11" t="inlineStr">
        <is>
          <t>verified-stretch</t>
        </is>
      </c>
      <c r="L298" s="11" t="inlineStr">
        <is>
          <t>$18.7B, trailing 12mo to Dec 31 2025, source: stockanalysis.com | ~$38B market cap (range $32-44B across 2026 dates), as of mid-2026, source: companiesmarketcap.com / stockanalysis.com</t>
        </is>
      </c>
      <c r="M298" s="11" t="inlineStr">
        <is>
          <t>[VERIFIED NEW W1] Global hygiene/health portfolio (Dettol, Durex) using F1's global reach to support post-restructuring brand reinvestment. | Multi-year restructuring campaign (since 2024, ~$1.3B in charges) with ongoing US layoffs through 2027 - meg</t>
        </is>
      </c>
    </row>
    <row r="299">
      <c r="A299" s="11" t="n">
        <v>296</v>
      </c>
      <c r="B299" s="11" t="inlineStr">
        <is>
          <t>W10</t>
        </is>
      </c>
      <c r="C299" s="11" t="inlineStr">
        <is>
          <t>24 Logistics</t>
        </is>
      </c>
      <c r="D299" s="11" t="n">
        <v>52</v>
      </c>
      <c r="E299" s="11" t="inlineStr">
        <is>
          <t>Rhenus Group</t>
        </is>
      </c>
      <c r="F299" s="11" t="inlineStr">
        <is>
          <t>rhenus.com</t>
        </is>
      </c>
      <c r="G299" s="11" t="inlineStr">
        <is>
          <t>Germany</t>
        </is>
      </c>
      <c r="H299" s="11" t="inlineStr">
        <is>
          <t>Contract logistics, freight forwarding, warehousing, port logistics</t>
        </is>
      </c>
      <c r="I299" s="11" t="inlineStr">
        <is>
          <t>~40,000+</t>
        </is>
      </c>
      <c r="J299" s="11" t="inlineStr">
        <is>
          <t>10k+</t>
        </is>
      </c>
      <c r="K299" s="11" t="inlineStr">
        <is>
          <t>verified-stretch</t>
        </is>
      </c>
      <c r="L299" s="11" t="inlineStr">
        <is>
          <t>EUR 8.2B (2025) - confirmed, matches input estimate exactly | N/A (private, family-owned); revenue well over $100M so family-ownership pass applies per policy, flagged for no public valuation | flags: Co-founder of Open Logistics Foundation alongside</t>
        </is>
      </c>
      <c r="M299" s="11" t="inlineStr">
        <is>
          <t xml:space="preserve">[VERIFIED NEW W10] Team-level European contract-logistics/warehousing partner for factory operations or European race-freight legs (regional, not series-wide) | Well-capitalized, fast-deciding family owner, but a B2B-only profile plus close industry </t>
        </is>
      </c>
    </row>
    <row r="300">
      <c r="A300" s="11" t="n">
        <v>297</v>
      </c>
      <c r="B300" s="11" t="inlineStr">
        <is>
          <t>W1</t>
        </is>
      </c>
      <c r="C300" s="11" t="inlineStr">
        <is>
          <t>04 Food &amp; Beverage</t>
        </is>
      </c>
      <c r="D300" s="11" t="n">
        <v>52</v>
      </c>
      <c r="E300" s="11" t="inlineStr">
        <is>
          <t>Rich Products Corporation</t>
        </is>
      </c>
      <c r="F300" s="11" t="inlineStr">
        <is>
          <t>rich.com</t>
        </is>
      </c>
      <c r="G300" s="11" t="inlineStr">
        <is>
          <t>Buffalo, New York, USA</t>
        </is>
      </c>
      <c r="H300" s="11" t="inlineStr">
        <is>
          <t>frozen bakery, dessert, and food products (B2B foodservice + retail)</t>
        </is>
      </c>
      <c r="I300" s="11" t="inlineStr">
        <is>
          <t>~13,000 (as of Feb 2025, company-stated)</t>
        </is>
      </c>
      <c r="J300" s="11" t="inlineStr">
        <is>
          <t>10k+</t>
        </is>
      </c>
      <c r="K300" s="11" t="inlineStr">
        <is>
          <t>verified-stretch</t>
        </is>
      </c>
      <c r="L300" s="11" t="inlineStr">
        <is>
          <t>$5.8B (2024) - ranked #110-116 on Forbes America's Largest Private Companies (2024/2025 vintages differ) | family-owned, none published | flags: primarily B2B foodservice/distribution business (sells to restaurants, retailers, bakeries), not a direct</t>
        </is>
      </c>
      <c r="M300" s="11" t="inlineStr">
        <is>
          <t>[VERIFIED NEW W1] If pursued, position as an official foodservice/culinary supply partner for F1 hospitality catering rather than a fan-facing brand campaign. | Solid mega-private-company scale and stability, but fundamentally a B2B ingredient/foodse</t>
        </is>
      </c>
    </row>
    <row r="301">
      <c r="A301" s="11" t="n">
        <v>298</v>
      </c>
      <c r="B301" s="11" t="inlineStr">
        <is>
          <t>W1</t>
        </is>
      </c>
      <c r="C301" s="11" t="inlineStr">
        <is>
          <t>49 Home &amp; Living</t>
        </is>
      </c>
      <c r="D301" s="11" t="n">
        <v>52</v>
      </c>
      <c r="E301" s="11" t="inlineStr">
        <is>
          <t>Ryohin Keikaku Co., Ltd. (MUJI)</t>
        </is>
      </c>
      <c r="F301" s="11" t="inlineStr">
        <is>
          <t>ryohin-keikaku.jp</t>
        </is>
      </c>
      <c r="G301" s="11" t="inlineStr">
        <is>
          <t>Tokyo, Japan</t>
        </is>
      </c>
      <c r="H301" s="11" t="inlineStr">
        <is>
          <t>MUJI (and IDEE) lifestyle, apparel and household goods sold globally across Domestic, East Asia, SE Asia/Oceania, and Eu</t>
        </is>
      </c>
      <c r="I301" s="11" t="inlineStr">
        <is>
          <t>10K-50K (~18,000)</t>
        </is>
      </c>
      <c r="J301" s="11" t="inlineStr">
        <is>
          <t>10k+</t>
        </is>
      </c>
      <c r="K301" s="11" t="inlineStr">
        <is>
          <t>verified-stretch</t>
        </is>
      </c>
      <c r="L301" s="11" t="inlineStr">
        <is>
          <t>Trailing 12-month revenue ~$5.27B (as of Aug 31, 2025); FY2026 guidance raised to ¥887.0B (~$5.9B) net profit guidance also raised to ¥62B — source: Investing.com (2026) | ~$10.3B market cap as of Nov 21, 2025 (most recent figure found) — growthinves</t>
        </is>
      </c>
      <c r="M301" s="11" t="inlineStr">
        <is>
          <t>[VERIFIED NEW W1] A quiet, design-led paddock/lifestyle-amenity or minimalist capsule-product collaboration rather than any livery or logo-placement deal. | Genuine global reach and improving financial capacity, but MUJI's understated, anti-marketing</t>
        </is>
      </c>
    </row>
    <row r="302">
      <c r="A302" s="11" t="n">
        <v>299</v>
      </c>
      <c r="B302" s="11" t="inlineStr">
        <is>
          <t>W4</t>
        </is>
      </c>
      <c r="C302" s="11" t="inlineStr">
        <is>
          <t>27 Chip Makers</t>
        </is>
      </c>
      <c r="D302" s="11" t="n">
        <v>52</v>
      </c>
      <c r="E302" s="11" t="inlineStr">
        <is>
          <t>SK Square Co., Ltd.</t>
        </is>
      </c>
      <c r="F302" s="11" t="inlineStr">
        <is>
          <t>sksquare.com</t>
        </is>
      </c>
      <c r="G302" s="11" t="n"/>
      <c r="H302" s="11" t="inlineStr">
        <is>
          <t xml:space="preserve">Investment holding company spun off from SK Telecom; holds ~20% of SK Hynix (AI memory chips) plus stakes in e-commerce </t>
        </is>
      </c>
      <c r="I302" s="11" t="n"/>
      <c r="J302" s="11" t="inlineStr">
        <is>
          <t>unknown</t>
        </is>
      </c>
      <c r="K302" s="11" t="inlineStr">
        <is>
          <t>verified-stretch</t>
        </is>
      </c>
      <c r="L302" s="11" t="inlineStr">
        <is>
          <t xml:space="preserve"> |  | flags: Pure holding-company structure -- value is driven almost entirely by the SK Hynix stake, not an operating business, so marketing/sponsorship budget authority likely sits with subsidiary brands (SK hynix, SK Telecom) rather than the paren</t>
        </is>
      </c>
      <c r="M302" s="11" t="inlineStr">
        <is>
          <t>[VERIFIED NEW W4] Redirect the pitch to SK hynix (the actual operating semiconductor brand riding the AI-memory wave) rather than the holding company; alternatively, position SK Square/T1 for an F1 esports/sim-racing crossover activation leveraging i</t>
        </is>
      </c>
    </row>
    <row r="303">
      <c r="A303" s="11" t="n">
        <v>300</v>
      </c>
      <c r="B303" s="11" t="inlineStr">
        <is>
          <t>W2</t>
        </is>
      </c>
      <c r="C303" s="11" t="inlineStr">
        <is>
          <t>01 Banking &amp; Insurance</t>
        </is>
      </c>
      <c r="D303" s="11" t="n">
        <v>52</v>
      </c>
      <c r="E303" s="11" t="inlineStr">
        <is>
          <t>SLM Corporation (Sallie Mae)</t>
        </is>
      </c>
      <c r="F303" s="11" t="inlineStr">
        <is>
          <t>salliemae.com</t>
        </is>
      </c>
      <c r="G303" s="11" t="inlineStr">
        <is>
          <t>Newark, DE / Salt Lake City, UT, USA</t>
        </is>
      </c>
      <c r="H303" s="11" t="inlineStr">
        <is>
          <t>Private student loans and consumer banking to US students and families</t>
        </is>
      </c>
      <c r="I303" s="11" t="inlineStr">
        <is>
          <t>1,000–2,500</t>
        </is>
      </c>
      <c r="J303" s="11" t="inlineStr">
        <is>
          <t>1k-5k</t>
        </is>
      </c>
      <c r="K303" s="11" t="inlineStr">
        <is>
          <t>verified-stretch</t>
        </is>
      </c>
      <c r="L303" s="11" t="inlineStr">
        <is>
          <t>$1.98B FY2025 (up from $1.84B FY2024), per Q4/FY2025 earnings release | ~$4.7–4.8B market cap as of 19 Sept 2026 (stockanalysis.com) | flags: Stock has been volatile on 'elevated charge-off' headlines in 2026 — confirm the credit issue is resolved/co</t>
        </is>
      </c>
      <c r="M303" s="11" t="inlineStr">
        <is>
          <t>[VERIFIED NEW W2] College-age/young-fan acquisition story — align with F1's youth-fan growth push and financial-literacy-for-students messaging, likely sized as a mid-tier partnership. | Genuinely strong youth/college-age audience overlap with F1's f</t>
        </is>
      </c>
    </row>
    <row r="304">
      <c r="A304" s="11" t="n">
        <v>301</v>
      </c>
      <c r="B304" s="11" t="inlineStr">
        <is>
          <t>W3</t>
        </is>
      </c>
      <c r="C304" s="11" t="inlineStr">
        <is>
          <t>42 Health &amp; Wellness</t>
        </is>
      </c>
      <c r="D304" s="11" t="n">
        <v>52</v>
      </c>
      <c r="E304" s="11" t="inlineStr">
        <is>
          <t>Sichuan Kelun-Biotech Biopharmaceutical (Kelun-Biotech)</t>
        </is>
      </c>
      <c r="F304" s="11" t="inlineStr">
        <is>
          <t>kelun-biotech.com</t>
        </is>
      </c>
      <c r="G304" s="11" t="inlineStr">
        <is>
          <t>China (subsidiary of Sichuan Kelun Pharmaceutical Group, Hong Kong-listed)</t>
        </is>
      </c>
      <c r="H304" s="11" t="inlineStr">
        <is>
          <t>Antibody-drug conjugate (ADC) oncology pipeline, globally licensed to Merck &amp; Co. (MSD)</t>
        </is>
      </c>
      <c r="I304" s="11" t="inlineStr">
        <is>
          <t>~1,500 (est., unverified this pass)</t>
        </is>
      </c>
      <c r="J304" s="11" t="inlineStr">
        <is>
          <t>1k-5k</t>
        </is>
      </c>
      <c r="K304" s="11" t="inlineStr">
        <is>
          <t>verified-stretch</t>
        </is>
      </c>
      <c r="L304" s="11" t="inlineStr">
        <is>
          <t>FY2025 revenue RMB2,057.92M (~$290M at ~7.1 RMB/USD), driven mainly by Merck upfront/milestone payments ($175M upfront plus milestone payments); net loss RMB381.97M (wider than FY2024's RMB267M on an unadjusted basis), though adjusted loss narrowed f</t>
        </is>
      </c>
      <c r="M304" s="11" t="inlineStr">
        <is>
          <t>[VERIFIED NEW W3] If pursued, lead with the marquee Merck global partnership as third-party validation rather than standalone financials; low priority until revenue diversifies or profitability trend clarifies | Mega-cap by market size and a credible</t>
        </is>
      </c>
    </row>
    <row r="305">
      <c r="A305" s="11" t="n">
        <v>302</v>
      </c>
      <c r="B305" s="11" t="inlineStr">
        <is>
          <t>W13</t>
        </is>
      </c>
      <c r="C305" s="11" t="inlineStr">
        <is>
          <t>09 Fintech</t>
        </is>
      </c>
      <c r="D305" s="11" t="n">
        <v>52</v>
      </c>
      <c r="E305" s="11" t="inlineStr">
        <is>
          <t>Stone Co</t>
        </is>
      </c>
      <c r="F305" s="11" t="inlineStr">
        <is>
          <t>stone.co</t>
        </is>
      </c>
      <c r="G305" s="11" t="inlineStr">
        <is>
          <t>Sao Paulo, Brazil</t>
        </is>
      </c>
      <c r="H305" s="11" t="inlineStr">
        <is>
          <t>Payments, digital banking, and software platform for Brazilian merchants (SMBs)</t>
        </is>
      </c>
      <c r="I305" s="11" t="inlineStr">
        <is>
          <t>10k+</t>
        </is>
      </c>
      <c r="J305" s="11" t="inlineStr">
        <is>
          <t>10k+</t>
        </is>
      </c>
      <c r="K305" s="11" t="inlineStr">
        <is>
          <t>verified-stretch</t>
        </is>
      </c>
      <c r="L305" s="11" t="inlineStr">
        <is>
          <t>R$13.4B (2025), +16% YoY, ~$2.5B USD equiv. - source: SEC Form 20-F/6-K filings, stockanalysis.com | $3.91B market cap (2026) - source: stockanalysis.com | flags: Single-market (Brazil-only) concentration is a real reservation on global-brand fit des</t>
        </is>
      </c>
      <c r="M305" s="11" t="inlineStr">
        <is>
          <t>[VERIFIED NEW W13] A Sao Paulo Grand Prix (Interlagos)-timed activation showcasing Stone's payments infrastructure as 'the engine behind Brazilian commerce', framed as a stepping stone toward the company's stated future international expansion. | All</t>
        </is>
      </c>
    </row>
    <row r="306">
      <c r="A306" s="11" t="n">
        <v>303</v>
      </c>
      <c r="B306" s="11" t="inlineStr">
        <is>
          <t>W2</t>
        </is>
      </c>
      <c r="C306" s="11" t="inlineStr">
        <is>
          <t>01 Banking &amp; Insurance</t>
        </is>
      </c>
      <c r="D306" s="11" t="n">
        <v>52</v>
      </c>
      <c r="E306" s="11" t="inlineStr">
        <is>
          <t>Sumitomo Mitsui Trust Holdings</t>
        </is>
      </c>
      <c r="F306" s="11" t="inlineStr">
        <is>
          <t>smth.jp</t>
        </is>
      </c>
      <c r="G306" s="11" t="inlineStr">
        <is>
          <t>Japan</t>
        </is>
      </c>
      <c r="H306" s="11" t="inlineStr">
        <is>
          <t>Trust banking, asset management, real estate services to institutional and retail clients in Japan, with an asset-manage</t>
        </is>
      </c>
      <c r="I306" s="11" t="inlineStr">
        <is>
          <t>10k-25k (~20,000 est., unverified this pass)</t>
        </is>
      </c>
      <c r="J306" s="11" t="inlineStr">
        <is>
          <t>10k+</t>
        </is>
      </c>
      <c r="K306" s="11" t="inlineStr">
        <is>
          <t>verified-stretch</t>
        </is>
      </c>
      <c r="L306" s="11" t="inlineStr">
        <is>
          <t>Exact FY2025 revenue line not confirmed this pass; FY2025 net income forecast raised to ~JPY317B on gains from reducing strategic shareholdings, dividend raised - profitable and improving. Input's ~$9B FY2024 revenue estimate stands unverified (est.)</t>
        </is>
      </c>
      <c r="M306" s="11" t="inlineStr">
        <is>
          <t>[VERIFIED NEW W2] Wealth-management/trust brand storytelling for HNW and institutional clients - legacy, precision and long-term stewardship themes tied to the Japan GP | Mega-cap and profitable with no F1 tie, but a narrower, Japan-centric trust/wea</t>
        </is>
      </c>
    </row>
    <row r="307">
      <c r="A307" s="11" t="n">
        <v>304</v>
      </c>
      <c r="B307" s="11" t="inlineStr">
        <is>
          <t>W13</t>
        </is>
      </c>
      <c r="C307" s="11" t="inlineStr">
        <is>
          <t>Commercial Vehicles</t>
        </is>
      </c>
      <c r="D307" s="11" t="n">
        <v>52</v>
      </c>
      <c r="E307" s="11" t="inlineStr">
        <is>
          <t>TAFE (Tractors and Farm Equipment Limited)</t>
        </is>
      </c>
      <c r="F307" s="11" t="inlineStr">
        <is>
          <t>tafe.com</t>
        </is>
      </c>
      <c r="G307" s="11" t="inlineStr">
        <is>
          <t>Chennai, India</t>
        </is>
      </c>
      <c r="H307" s="11" t="inlineStr">
        <is>
          <t>Tractors and farm equipment (Massey Ferguson India license, Eicher tractors) to hundreds of thousands of Indian and export-market farmers</t>
        </is>
      </c>
      <c r="I307" s="11" t="inlineStr">
        <is>
          <t>5k-10k (~10,000, est; not independently reconfirmed)</t>
        </is>
      </c>
      <c r="J307" s="11" t="inlineStr">
        <is>
          <t>~10,000, est; not independently reconfirmed</t>
        </is>
      </c>
      <c r="K307" s="11" t="inlineStr">
        <is>
          <t>verified-stretch</t>
        </is>
      </c>
      <c r="L307" s="11" t="inlineStr">
        <is>
          <t>~$1.6B / INR 16,000+ crore annual turnover, current/general figure not broken out by fiscal year (confirmed via WebSearch of TAFE corporate profile, Sep 2026) | Private, no published valuation (family-owned; passes hard bar on revenue per brief rule)</t>
        </is>
      </c>
      <c r="M307" s="11" t="inlineStr">
        <is>
          <t>[VERIFIED NEW W13] Open 'agriculture/heavy machinery' category; tie to TAFE's global-expansion push (Africa/Asia export growth) and precision-engineering story rather than the mass-farmer buyer base. | All hard filters pass (revenue, family-owned no-</t>
        </is>
      </c>
    </row>
    <row r="308">
      <c r="A308" s="11" t="n">
        <v>305</v>
      </c>
      <c r="B308" s="11" t="inlineStr">
        <is>
          <t>W1</t>
        </is>
      </c>
      <c r="C308" s="11" t="inlineStr">
        <is>
          <t>29 Tech Media &amp; Gaming</t>
        </is>
      </c>
      <c r="D308" s="11" t="n">
        <v>52</v>
      </c>
      <c r="E308" s="11" t="inlineStr">
        <is>
          <t>TKO Group Holdings, Inc.</t>
        </is>
      </c>
      <c r="F308" s="11" t="inlineStr">
        <is>
          <t>tkogrp.com</t>
        </is>
      </c>
      <c r="G308" s="11" t="inlineStr">
        <is>
          <t>Stamford, Connecticut, United States</t>
        </is>
      </c>
      <c r="H308" s="11" t="inlineStr">
        <is>
          <t>UFC and WWE live events, media rights and sponsorship inventory sold globally</t>
        </is>
      </c>
      <c r="I308" s="11" t="inlineStr">
        <is>
          <t>1K-5K (~2,500)</t>
        </is>
      </c>
      <c r="J308" s="11" t="inlineStr">
        <is>
          <t>5k-10k</t>
        </is>
      </c>
      <c r="K308" s="11" t="inlineStr">
        <is>
          <t>verified-stretch</t>
        </is>
      </c>
      <c r="L308" s="11" t="inlineStr">
        <is>
          <t>FY2025 revenue $4.735B; TTM through Jun 30, 2026 = $5.30B (+5.07% YoY); FY2026 guidance $5.675B-$5.775B — source: TKO investor relations Q4/FY2025 results release | ~$36B-$38.9B market cap across 2026 readings (input confirmed ~$36B on Sept 11, 2026;</t>
        </is>
      </c>
      <c r="M308" s="11" t="inlineStr">
        <is>
          <t>[VERIFIED NEW W1] Cross-promotional content partnership (e.g., UFC/WWE talent appearances at Grands Prix, joint streaming or docuseries content) rather than a conventional sponsorship buy. | Financially strong and non-competitive with F1, but as a sp</t>
        </is>
      </c>
    </row>
    <row r="309">
      <c r="A309" s="11" t="n">
        <v>306</v>
      </c>
      <c r="B309" s="11" t="inlineStr">
        <is>
          <t>W2</t>
        </is>
      </c>
      <c r="C309" s="11" t="inlineStr">
        <is>
          <t>01 Banking &amp; Insurance</t>
        </is>
      </c>
      <c r="D309" s="11" t="n">
        <v>52</v>
      </c>
      <c r="E309" s="11" t="inlineStr">
        <is>
          <t>TMBThanachart Bank (ttb)</t>
        </is>
      </c>
      <c r="F309" s="11" t="inlineStr">
        <is>
          <t>ttbbank.com</t>
        </is>
      </c>
      <c r="G309" s="11" t="inlineStr">
        <is>
          <t>Thailand</t>
        </is>
      </c>
      <c r="H309" s="11" t="inlineStr">
        <is>
          <t>Retail/commercial banking and auto loans in Thailand</t>
        </is>
      </c>
      <c r="I309" s="11" t="inlineStr">
        <is>
          <t>10k-25k (~14,000 est., unverified this pass)</t>
        </is>
      </c>
      <c r="J309" s="11" t="inlineStr">
        <is>
          <t>10k+</t>
        </is>
      </c>
      <c r="K309" s="11" t="inlineStr">
        <is>
          <t>verified-stretch</t>
        </is>
      </c>
      <c r="L309" s="11" t="inlineStr">
        <is>
          <t>TTM revenue ~$2.25B USD (Aug 2026); FY2025 revenue ~THB49.2B, roughly flat YoY (-0.72%) - profitable but not growing much, no active restructuring found | Market cap ~THB231B (~US$6.6B at ~35 THB/USD) as of July 2026 - above input's ~$4B estimate; ve</t>
        </is>
      </c>
      <c r="M309" s="11" t="inlineStr">
        <is>
          <t xml:space="preserve">[VERIFIED NEW W2] If pursued, a narrow Thailand-only auto-finance/retail-banking angle; low priority without a stronger affluent or multi-market story | Meets the financial bar and no F1 tie, but single-market scale, flat growth and a minority state </t>
        </is>
      </c>
    </row>
    <row r="310">
      <c r="A310" s="11" t="n">
        <v>307</v>
      </c>
      <c r="B310" s="11" t="inlineStr">
        <is>
          <t>W1</t>
        </is>
      </c>
      <c r="C310" s="11" t="inlineStr">
        <is>
          <t>04 Food &amp; Beverage</t>
        </is>
      </c>
      <c r="D310" s="11" t="n">
        <v>52</v>
      </c>
      <c r="E310" s="11" t="inlineStr">
        <is>
          <t>Tchibo</t>
        </is>
      </c>
      <c r="F310" s="11" t="inlineStr">
        <is>
          <t>tchibo.com</t>
        </is>
      </c>
      <c r="G310" s="11" t="inlineStr">
        <is>
          <t>Hamburg, Germany</t>
        </is>
      </c>
      <c r="H310" s="11" t="inlineStr">
        <is>
          <t>coffee plus rotating weekly non-food consumer goods retail</t>
        </is>
      </c>
      <c r="I310" s="11" t="inlineStr">
        <is>
          <t>~11,000 (est., Tchibo standalone)</t>
        </is>
      </c>
      <c r="J310" s="11" t="inlineStr">
        <is>
          <t>10k+</t>
        </is>
      </c>
      <c r="K310" s="11" t="inlineStr">
        <is>
          <t>verified-stretch</t>
        </is>
      </c>
      <c r="L310" s="11" t="inlineStr">
        <is>
          <t>Tchibo standalone €3.357B (2024, +5% nominal/+6% organic YoY, maxingvest.de); EBIT €167M (2024) vs €68M (2023) - improving profitability. Maxingvest Group consolidated (incl. Beiersdorf) €13.2B (2024) | family-owned, none published | flags: Maxingves</t>
        </is>
      </c>
      <c r="M310" s="11" t="inlineStr">
        <is>
          <t>[VERIFIED NEW W1] Coffee-on-the-go / fan-zone retail activation leveraging Tchibo's rotating-goods retail format for race-weekend pop-ups. | Improving profitability and stable family ownership, but mass/value brand positioning and Europe-centric foot</t>
        </is>
      </c>
    </row>
    <row r="311">
      <c r="A311" s="11" t="n">
        <v>308</v>
      </c>
      <c r="B311" s="11" t="inlineStr">
        <is>
          <t>W4</t>
        </is>
      </c>
      <c r="C311" s="11" t="inlineStr">
        <is>
          <t>48 Telecom &amp; Space</t>
        </is>
      </c>
      <c r="D311" s="11" t="n">
        <v>52</v>
      </c>
      <c r="E311" s="11" t="inlineStr">
        <is>
          <t>Telia Company AB</t>
        </is>
      </c>
      <c r="F311" s="11" t="inlineStr">
        <is>
          <t>teliacompany.com</t>
        </is>
      </c>
      <c r="G311" s="11" t="inlineStr">
        <is>
          <t>Solna, Sweden</t>
        </is>
      </c>
      <c r="H311" s="11" t="inlineStr">
        <is>
          <t>Mobile and fixed telecom across Sweden, Finland and the Baltics</t>
        </is>
      </c>
      <c r="I311" s="11" t="inlineStr">
        <is>
          <t>~11,500 (Mid-Enterprise)</t>
        </is>
      </c>
      <c r="J311" s="11" t="inlineStr">
        <is>
          <t>10k+</t>
        </is>
      </c>
      <c r="K311" s="11" t="inlineStr">
        <is>
          <t>verified-stretch</t>
        </is>
      </c>
      <c r="L311" s="11" t="inlineStr">
        <is>
          <t>SEK 88B (~$8.4B), FY2024 (company reports) | $19.5B market cap (SEK 175.29B) as of Feb 2026 (stockanalysis.com / tradingeconomics) | flags: state-minority: Swedish government ~37-39% stake (largest shareholder); legacy Eurasia corruption settlement (</t>
        </is>
      </c>
      <c r="M311" s="11" t="inlineStr">
        <is>
          <t>[VERIFIED NEW W4] Nordic/Baltic 5G and network-reliability narrative; frame the state stake as a governance strength (post-settlement compliance overhaul) rather than a liability. | Clean of F1 conflicts and not majority state-owned, but the large mi</t>
        </is>
      </c>
    </row>
    <row r="312">
      <c r="A312" s="11" t="n">
        <v>309</v>
      </c>
      <c r="B312" s="11" t="inlineStr">
        <is>
          <t>W7</t>
        </is>
      </c>
      <c r="C312" s="11" t="inlineStr">
        <is>
          <t>02 Energy &amp; Industrial</t>
        </is>
      </c>
      <c r="D312" s="11" t="n">
        <v>52</v>
      </c>
      <c r="E312" s="11" t="inlineStr">
        <is>
          <t>Transocean</t>
        </is>
      </c>
      <c r="F312" s="11" t="inlineStr">
        <is>
          <t>deepwater.com</t>
        </is>
      </c>
      <c r="G312" s="11" t="n"/>
      <c r="H312" s="11" t="inlineStr">
        <is>
          <t>Ultra-deepwater and harsh-environment offshore drilling rigs contracted to major and independent oil companies</t>
        </is>
      </c>
      <c r="I312" s="11" t="n"/>
      <c r="J312" s="11" t="inlineStr">
        <is>
          <t>unknown</t>
        </is>
      </c>
      <c r="K312" s="11" t="inlineStr">
        <is>
          <t>verified-stretch</t>
        </is>
      </c>
      <c r="L312" s="11" t="inlineStr">
        <is>
          <t>~$3.5B+ FY2024 est.; Q2 2026 revenue and EBITDA beat guidance with backlog growth (exact consolidated FY2025/2026 figure not isolated in search - est. flagged) |  | flags: pending all-stock acquisition of Valaris (~$5.8B), signed Feb 2026, delayed by</t>
        </is>
      </c>
      <c r="M312" s="11" t="inlineStr">
        <is>
          <t xml:space="preserve">[VERIFIED NEW W7] Extreme-environment engineering / ultra-deepwater technology partner; revisit post-close as the combined Transocean-Valaris 'largest offshore driller' story. | </t>
        </is>
      </c>
    </row>
    <row r="313">
      <c r="A313" s="11" t="n">
        <v>310</v>
      </c>
      <c r="B313" s="11" t="inlineStr">
        <is>
          <t>W1</t>
        </is>
      </c>
      <c r="C313" s="11" t="inlineStr">
        <is>
          <t>53 Consumer &amp; Lifestyle</t>
        </is>
      </c>
      <c r="D313" s="11" t="n">
        <v>52</v>
      </c>
      <c r="E313" s="11" t="inlineStr">
        <is>
          <t>Trent Limited</t>
        </is>
      </c>
      <c r="F313" s="11" t="inlineStr">
        <is>
          <t>trent-tata.com</t>
        </is>
      </c>
      <c r="G313" s="11" t="inlineStr">
        <is>
          <t>Mumbai, India</t>
        </is>
      </c>
      <c r="H313" s="11" t="inlineStr">
        <is>
          <t>Zudio (value fashion) and Westside (mid-market fashion) retail chains across India</t>
        </is>
      </c>
      <c r="I313" s="11" t="inlineStr">
        <is>
          <t>~15,000 employees (input est.)</t>
        </is>
      </c>
      <c r="J313" s="11" t="inlineStr">
        <is>
          <t>10k+</t>
        </is>
      </c>
      <c r="K313" s="11" t="inlineStr">
        <is>
          <t>verified-stretch</t>
        </is>
      </c>
      <c r="L313" s="11" t="inlineStr">
        <is>
          <t>₹19,701.41 crore (~US$2.36B) FY2025-26 (year ended March 2026), +18.2% YoY vs ₹16,668.11 crore prior year (company annual report, verified Sept 2026) | ~₹1,44,554 crore (~US$17.3B) market cap as of June 2026 — well below the input's ~$32B estimate, r</t>
        </is>
      </c>
      <c r="M313" s="11" t="inlineStr">
        <is>
          <t xml:space="preserve">[VERIFIED NEW W1] If pursued, frame as part of a broader Tata Group conversation (alongside Tata Motors/JLR) rather than a standalone Trent pitch. | Solid growth and India retail scale, but no home GP, no product/category tie-in to motorsport, and a </t>
        </is>
      </c>
    </row>
    <row r="314">
      <c r="A314" s="11" t="n">
        <v>311</v>
      </c>
      <c r="B314" s="11" t="inlineStr">
        <is>
          <t>W7</t>
        </is>
      </c>
      <c r="C314" s="11" t="inlineStr">
        <is>
          <t>02 Energy &amp; Industrial</t>
        </is>
      </c>
      <c r="D314" s="11" t="n">
        <v>52</v>
      </c>
      <c r="E314" s="11" t="inlineStr">
        <is>
          <t>USA Compression Partners</t>
        </is>
      </c>
      <c r="F314" s="11" t="inlineStr">
        <is>
          <t>usacompression.com</t>
        </is>
      </c>
      <c r="G314" s="11" t="n"/>
      <c r="H314" s="11" t="inlineStr">
        <is>
          <t>Natural gas compression services (contract compression fleet) to upstream and midstream customers</t>
        </is>
      </c>
      <c r="I314" s="11" t="n"/>
      <c r="J314" s="11" t="inlineStr">
        <is>
          <t>unknown</t>
        </is>
      </c>
      <c r="K314" s="11" t="inlineStr">
        <is>
          <t>verified-stretch</t>
        </is>
      </c>
      <c r="L314" s="11" t="inlineStr">
        <is>
          <t>$998M FY2025 revenue (confirmed, up 5% YoY from $950M); Q1 2026 revenue $331.3M, up ~35% YoY - accelerating momentum |  | flags: market cap sits right at the ~$3B+ floor - reverify at outreach time; MLP structure (K-1 tax reporting) may complicate sp</t>
        </is>
      </c>
      <c r="M314" s="11" t="inlineStr">
        <is>
          <t xml:space="preserve">[VERIFIED NEW W7] Regional gas-infrastructure growth story - position as a mid-tier technical/engineering partner rather than a marquee sponsor. | </t>
        </is>
      </c>
    </row>
    <row r="315">
      <c r="A315" s="11" t="n">
        <v>312</v>
      </c>
      <c r="B315" s="11" t="inlineStr">
        <is>
          <t>W1</t>
        </is>
      </c>
      <c r="C315" s="11" t="inlineStr">
        <is>
          <t>04 Food &amp; Beverage</t>
        </is>
      </c>
      <c r="D315" s="11" t="n">
        <v>52</v>
      </c>
      <c r="E315" s="11" t="inlineStr">
        <is>
          <t>Uni-President Enterprises Corporation</t>
        </is>
      </c>
      <c r="F315" s="11" t="inlineStr">
        <is>
          <t>uni-president.com</t>
        </is>
      </c>
      <c r="G315" s="11" t="inlineStr">
        <is>
          <t>Tainan, Taiwan</t>
        </is>
      </c>
      <c r="H315" s="11" t="inlineStr">
        <is>
          <t>Instant noodles, beverages, and retail (7-Eleven Taiwan JV via President Chain Store) sold across Taiwan, China, and SEA</t>
        </is>
      </c>
      <c r="I315" s="11" t="inlineStr">
        <is>
          <t>10,000-50,000 (~30,000, likely higher on a fully consolidated retail basis)</t>
        </is>
      </c>
      <c r="J315" s="11" t="inlineStr">
        <is>
          <t>10k+</t>
        </is>
      </c>
      <c r="K315" s="11" t="inlineStr">
        <is>
          <t>verified-stretch</t>
        </is>
      </c>
      <c r="L315" s="11" t="inlineStr">
        <is>
          <t>~NT$672.9B (~$21.5B) FY2025 consolidated (materially above the input's ~$5B estimate, likely reflecting full retail-JV consolidation) - source: stockanalysis.com | ~NT$430.7B (~$13.3-13.5B) as of mid-2026 - source: stockanalysis.com | flags: China ma</t>
        </is>
      </c>
      <c r="M315" s="11" t="inlineStr">
        <is>
          <t>[VERIFIED NEW W1] Pan-Asia beverage-brand trackside sampling and hospitality tie-in around China or Singapore GP weekends. | Large multi-market Asia F&amp;B/retail conglomerate with real budget capacity (~$21B revenue) and an open beverage/noodle categor</t>
        </is>
      </c>
    </row>
    <row r="316">
      <c r="A316" s="11" t="n">
        <v>313</v>
      </c>
      <c r="B316" s="11" t="inlineStr">
        <is>
          <t>W1</t>
        </is>
      </c>
      <c r="C316" s="11" t="inlineStr">
        <is>
          <t>04 Food &amp; Beverage</t>
        </is>
      </c>
      <c r="D316" s="11" t="n">
        <v>52</v>
      </c>
      <c r="E316" s="11" t="inlineStr">
        <is>
          <t>Universal Robina Corporation</t>
        </is>
      </c>
      <c r="F316" s="11" t="inlineStr">
        <is>
          <t>urc.com.ph</t>
        </is>
      </c>
      <c r="G316" s="11" t="inlineStr">
        <is>
          <t>Quezon City, Philippines</t>
        </is>
      </c>
      <c r="H316" s="11" t="inlineStr">
        <is>
          <t>Snacks and beverages (Jack 'n Jill) sold across the Philippines, SEA, ANZ, and China</t>
        </is>
      </c>
      <c r="I316" s="11" t="inlineStr">
        <is>
          <t>10,000-50,000 (~19,000)</t>
        </is>
      </c>
      <c r="J316" s="11" t="inlineStr">
        <is>
          <t>10k+</t>
        </is>
      </c>
      <c r="K316" s="11" t="inlineStr">
        <is>
          <t>verified-stretch</t>
        </is>
      </c>
      <c r="L316" s="11" t="inlineStr">
        <is>
          <t>~PHP 168B (~$2.9B) FY2025, +4% YoY - source: insiderph.com/stockanalysis.com | ~$2.1-2.65B market cap as of mid-2026 (materially below the input's ~$4B estimate) - source: stockanalysis.com/companiesmarketcap.com</t>
        </is>
      </c>
      <c r="M316" s="11" t="inlineStr">
        <is>
          <t>[VERIFIED NEW W1] Philippines/SEA fan-zone snack sampling activation tied to a regional GP weekend (e.g. Singapore GP travel audiences). | Multi-market SEA/ANZ/China snack distribution and an open category, but H1 2025 earnings fell 11% on a packagin</t>
        </is>
      </c>
    </row>
    <row r="317">
      <c r="A317" s="11" t="n">
        <v>314</v>
      </c>
      <c r="B317" s="11" t="inlineStr">
        <is>
          <t>W8</t>
        </is>
      </c>
      <c r="C317" s="11" t="inlineStr">
        <is>
          <t>24 Logistics</t>
        </is>
      </c>
      <c r="D317" s="11" t="n">
        <v>52</v>
      </c>
      <c r="E317" s="11" t="inlineStr">
        <is>
          <t>VGP NV</t>
        </is>
      </c>
      <c r="F317" s="11" t="inlineStr">
        <is>
          <t>vgpparks.eu</t>
        </is>
      </c>
      <c r="G317" s="11" t="n"/>
      <c r="H317" s="11" t="inlineStr">
        <is>
          <t>Logistics and semi-industrial real estate parks across Europe (REIT-like developer/operator)</t>
        </is>
      </c>
      <c r="I317" s="11" t="n"/>
      <c r="J317" s="11" t="inlineStr">
        <is>
          <t>unknown</t>
        </is>
      </c>
      <c r="K317" s="11" t="inlineStr">
        <is>
          <t>verified-stretch</t>
        </is>
      </c>
      <c r="L317" s="11" t="inlineStr">
        <is>
          <t xml:space="preserve"> | ~EUR2.1-2.9B market cap (verified Jul 2026, Euronext Brussels:VGP) - lower than original EUR3-4B estimate; sources conflict between ~€2.15B and ~$2.95B USD-equivalent | flags: Market cap verified lower (~€2.1-2.9B) than original ~€3-4B estimate - </t>
        </is>
      </c>
      <c r="M317" s="11" t="inlineStr">
        <is>
          <t xml:space="preserve">[VERIFIED NEW W8] If pursued, frame as a growth-oriented European logistics real estate partner tied to F1's European race logistics footprint; better suited to a regional/European activation than a marquee global partnership given smaller scale. | </t>
        </is>
      </c>
    </row>
    <row r="318">
      <c r="A318" s="11" t="n">
        <v>315</v>
      </c>
      <c r="B318" s="11" t="inlineStr">
        <is>
          <t>W6</t>
        </is>
      </c>
      <c r="C318" s="11" t="inlineStr">
        <is>
          <t>43 Mobility &amp; Automotive</t>
        </is>
      </c>
      <c r="D318" s="11" t="n">
        <v>52</v>
      </c>
      <c r="E318" s="11" t="inlineStr">
        <is>
          <t>Visteon Corporation</t>
        </is>
      </c>
      <c r="F318" s="11" t="inlineStr">
        <is>
          <t>visteon.com</t>
        </is>
      </c>
      <c r="G318" s="11" t="inlineStr">
        <is>
          <t>Van Buren Township, Michigan, USA</t>
        </is>
      </c>
      <c r="H318" s="11" t="inlineStr">
        <is>
          <t>Digital cockpit electronics, displays and connected-car technology</t>
        </is>
      </c>
      <c r="I318" s="11" t="inlineStr">
        <is>
          <t>~10,500</t>
        </is>
      </c>
      <c r="J318" s="11" t="inlineStr">
        <is>
          <t>10k+</t>
        </is>
      </c>
      <c r="K318" s="11" t="inlineStr">
        <is>
          <t>verified-stretch</t>
        </is>
      </c>
      <c r="L318" s="11" t="inlineStr">
        <is>
          <t>$3.768B FY2025 (company full-year results); record adjusted EBITDA of $492M (13.1% margin) | ~$2.6-2.85B market cap as of mid-Sep 2026 (stockanalysis.com) - confirmed below the input's already-borderline $3.3B estimate | flags: market cap confirmed s</t>
        </is>
      </c>
      <c r="M318" s="11" t="inlineStr">
        <is>
          <t>[VERIFIED NEW W6] Digital-cockpit/telemetry-display technology narrative maps directly onto F1 broadcast graphics and in-car driver-display storylines - but size the ask modestly given the smaller balance sheet. | Strong operating momentum (record ma</t>
        </is>
      </c>
    </row>
    <row r="319">
      <c r="A319" s="11" t="n">
        <v>316</v>
      </c>
      <c r="B319" s="11" t="inlineStr">
        <is>
          <t>W6</t>
        </is>
      </c>
      <c r="C319" s="11" t="inlineStr">
        <is>
          <t>40 Test &amp; Measurement</t>
        </is>
      </c>
      <c r="D319" s="11" t="n">
        <v>52</v>
      </c>
      <c r="E319" s="11" t="inlineStr">
        <is>
          <t>Xylem Inc</t>
        </is>
      </c>
      <c r="F319" s="11" t="inlineStr">
        <is>
          <t>xylem.com</t>
        </is>
      </c>
      <c r="G319" s="11" t="inlineStr">
        <is>
          <t>Washington, D.C., USA</t>
        </is>
      </c>
      <c r="H319" s="11" t="inlineStr">
        <is>
          <t>Water and wastewater treatment equipment, pumps, smart meters and analytics (Sensus, YSI) to municipalities and industri</t>
        </is>
      </c>
      <c r="I319" s="11" t="inlineStr">
        <is>
          <t>~23,000</t>
        </is>
      </c>
      <c r="J319" s="11" t="inlineStr">
        <is>
          <t>10k+</t>
        </is>
      </c>
      <c r="K319" s="11" t="inlineStr">
        <is>
          <t>verified-stretch</t>
        </is>
      </c>
      <c r="L319" s="11" t="inlineStr">
        <is>
          <t>FY2025 (year ended Dec 2025) revenue $9.0B, record year; FY2026 guidance $9.1-9.2B (source: Xylem Q4/FY2025 press release, Feb 9 2026, businesswire.com/xylem.com) | ~$26-30B market cap (varies by date, Jul-Sep 2026 sources); stock down ~31% from 52-w</t>
        </is>
      </c>
      <c r="M319" s="11" t="inlineStr">
        <is>
          <t xml:space="preserve">[VERIFIED NEW W6] Water stewardship / sustainability partner story, paired with precision fluid-engineering credibility (pumps, flow sensors) relevant to team facility and cooling-systems narratives. | Profitable global water-tech leader with record </t>
        </is>
      </c>
    </row>
    <row r="320">
      <c r="A320" s="11" t="n">
        <v>317</v>
      </c>
      <c r="B320" s="11" t="inlineStr">
        <is>
          <t>W6</t>
        </is>
      </c>
      <c r="C320" s="11" t="inlineStr">
        <is>
          <t>43 Mobility &amp; Automotive</t>
        </is>
      </c>
      <c r="D320" s="11" t="n">
        <v>52</v>
      </c>
      <c r="E320" s="11" t="inlineStr">
        <is>
          <t>Yamato Holdings Co Ltd</t>
        </is>
      </c>
      <c r="F320" s="11" t="inlineStr">
        <is>
          <t>yamato-hd.co.jp</t>
        </is>
      </c>
      <c r="G320" s="11" t="n"/>
      <c r="H320" s="11" t="n"/>
      <c r="I320" s="11" t="n"/>
      <c r="J320" s="11" t="inlineStr">
        <is>
          <t>unknown</t>
        </is>
      </c>
      <c r="K320" s="11" t="inlineStr">
        <is>
          <t>verified-stretch</t>
        </is>
      </c>
      <c r="L320" s="11" t="inlineStr">
        <is>
          <t>{'value': '¥1,762.7B (~$12.1B at ~¥145/$1) for FY ended March 31, 2025, up slightly YoY; operating profit only ¥14.2B (~0.8% operating margin)', 'source': 'Yamato Holdings Summary of Financial Results / Integrated Report 2025 (yamato-hd.co.jp)'} |  |</t>
        </is>
      </c>
      <c r="M320" s="11" t="inlineStr">
        <is>
          <t xml:space="preserve">[VERIFIED NEW W6] Japan Grand Prix (Suzuka) regional partner leaning on the iconic Kuroneko Yamato consumer brand, positioned as a lower-commitment regional deal rather than a full team partnership given the margin risk. | </t>
        </is>
      </c>
    </row>
    <row r="321">
      <c r="A321" s="11" t="n">
        <v>318</v>
      </c>
      <c r="B321" s="11" t="inlineStr">
        <is>
          <t>W2</t>
        </is>
      </c>
      <c r="C321" s="11" t="inlineStr">
        <is>
          <t>01 Banking &amp; Insurance</t>
        </is>
      </c>
      <c r="D321" s="11" t="n">
        <v>52</v>
      </c>
      <c r="E321" s="11" t="inlineStr">
        <is>
          <t>Yes Bank</t>
        </is>
      </c>
      <c r="F321" s="11" t="inlineStr">
        <is>
          <t>yesbank.in</t>
        </is>
      </c>
      <c r="G321" s="11" t="inlineStr">
        <is>
          <t>India</t>
        </is>
      </c>
      <c r="H321" s="11" t="inlineStr">
        <is>
          <t>Retail and corporate banking in India</t>
        </is>
      </c>
      <c r="I321" s="11" t="inlineStr">
        <is>
          <t>25k-50k (~25,000 est., unverified this pass)</t>
        </is>
      </c>
      <c r="J321" s="11" t="inlineStr">
        <is>
          <t>10k+</t>
        </is>
      </c>
      <c r="K321" s="11" t="inlineStr">
        <is>
          <t>verified-stretch</t>
        </is>
      </c>
      <c r="L321" s="11" t="inlineStr">
        <is>
          <t>Revenue ~₹30,658 Cr (~US$3.5B at ~88 INR/USD) - roughly matches input's ~$3B estimate | Market cap ~₹706.2B (~US$8.0B at ~88 INR/USD) as of Sept 2026 - within input's $7-8B range; verified current (currency-converted) | flags: Ownership in transition</t>
        </is>
      </c>
      <c r="M321" s="11" t="inlineStr">
        <is>
          <t>[VERIFIED NEW W2] "New chapter" turnaround/credibility story anchored by the SMBC partnership - confirm governance/marketing authority first, then pitch as India's re-emerging challenger bank | Improving turnaround with a credible new anchor investor</t>
        </is>
      </c>
    </row>
    <row r="322">
      <c r="A322" s="11" t="n">
        <v>319</v>
      </c>
      <c r="B322" s="11" t="inlineStr">
        <is>
          <t>W3</t>
        </is>
      </c>
      <c r="C322" s="11" t="inlineStr">
        <is>
          <t>42 Health &amp; Wellness</t>
        </is>
      </c>
      <c r="D322" s="11" t="n">
        <v>46</v>
      </c>
      <c r="E322" s="11" t="inlineStr">
        <is>
          <t>Akeso, Inc.</t>
        </is>
      </c>
      <c r="F322" s="11" t="inlineStr">
        <is>
          <t>akesobio.com</t>
        </is>
      </c>
      <c r="G322" s="11" t="inlineStr">
        <is>
          <t>China (Zhongshan/Hong Kong-listed)</t>
        </is>
      </c>
      <c r="H322" s="11" t="inlineStr">
        <is>
          <t>Bispecific antibody oncology (ivonescimab, partnered globally with Summit Therapeutics), sold to hospitals in China plus</t>
        </is>
      </c>
      <c r="I322" s="11" t="inlineStr">
        <is>
          <t>~2,000+ (est., unverified this pass)</t>
        </is>
      </c>
      <c r="J322" s="11" t="inlineStr">
        <is>
          <t>1k-5k</t>
        </is>
      </c>
      <c r="K322" s="11" t="inlineStr">
        <is>
          <t>verified-stretch</t>
        </is>
      </c>
      <c r="L322" s="11" t="inlineStr">
        <is>
          <t>FY2025 revenue RMB3,056.3M (~$430M at ~7.1 RMB/USD), up 43.9% YoY (commercial sales specifically up 51.5%); however net loss widened to RMB1,113.0M (~$155M) from RMB514.5M in 2024 - loss nearly doubled despite revenue growth, driven by R&amp;D/commercial</t>
        </is>
      </c>
      <c r="M322" s="11" t="inlineStr">
        <is>
          <t>[VERIFIED NEW W3] Low priority unless a future quarter shows loss narrowing; if pursued, frame around global licensing/Summit Therapeutics partnership rather than standalone China narrative | High-profile and mega-cap by size, but financials show a w</t>
        </is>
      </c>
    </row>
    <row r="323">
      <c r="A323" s="11" t="n">
        <v>320</v>
      </c>
      <c r="B323" s="11" t="inlineStr">
        <is>
          <t>W7</t>
        </is>
      </c>
      <c r="C323" s="11" t="inlineStr">
        <is>
          <t>02 Energy &amp; Industrial</t>
        </is>
      </c>
      <c r="D323" s="11" t="n">
        <v>46</v>
      </c>
      <c r="E323" s="11" t="inlineStr">
        <is>
          <t>Antero Resources</t>
        </is>
      </c>
      <c r="F323" s="11" t="inlineStr">
        <is>
          <t>anteroresources.com</t>
        </is>
      </c>
      <c r="G323" s="11" t="inlineStr">
        <is>
          <t>Denver, Colorado, USA</t>
        </is>
      </c>
      <c r="H323" s="11" t="inlineStr">
        <is>
          <t>Natural gas, NGLs and oil from Appalachian basin to utilities, exporters and chemical buyers</t>
        </is>
      </c>
      <c r="I323" s="11" t="inlineStr">
        <is>
          <t>~700 (est.) - not independently re-verified this pass</t>
        </is>
      </c>
      <c r="J323" s="11" t="inlineStr">
        <is>
          <t>250-1k</t>
        </is>
      </c>
      <c r="K323" s="11" t="inlineStr">
        <is>
          <t>verified-stretch</t>
        </is>
      </c>
      <c r="L323" s="11" t="inlineStr">
        <is>
          <t>$5.28B FY2025 (+22% YoY, stockanalysis/macrotrends); TTM to Mar 2026 ~$5.87B (+28.8% YoY) | ~$12.2B market cap as of Sept 1, 2026 (up from ~$11.6B in March 2026) | flags: commodity cyclicality; fuel-category conflicts on grid; estimate flagged</t>
        </is>
      </c>
      <c r="M323" s="11" t="inlineStr">
        <is>
          <t>[VERIFIED NEW W7] Net Zero 2030 corporate sponsorship or regional US GP hospitality, not fuel branding. | Growing large-cap Appalachian gas independent with healthy revenue trajectory, but single-market footprint and standing fuel-category conflict l</t>
        </is>
      </c>
    </row>
    <row r="324">
      <c r="A324" s="11" t="n">
        <v>321</v>
      </c>
      <c r="B324" s="11" t="inlineStr">
        <is>
          <t>W8</t>
        </is>
      </c>
      <c r="C324" s="11" t="inlineStr">
        <is>
          <t>18 Services &amp; Other</t>
        </is>
      </c>
      <c r="D324" s="11" t="n">
        <v>46</v>
      </c>
      <c r="E324" s="11" t="inlineStr">
        <is>
          <t>Apple Hospitality REIT Inc</t>
        </is>
      </c>
      <c r="F324" s="11" t="inlineStr">
        <is>
          <t>applehospitalityreit.com</t>
        </is>
      </c>
      <c r="G324" s="11" t="n"/>
      <c r="H324" s="11" t="inlineStr">
        <is>
          <t>Rooms-focused select-service hotel real estate (REIT), Marriott/Hilton branded</t>
        </is>
      </c>
      <c r="I324" s="11" t="n"/>
      <c r="J324" s="11" t="inlineStr">
        <is>
          <t>unknown</t>
        </is>
      </c>
      <c r="K324" s="11" t="inlineStr">
        <is>
          <t>verified-stretch</t>
        </is>
      </c>
      <c r="L324" s="11" t="inlineStr">
        <is>
          <t>$1.41B FY2025 (down 1.3% YoY; Q4/FY2025 earnings release, Feb 2026) |  | flags: revenue and FFO both declined YoY (softening select-service demand); brand invisibility - guests interact with Marriott/Hilton, not Apple Hospitality</t>
        </is>
      </c>
      <c r="M324" s="11" t="inlineStr">
        <is>
          <t xml:space="preserve">[VERIFIED NEW W8] Weak; if pursued, frame as a real-asset/portfolio-diversification sponsor rather than a fan-facing brand partner. | </t>
        </is>
      </c>
    </row>
    <row r="325">
      <c r="A325" s="11" t="n">
        <v>322</v>
      </c>
      <c r="B325" s="11" t="inlineStr">
        <is>
          <t>W7</t>
        </is>
      </c>
      <c r="C325" s="11" t="inlineStr">
        <is>
          <t>02 Energy &amp; Industrial</t>
        </is>
      </c>
      <c r="D325" s="11" t="n">
        <v>46</v>
      </c>
      <c r="E325" s="11" t="inlineStr">
        <is>
          <t>Cenovus Energy</t>
        </is>
      </c>
      <c r="F325" s="11" t="inlineStr">
        <is>
          <t>cenovus.com</t>
        </is>
      </c>
      <c r="G325" s="11" t="inlineStr">
        <is>
          <t>Calgary, Alberta, Canada</t>
        </is>
      </c>
      <c r="H325" s="11" t="inlineStr">
        <is>
          <t>Oil sands crude, conventional oil/gas and refined products (via US refining JV) to North American and export markets</t>
        </is>
      </c>
      <c r="I325" s="11" t="inlineStr">
        <is>
          <t>~8,000 (est., post-MEG Energy acquisition) - not independently re-verified this pass</t>
        </is>
      </c>
      <c r="J325" s="11" t="inlineStr">
        <is>
          <t>5k-10k</t>
        </is>
      </c>
      <c r="K325" s="11" t="inlineStr">
        <is>
          <t>verified-stretch</t>
        </is>
      </c>
      <c r="L325" s="11" t="inlineStr">
        <is>
          <t>CAD $35.57B FY2025 (down ~10.2% YoY per stockanalysis/macrotrends, drawing on 2025 40-F/annual information form); trailing-12-month figure runs higher (~CAD $51.6B) depending on period cited - some source inconsistency flagged | ~$52.7-58B USD (varie</t>
        </is>
      </c>
      <c r="M325" s="11" t="inlineStr">
        <is>
          <t xml:space="preserve">[VERIFIED NEW W7] Canadian GP hospitality plus CCUS/Net Zero 2030 emissions-reduction storytelling (Pathways Alliance member). | Solid large-cap integrated Canadian independent, profitable and improving, but single-region footprint and fuel-category </t>
        </is>
      </c>
    </row>
    <row r="326">
      <c r="A326" s="11" t="n">
        <v>323</v>
      </c>
      <c r="B326" s="11" t="inlineStr">
        <is>
          <t>W8</t>
        </is>
      </c>
      <c r="C326" s="11" t="inlineStr">
        <is>
          <t>18 Services &amp; Other</t>
        </is>
      </c>
      <c r="D326" s="11" t="n">
        <v>46</v>
      </c>
      <c r="E326" s="11" t="inlineStr">
        <is>
          <t>CubeSmart</t>
        </is>
      </c>
      <c r="F326" s="11" t="inlineStr">
        <is>
          <t>cubesmart.com</t>
        </is>
      </c>
      <c r="G326" s="11" t="n"/>
      <c r="H326" s="11" t="inlineStr">
        <is>
          <t>Self-storage real estate (REIT)</t>
        </is>
      </c>
      <c r="I326" s="11" t="n"/>
      <c r="J326" s="11" t="inlineStr">
        <is>
          <t>unknown</t>
        </is>
      </c>
      <c r="K326" s="11" t="inlineStr">
        <is>
          <t>verified-stretch</t>
        </is>
      </c>
      <c r="L326" s="11" t="inlineStr">
        <is>
          <t>$840.4M FY2025 (CubeSmart Q4/FY2025 earnings release, Feb 2026) |  | flags: same-store NOI/net income declining YoY - soft self-storage cycle; smaller scale than sector leaders (EXR); minimal consumer/motorsport brand fit</t>
        </is>
      </c>
      <c r="M326" s="11" t="inlineStr">
        <is>
          <t xml:space="preserve">[VERIFIED NEW W8] Not a strong outbound priority; if pursued, position as a logistics/real-asset diversification story for the sponsorship portfolio rather than a fan-facing activation. | </t>
        </is>
      </c>
    </row>
    <row r="327">
      <c r="A327" s="11" t="n">
        <v>324</v>
      </c>
      <c r="B327" s="11" t="inlineStr">
        <is>
          <t>W7</t>
        </is>
      </c>
      <c r="C327" s="11" t="inlineStr">
        <is>
          <t>02 Energy &amp; Industrial</t>
        </is>
      </c>
      <c r="D327" s="11" t="n">
        <v>46</v>
      </c>
      <c r="E327" s="11" t="inlineStr">
        <is>
          <t>Devon Energy</t>
        </is>
      </c>
      <c r="F327" s="11" t="inlineStr">
        <is>
          <t>dvn.com</t>
        </is>
      </c>
      <c r="G327" s="11" t="inlineStr">
        <is>
          <t>Oklahoma City, Oklahoma, USA</t>
        </is>
      </c>
      <c r="H327" s="11" t="inlineStr">
        <is>
          <t>Crude oil, NGLs and natural gas from US shale basins (Delaware, Eagle Ford, Anadarko, Williston, Powder River, plus lega</t>
        </is>
      </c>
      <c r="I327" s="11" t="inlineStr">
        <is>
          <t>~3,000-4,000 (est., combined post-merger; legacy Devon ~1,800 + legacy Coterra ~2,300) - not independently verified, search budget prioritized on financials</t>
        </is>
      </c>
      <c r="J327" s="11" t="inlineStr">
        <is>
          <t>1k-5k</t>
        </is>
      </c>
      <c r="K327" s="11" t="inlineStr">
        <is>
          <t>verified-stretch</t>
        </is>
      </c>
      <c r="L327" s="11" t="inlineStr">
        <is>
          <t>$17.19B FY2025 (Devon standalone, pre-merger; 10-K filed Feb 18, 2026, SEC EDGAR). Q2 2026 combined-entity quarterly revenue $7.42B vs. $5.99B consensus, implying a combined FY2026 run-rate in the ~$28-30B range post-merger. | ~$53.6B market cap as o</t>
        </is>
      </c>
      <c r="M327" s="11" t="inlineStr">
        <is>
          <t>[VERIFIED NEW W7] Corporate ESG/Net Zero 2030 sponsorship or hospitality buy at US GPs (Austin, Miami, Las Vegas); no title fuel play. | Large, newly-enlarged US shale independent (~$53.6B cap, ~$17B+ standalone revenue growing toward ~$28-30B combin</t>
        </is>
      </c>
    </row>
    <row r="328">
      <c r="A328" s="11" t="n">
        <v>325</v>
      </c>
      <c r="B328" s="11" t="inlineStr">
        <is>
          <t>W1</t>
        </is>
      </c>
      <c r="C328" s="11" t="inlineStr">
        <is>
          <t>49 Home &amp; Living</t>
        </is>
      </c>
      <c r="D328" s="11" t="n">
        <v>46</v>
      </c>
      <c r="E328" s="11" t="inlineStr">
        <is>
          <t>Essity AB</t>
        </is>
      </c>
      <c r="F328" s="11" t="inlineStr">
        <is>
          <t>essity.com</t>
        </is>
      </c>
      <c r="G328" s="11" t="inlineStr">
        <is>
          <t>Sweden</t>
        </is>
      </c>
      <c r="H328" s="11" t="inlineStr">
        <is>
          <t>Tena, Libero, Tork hygiene/tissue products; sold to consumers and institutions globally</t>
        </is>
      </c>
      <c r="I328" s="11" t="inlineStr">
        <is>
          <t>~36,000 employees (mega-brand scale)</t>
        </is>
      </c>
      <c r="J328" s="11" t="inlineStr">
        <is>
          <t>10k+</t>
        </is>
      </c>
      <c r="K328" s="11" t="inlineStr">
        <is>
          <t>verified-stretch</t>
        </is>
      </c>
      <c r="L328" s="11" t="inlineStr">
        <is>
          <t>SEK138.49B (~$14.5B trailing), FY2025, source: Essity FY2025 results / stockanalysis.com | $18.4B market cap, as of May 20 2026, source: stockanalysis.com</t>
        </is>
      </c>
      <c r="M328" s="11" t="inlineStr">
        <is>
          <t>[VERIFIED NEW W1] Weakest natural F1 fit in this batch; best angle would be B2B/institutional hygiene innovation story rather than consumer lifestyle. | 2025 revenue declined -4.85% YoY and the company is restructuring operations in France - mega-bra</t>
        </is>
      </c>
    </row>
    <row r="329">
      <c r="A329" s="11" t="n">
        <v>326</v>
      </c>
      <c r="B329" s="11" t="inlineStr">
        <is>
          <t>W7</t>
        </is>
      </c>
      <c r="C329" s="11" t="inlineStr">
        <is>
          <t>02 Energy &amp; Industrial</t>
        </is>
      </c>
      <c r="D329" s="11" t="n">
        <v>46</v>
      </c>
      <c r="E329" s="11" t="inlineStr">
        <is>
          <t>Expand Energy</t>
        </is>
      </c>
      <c r="F329" s="11" t="inlineStr">
        <is>
          <t>expandenergy.com</t>
        </is>
      </c>
      <c r="G329" s="11" t="inlineStr">
        <is>
          <t>Oklahoma City, Oklahoma, USA</t>
        </is>
      </c>
      <c r="H329" s="11" t="inlineStr">
        <is>
          <t>Natural gas from Appalachian and Haynesville shale to utilities, industrial and LNG-export buyers</t>
        </is>
      </c>
      <c r="I329" s="11" t="inlineStr">
        <is>
          <t>~2,300 (est.) - not independently re-verified this pass</t>
        </is>
      </c>
      <c r="J329" s="11" t="inlineStr">
        <is>
          <t>1k-5k</t>
        </is>
      </c>
      <c r="K329" s="11" t="inlineStr">
        <is>
          <t>verified-stretch</t>
        </is>
      </c>
      <c r="L329" s="11" t="inlineStr">
        <is>
          <t xml:space="preserve">$12.12B FY2025 (up sharply from $4.24B FY2024, reflecting the full-year impact of the Chesapeake/Southwestern combination, per FY2025 10-K/company release) | ~$21.65B market cap (July 28, 2026 reading; other 2026 readings ranged as high as ~$24.78B) </t>
        </is>
      </c>
      <c r="M329" s="11" t="inlineStr">
        <is>
          <t>[VERIFIED NEW W7] Net Zero 2030 / US LNG feedstock relevance storytelling plus hospitality, once post-merger brand recognition further solidifies. | Now the largest US gas producer by volume with strong post-merger revenue growth, but a young, still-</t>
        </is>
      </c>
    </row>
    <row r="330">
      <c r="A330" s="11" t="n">
        <v>327</v>
      </c>
      <c r="B330" s="11" t="inlineStr">
        <is>
          <t>W8</t>
        </is>
      </c>
      <c r="C330" s="11" t="inlineStr">
        <is>
          <t>18 Services &amp; Other</t>
        </is>
      </c>
      <c r="D330" s="11" t="n">
        <v>46</v>
      </c>
      <c r="E330" s="11" t="inlineStr">
        <is>
          <t>Extra Space Storage Inc</t>
        </is>
      </c>
      <c r="F330" s="11" t="inlineStr">
        <is>
          <t>extraspace.com</t>
        </is>
      </c>
      <c r="G330" s="11" t="n"/>
      <c r="H330" s="11" t="inlineStr">
        <is>
          <t>Self-storage real estate (REIT)</t>
        </is>
      </c>
      <c r="I330" s="11" t="n"/>
      <c r="J330" s="11" t="inlineStr">
        <is>
          <t>unknown</t>
        </is>
      </c>
      <c r="K330" s="11" t="inlineStr">
        <is>
          <t>verified-stretch</t>
        </is>
      </c>
      <c r="L330" s="11" t="inlineStr">
        <is>
          <t>$3.45B FY2025 (up 3.7% YoY; FY2025 Q4/full-year results press release, Feb 2026; 10-K) |  | flags: low consumer-brand relevance to motorsport; self-storage category has minimal natural F1 audience overlap</t>
        </is>
      </c>
      <c r="M330" s="11" t="inlineStr">
        <is>
          <t xml:space="preserve">[VERIFIED NEW W8] Local/regional activation angle only - e.g., fan-experience logistics/storage support around a US race weekend (Austin/Vegas) rather than a global partnership; unlikely to be a priority outbound target. | </t>
        </is>
      </c>
    </row>
    <row r="331">
      <c r="A331" s="11" t="n">
        <v>328</v>
      </c>
      <c r="B331" s="11" t="inlineStr">
        <is>
          <t>W7</t>
        </is>
      </c>
      <c r="C331" s="11" t="inlineStr">
        <is>
          <t>02 Energy &amp; Industrial</t>
        </is>
      </c>
      <c r="D331" s="11" t="n">
        <v>46</v>
      </c>
      <c r="E331" s="11" t="inlineStr">
        <is>
          <t>Golar LNG</t>
        </is>
      </c>
      <c r="F331" s="11" t="inlineStr">
        <is>
          <t>golarlng.com</t>
        </is>
      </c>
      <c r="G331" s="11" t="n"/>
      <c r="H331" s="11" t="inlineStr">
        <is>
          <t>Floating LNG (FLNG) production vessels and LNG carrier leasing to national oil companies and energy majors</t>
        </is>
      </c>
      <c r="I331" s="11" t="n"/>
      <c r="J331" s="11" t="inlineStr">
        <is>
          <t>unknown</t>
        </is>
      </c>
      <c r="K331" s="11" t="inlineStr">
        <is>
          <t>verified-stretch</t>
        </is>
      </c>
      <c r="L331" s="11" t="inlineStr">
        <is>
          <t>$393.5M FY2025 revenue (confirmed, up 51% YoY from $260.4M) - high-margin, asset-light FLNG model, thin relative to market cap |  | flags: very low headcount (~250) and thin revenue base ($393.5M) relative to $5.2B market cap - niche, capital-intensi</t>
        </is>
      </c>
      <c r="M331" s="11" t="inlineStr">
        <is>
          <t xml:space="preserve">[VERIFIED NEW W7] LNG-as-transition-fuel / floating infrastructure innovation story - weaker mainstream appeal than oilfield-services peers, better suited to a narrow sustainability-adjacent angle. | </t>
        </is>
      </c>
    </row>
    <row r="332">
      <c r="A332" s="11" t="n">
        <v>329</v>
      </c>
      <c r="B332" s="11" t="inlineStr">
        <is>
          <t>W1</t>
        </is>
      </c>
      <c r="C332" s="11" t="inlineStr">
        <is>
          <t>04 Food &amp; Beverage</t>
        </is>
      </c>
      <c r="D332" s="11" t="n">
        <v>46</v>
      </c>
      <c r="E332" s="11" t="inlineStr">
        <is>
          <t>Hormel Foods Corporation</t>
        </is>
      </c>
      <c r="F332" s="11" t="inlineStr">
        <is>
          <t>hormelfoods.com</t>
        </is>
      </c>
      <c r="G332" s="11" t="inlineStr">
        <is>
          <t>United States</t>
        </is>
      </c>
      <c r="H332" s="11" t="inlineStr">
        <is>
          <t>Spam, Skippy, Jennie-O; packaged meat/food products sold mainly via US grocery/foodservice, some international</t>
        </is>
      </c>
      <c r="I332" s="11" t="inlineStr">
        <is>
          <t>~20,000 employees (mega-brand scale)</t>
        </is>
      </c>
      <c r="J332" s="11" t="inlineStr">
        <is>
          <t>10k+</t>
        </is>
      </c>
      <c r="K332" s="11" t="inlineStr">
        <is>
          <t>verified-stretch</t>
        </is>
      </c>
      <c r="L332" s="11" t="inlineStr">
        <is>
          <t>$12.1B, FY2025 (ended Oct 2025, +2% YoY), source: Hormel Foods Q4/FY2025 earnings release | $11.93B market cap, as of Sep 2026, source: companiesmarketcap.com</t>
        </is>
      </c>
      <c r="M332" s="11" t="inlineStr">
        <is>
          <t>[VERIFIED NEW W1] Low natural fit; if pursued, angle would be international/foodservice growth ambitions (Jennie-O, Skippy) rather than a lifestyle/performance story. | Cutting ~250 corporate/sales roles with $20-25M restructuring charges (Q4 FY2025/</t>
        </is>
      </c>
    </row>
    <row r="333">
      <c r="A333" s="11" t="n">
        <v>330</v>
      </c>
      <c r="B333" s="11" t="inlineStr">
        <is>
          <t>W2</t>
        </is>
      </c>
      <c r="C333" s="11" t="inlineStr">
        <is>
          <t>01 Banking &amp; Insurance</t>
        </is>
      </c>
      <c r="D333" s="11" t="n">
        <v>46</v>
      </c>
      <c r="E333" s="11" t="inlineStr">
        <is>
          <t>Mega Financial Holding</t>
        </is>
      </c>
      <c r="F333" s="11" t="inlineStr">
        <is>
          <t>megaholdings.com.tw</t>
        </is>
      </c>
      <c r="G333" s="11" t="inlineStr">
        <is>
          <t>Taiwan</t>
        </is>
      </c>
      <c r="H333" s="11" t="inlineStr">
        <is>
          <t>Commercial banking, insurance, securities, largely Taiwan-focused with an export-finance corporate client base</t>
        </is>
      </c>
      <c r="I333" s="11" t="inlineStr">
        <is>
          <t>10k-25k (~14,000 est., unverified this pass)</t>
        </is>
      </c>
      <c r="J333" s="11" t="inlineStr">
        <is>
          <t>10k+</t>
        </is>
      </c>
      <c r="K333" s="11" t="inlineStr">
        <is>
          <t>verified-stretch</t>
        </is>
      </c>
      <c r="L333" s="11" t="inlineStr">
        <is>
          <t>TTM revenue ~TWD78.9B (~US$2.4B); TTM profit ~TWD36.4B - profitable, no restructuring signals found | Market cap ~TWD593B (~US$18.2B at ~32.5 TWD/USD) - above input's ~$13B estimate; verified current (currency-converted) | flags: Minority Taiwan Mini</t>
        </is>
      </c>
      <c r="M333" s="11" t="inlineStr">
        <is>
          <t>[VERIFIED NEW W2] If pursued, frame around Taiwan trade/export-finance and logistics network ties rather than a consumer affluence story; otherwise low priority vs. peers | Mega-cap tier means it can't be a hard No, but the fit narrative is weak (Tai</t>
        </is>
      </c>
    </row>
    <row r="334">
      <c r="A334" s="11" t="n">
        <v>331</v>
      </c>
      <c r="B334" s="11" t="inlineStr">
        <is>
          <t>W7</t>
        </is>
      </c>
      <c r="C334" s="11" t="inlineStr">
        <is>
          <t>02 Energy &amp; Industrial</t>
        </is>
      </c>
      <c r="D334" s="11" t="n">
        <v>46</v>
      </c>
      <c r="E334" s="11" t="inlineStr">
        <is>
          <t>Ovintiv</t>
        </is>
      </c>
      <c r="F334" s="11" t="inlineStr">
        <is>
          <t>ovintiv.com</t>
        </is>
      </c>
      <c r="G334" s="11" t="inlineStr">
        <is>
          <t>Denver, Colorado, USA (Canadian heritage - formerly Encana)</t>
        </is>
      </c>
      <c r="H334" s="11" t="inlineStr">
        <is>
          <t>Crude oil, natural gas and NGLs from Permian, Anadarko and Montney plays</t>
        </is>
      </c>
      <c r="I334" s="11" t="inlineStr">
        <is>
          <t>~2,200 (est.) - not independently re-verified this pass</t>
        </is>
      </c>
      <c r="J334" s="11" t="inlineStr">
        <is>
          <t>1k-5k</t>
        </is>
      </c>
      <c r="K334" s="11" t="inlineStr">
        <is>
          <t>verified-stretch</t>
        </is>
      </c>
      <c r="L334" s="11" t="inlineStr">
        <is>
          <t>$8.66B FY2025 (down ~3.1% YoY, stockanalysis/macrotrends); net earnings $1.24B (+10.4% YoY) | ~$17.66-17.85B market cap (Sept 4-8, 2026 readings) | flags: commodity cyclicality; fuel-category conflicts on grid; estimate flagged</t>
        </is>
      </c>
      <c r="M334" s="11" t="inlineStr">
        <is>
          <t>[VERIFIED NEW W7] Corporate sponsorship or Canadian/US GP hospitality given a clean motorsport slate. | Solid, profitable cross-border independent with no existing motorsport relationships to work around, but North-America-only footprint and the stan</t>
        </is>
      </c>
    </row>
    <row r="335">
      <c r="A335" s="11" t="n">
        <v>332</v>
      </c>
      <c r="B335" s="11" t="inlineStr">
        <is>
          <t>W7</t>
        </is>
      </c>
      <c r="C335" s="11" t="inlineStr">
        <is>
          <t>02 Energy &amp; Industrial</t>
        </is>
      </c>
      <c r="D335" s="11" t="n">
        <v>46</v>
      </c>
      <c r="E335" s="11" t="inlineStr">
        <is>
          <t>Range Resources</t>
        </is>
      </c>
      <c r="F335" s="11" t="inlineStr">
        <is>
          <t>rangeresources.com</t>
        </is>
      </c>
      <c r="G335" s="11" t="inlineStr">
        <is>
          <t>Fort Worth, Texas, USA</t>
        </is>
      </c>
      <c r="H335" s="11" t="inlineStr">
        <is>
          <t>Natural gas, NGLs and condensate from the Appalachian Marcellus shale to utilities, LNG exporters and petrochemical buye</t>
        </is>
      </c>
      <c r="I335" s="11" t="inlineStr">
        <is>
          <t>~700 (est.) - not independently re-verified this pass</t>
        </is>
      </c>
      <c r="J335" s="11" t="inlineStr">
        <is>
          <t>250-1k</t>
        </is>
      </c>
      <c r="K335" s="11" t="inlineStr">
        <is>
          <t>verified-stretch</t>
        </is>
      </c>
      <c r="L335" s="11" t="inlineStr">
        <is>
          <t>$2.99B FY2025 (+27.3% YoY, per company Q4/FY2025 release and stockanalysis); Q2 2026 revenue $833.6M, above the $752.2M consensus | ~$9.4-9.7B market cap (July 2026 readings) | flags: commodity cyclicality; fuel-category conflicts on grid; borderline</t>
        </is>
      </c>
      <c r="M335" s="11" t="inlineStr">
        <is>
          <t>[VERIFIED NEW W7] Net Zero 2030 supplier narrative around low-carbon-intensity gas plus US GP (regional) hospitality. | Solid, growing Appalachian gas independent, but the smallest and most single-market company on this list, with the same fuel-categ</t>
        </is>
      </c>
    </row>
    <row r="336">
      <c r="A336" s="11" t="n">
        <v>333</v>
      </c>
      <c r="B336" s="11" t="inlineStr">
        <is>
          <t>W7</t>
        </is>
      </c>
      <c r="C336" s="11" t="inlineStr">
        <is>
          <t>02 Energy &amp; Industrial</t>
        </is>
      </c>
      <c r="D336" s="11" t="n">
        <v>46</v>
      </c>
      <c r="E336" s="11" t="inlineStr">
        <is>
          <t>Suncor Energy</t>
        </is>
      </c>
      <c r="F336" s="11" t="inlineStr">
        <is>
          <t>suncor.com</t>
        </is>
      </c>
      <c r="G336" s="11" t="inlineStr">
        <is>
          <t>Calgary, Alberta, Canada</t>
        </is>
      </c>
      <c r="H336" s="11" t="inlineStr">
        <is>
          <t>Oil sands crude, refined fuels and Petro-Canada retail fuel/lubricants across Canada</t>
        </is>
      </c>
      <c r="I336" s="11" t="inlineStr">
        <is>
          <t>~15,000 (est.) - not independently re-verified this pass</t>
        </is>
      </c>
      <c r="J336" s="11" t="inlineStr">
        <is>
          <t>10k+</t>
        </is>
      </c>
      <c r="K336" s="11" t="inlineStr">
        <is>
          <t>verified-stretch</t>
        </is>
      </c>
      <c r="L336" s="11" t="inlineStr">
        <is>
          <t xml:space="preserve">CAD $48.91B FY2025 (down ~3.5% YoY, stockanalysis/macrotrends) | ~$77.07B USD (Aug 2026) / ~CAD $112.82B (Sept 17, 2026) - large spread reflects date/FX; mega-cap by any reading | flags: commodity cyclicality; owns a directly competing consumer fuel </t>
        </is>
      </c>
      <c r="M336" s="11" t="inlineStr">
        <is>
          <t>[VERIFIED NEW W7] Canadian GP regional retail/hospitality activation or non-title team partnership outside the fuel category; motorsport-adjacent lubricant-line tie-in if category clearance can be secured. | Mega-cap scale and a recognizable consumer</t>
        </is>
      </c>
    </row>
    <row r="337">
      <c r="A337" s="11" t="n">
        <v>334</v>
      </c>
      <c r="B337" s="11" t="inlineStr">
        <is>
          <t>W5</t>
        </is>
      </c>
      <c r="C337" s="11" t="inlineStr">
        <is>
          <t>10 ERP &amp; Finance Procurement</t>
        </is>
      </c>
      <c r="D337" s="11" t="n">
        <v>46</v>
      </c>
      <c r="E337" s="11" t="inlineStr">
        <is>
          <t>TaxAct</t>
        </is>
      </c>
      <c r="F337" s="11" t="inlineStr">
        <is>
          <t>taxact.com</t>
        </is>
      </c>
      <c r="G337" s="11" t="inlineStr">
        <is>
          <t>Cedar Rapids, IA, USA</t>
        </is>
      </c>
      <c r="H337" s="11" t="inlineStr">
        <is>
          <t>Consumer and small-business DIY tax preparation software</t>
        </is>
      </c>
      <c r="I337" s="11" t="inlineStr">
        <is>
          <t>~400-500 (standalone TaxAct entity; larger under combined Taxwell parent with Drake Software, which serves 70,000+ tax/accounting firms)</t>
        </is>
      </c>
      <c r="J337" s="11" t="inlineStr">
        <is>
          <t>10k+</t>
        </is>
      </c>
      <c r="K337" s="11" t="inlineStr">
        <is>
          <t>verified-stretch</t>
        </is>
      </c>
      <c r="L337" s="11" t="inlineStr">
        <is>
          <t>~$200-250M (est., standalone entity) | $720M (2022 Cinven acquisition price, confirmed) - no $1B+ evidence for the combined Taxwell entity found | flags: Primarily B2C DIY tax software rather than enterprise SaaS - weak category fit; No $1B+ valuatio</t>
        </is>
      </c>
      <c r="M337" s="11" t="inlineStr">
        <is>
          <t>[VERIFIED NEW W5] If pursued, a consumer-facing tax-season promotional tie-in rather than a B2B enterprise pitch; low priority relative to other names in this batch. | Passes revenue but capped by valuation-evidence rule and a weak B2C/enterprise-Saa</t>
        </is>
      </c>
    </row>
    <row r="338">
      <c r="A338" s="11" t="n">
        <v>335</v>
      </c>
      <c r="B338" s="11" t="inlineStr">
        <is>
          <t>W1</t>
        </is>
      </c>
      <c r="C338" s="11" t="inlineStr">
        <is>
          <t>49 Home &amp; Living</t>
        </is>
      </c>
      <c r="D338" s="11" t="n">
        <v>46</v>
      </c>
      <c r="E338" s="11" t="inlineStr">
        <is>
          <t>The Clorox Company</t>
        </is>
      </c>
      <c r="F338" s="11" t="inlineStr">
        <is>
          <t>thecloroxcompany.com</t>
        </is>
      </c>
      <c r="G338" s="11" t="inlineStr">
        <is>
          <t>United States</t>
        </is>
      </c>
      <c r="H338" s="11" t="inlineStr">
        <is>
          <t>Clorox, Pine-Sol, Glad, Burt's Bees; household cleaning/consumer products, primarily via US mass retail</t>
        </is>
      </c>
      <c r="I338" s="11" t="inlineStr">
        <is>
          <t>~7,700 employees</t>
        </is>
      </c>
      <c r="J338" s="11" t="inlineStr">
        <is>
          <t>5k-10k</t>
        </is>
      </c>
      <c r="K338" s="11" t="inlineStr">
        <is>
          <t>verified-stretch</t>
        </is>
      </c>
      <c r="L338" s="11" t="inlineStr">
        <is>
          <t>$7.10B, FY2025 (ended Jun 30 2025), source: Clorox FY2025 10-K / stockanalysis.com | $11.7B market cap, as of Jul 31 2026, source: macrotrends.net</t>
        </is>
      </c>
      <c r="M338" s="11" t="inlineStr">
        <is>
          <t>[VERIFIED NEW W1] Weak natural F1 fit given US-centric distribution; best angle limited to a niche performance-cleaning/technology sub-brand story if pursued at all. | Active 10% workforce reduction and innovation-team cuts, FY2026 net sales down ~5%</t>
        </is>
      </c>
    </row>
    <row r="339">
      <c r="A339" s="11" t="n">
        <v>336</v>
      </c>
      <c r="B339" s="11" t="inlineStr">
        <is>
          <t>W11</t>
        </is>
      </c>
      <c r="C339" s="11" t="inlineStr">
        <is>
          <t>29 Tech Media &amp; Gaming</t>
        </is>
      </c>
      <c r="D339" s="11" t="n">
        <v>46</v>
      </c>
      <c r="E339" s="11" t="inlineStr">
        <is>
          <t>UTA (United Talent Agency)</t>
        </is>
      </c>
      <c r="F339" s="11" t="inlineStr">
        <is>
          <t>unitedtalent.com</t>
        </is>
      </c>
      <c r="G339" s="11" t="n"/>
      <c r="H339" s="11" t="inlineStr">
        <is>
          <t>Talent and creator representation (film/TV/music/sports/digital), agency and venture/brand-partnership services (UTA IQ)</t>
        </is>
      </c>
      <c r="I339" s="11" t="n"/>
      <c r="J339" s="11" t="inlineStr">
        <is>
          <t>unknown</t>
        </is>
      </c>
      <c r="K339" s="11" t="inlineStr">
        <is>
          <t>verified-stretch</t>
        </is>
      </c>
      <c r="L339" s="11" t="inlineStr">
        <is>
          <t>Private, undisclosed; third-party estimates range widely ($294M-$1B, most citations cluster ~$500M) (est) - search budget; ZoomInfo/RocketReach/LeadIQ, 2026. |  | flags: Conflict-of-interest class - agency represents athletes/celebrities across compe</t>
        </is>
      </c>
      <c r="M339" s="11" t="inlineStr">
        <is>
          <t xml:space="preserve">[VERIFIED NEW W11] UTA IQ brand-partnerships arm as a co-marketing or talent-booking partner for F1-adjacent activations (drivers' media/content deals, docuseries talent), rather than a race-title or team sponsorship pitch. | </t>
        </is>
      </c>
    </row>
    <row r="340">
      <c r="A340" s="11" t="n">
        <v>337</v>
      </c>
      <c r="B340" s="11" t="inlineStr">
        <is>
          <t>W5</t>
        </is>
      </c>
      <c r="C340" s="11" t="inlineStr">
        <is>
          <t>07 Marketing &amp; Sales</t>
        </is>
      </c>
      <c r="D340" s="11" t="n">
        <v>46</v>
      </c>
      <c r="E340" s="11" t="inlineStr">
        <is>
          <t>Xactly</t>
        </is>
      </c>
      <c r="F340" s="11" t="inlineStr">
        <is>
          <t>xactlycorp.com</t>
        </is>
      </c>
      <c r="G340" s="11" t="inlineStr">
        <is>
          <t>San Jose, CA, USA</t>
        </is>
      </c>
      <c r="H340" s="11" t="inlineStr">
        <is>
          <t>Sales performance management and incentive compensation software</t>
        </is>
      </c>
      <c r="I340" s="11" t="inlineStr">
        <is>
          <t>~900-1,000 (est.)</t>
        </is>
      </c>
      <c r="J340" s="11" t="inlineStr">
        <is>
          <t>1k-5k</t>
        </is>
      </c>
      <c r="K340" s="11" t="inlineStr">
        <is>
          <t>verified-stretch</t>
        </is>
      </c>
      <c r="L340" s="11" t="inlineStr">
        <is>
          <t>~$180-220M (est.; no corroborating source found this round - carries forward from input estimate) | $564M (2017 Vista Equity acquisition price, confirmed) - no updated valuation evidence found in 9 years since | flags: PE-owned 9 years with no confir</t>
        </is>
      </c>
      <c r="M340" s="11" t="inlineStr">
        <is>
          <t>[VERIFIED NEW W5] Sales-performance/incentive-comp narrative could tie into a team-performance/driver-incentive content angle rather than a large-budget sponsorship. | No $1B+ valuation evidence despite a 9-year PE hold, plus borderline customer scal</t>
        </is>
      </c>
    </row>
    <row r="341">
      <c r="A341" s="11" t="n">
        <v>338</v>
      </c>
      <c r="B341" s="11" t="inlineStr">
        <is>
          <t>W3</t>
        </is>
      </c>
      <c r="C341" s="11" t="inlineStr">
        <is>
          <t>42 Health &amp; Wellness</t>
        </is>
      </c>
      <c r="D341" s="11" t="n">
        <v>46</v>
      </c>
      <c r="E341" s="11" t="inlineStr">
        <is>
          <t>Zealand Pharma A/S</t>
        </is>
      </c>
      <c r="F341" s="11" t="inlineStr">
        <is>
          <t>zealandpharma.com</t>
        </is>
      </c>
      <c r="G341" s="11" t="inlineStr">
        <is>
          <t>Denmark</t>
        </is>
      </c>
      <c r="H341" s="11" t="inlineStr">
        <is>
          <t>Peptide-based biotech (obesity/GI pipeline - glepaglutide, dasiglucagon/Zegalogue via partners); Novo Nordisk partnershi</t>
        </is>
      </c>
      <c r="I341" s="11" t="inlineStr">
        <is>
          <t>~500 (est., unverified this pass)</t>
        </is>
      </c>
      <c r="J341" s="11" t="inlineStr">
        <is>
          <t>250-1k</t>
        </is>
      </c>
      <c r="K341" s="11" t="inlineStr">
        <is>
          <t>verified-stretch</t>
        </is>
      </c>
      <c r="L341" s="11" t="inlineStr">
        <is>
          <t xml:space="preserve">2024 revenue was DKK63M (Zegalogue license/development fees only). First nine months of 2025 revenue jumped to DKK9,145.9M, but this was overwhelmingly driven by a one-time Roche partnership upfront payment (signed March 2025), not recurring product </t>
        </is>
      </c>
      <c r="M341" s="11" t="inlineStr">
        <is>
          <t>[VERIFIED NEW W3] Low priority; if pursued, wait for clarity on Roche partnership economics and evidence of recurring revenue before framing an obesity/metabolic-health story | Borderline market cap, thin recurring revenue reliant on one-time partner</t>
        </is>
      </c>
    </row>
    <row r="342">
      <c r="A342" s="11" t="n">
        <v>339</v>
      </c>
      <c r="B342" s="11" t="inlineStr">
        <is>
          <t>W8</t>
        </is>
      </c>
      <c r="C342" s="11" t="inlineStr">
        <is>
          <t>18 Services &amp; Other</t>
        </is>
      </c>
      <c r="D342" s="11" t="n">
        <v>40</v>
      </c>
      <c r="E342" s="11" t="inlineStr">
        <is>
          <t>EastGroup Properties Inc</t>
        </is>
      </c>
      <c r="F342" s="11" t="inlineStr">
        <is>
          <t>eastgroup.net</t>
        </is>
      </c>
      <c r="G342" s="11" t="n"/>
      <c r="H342" s="11" t="inlineStr">
        <is>
          <t>Multi-tenant industrial/logistics real estate (REIT), Sunbelt-focused</t>
        </is>
      </c>
      <c r="I342" s="11" t="n"/>
      <c r="J342" s="11" t="inlineStr">
        <is>
          <t>unknown</t>
        </is>
      </c>
      <c r="K342" s="11" t="inlineStr">
        <is>
          <t>verified-stretch</t>
        </is>
      </c>
      <c r="L342" s="11" t="inlineStr">
        <is>
          <t>$721.3M FY2025 (up 13% YoY; Q4/FY2025 earnings release, Feb 2026) |  | flags: purely B2B industrial landlord - no consumer brand presence</t>
        </is>
      </c>
      <c r="M342" s="11" t="inlineStr">
        <is>
          <t xml:space="preserve">[VERIFIED NEW W8] Not a strong candidate; if used, frame as a real-asset/logistics-sector sponsor for B2B-oriented activation only. | </t>
        </is>
      </c>
    </row>
    <row r="343">
      <c r="A343" s="11" t="n">
        <v>340</v>
      </c>
      <c r="B343" s="11" t="inlineStr">
        <is>
          <t>W8</t>
        </is>
      </c>
      <c r="C343" s="11" t="inlineStr">
        <is>
          <t>18 Services &amp; Other</t>
        </is>
      </c>
      <c r="D343" s="11" t="n">
        <v>40</v>
      </c>
      <c r="E343" s="11" t="inlineStr">
        <is>
          <t>First Industrial Realty Trust Inc</t>
        </is>
      </c>
      <c r="F343" s="11" t="inlineStr">
        <is>
          <t>firstindustrial.com</t>
        </is>
      </c>
      <c r="G343" s="11" t="n"/>
      <c r="H343" s="11" t="inlineStr">
        <is>
          <t>Industrial/logistics warehouse real estate (REIT)</t>
        </is>
      </c>
      <c r="I343" s="11" t="n"/>
      <c r="J343" s="11" t="inlineStr">
        <is>
          <t>unknown</t>
        </is>
      </c>
      <c r="K343" s="11" t="inlineStr">
        <is>
          <t>verified-stretch</t>
        </is>
      </c>
      <c r="L343" s="11" t="inlineStr">
        <is>
          <t>FY2025 revenue not separately isolated in sources reviewed; FFO $403.8M FY2025 (up 15% YoY), FFO margin improved to 56% (Q4/FY2025 earnings release, Feb 2026) |  | flags: purely B2B industrial landlord - no consumer brand presence</t>
        </is>
      </c>
      <c r="M343" s="11" t="inlineStr">
        <is>
          <t xml:space="preserve">[VERIFIED NEW W8] Not a strong candidate; if used, frame as a logistics/supply-chain real-asset sponsor for B2B-oriented activation only. | </t>
        </is>
      </c>
    </row>
    <row r="344">
      <c r="A344" s="11" t="n">
        <v>341</v>
      </c>
      <c r="B344" s="11" t="inlineStr">
        <is>
          <t>W8</t>
        </is>
      </c>
      <c r="C344" s="11" t="inlineStr">
        <is>
          <t>18 Services &amp; Other</t>
        </is>
      </c>
      <c r="D344" s="11" t="n">
        <v>40</v>
      </c>
      <c r="E344" s="11" t="inlineStr">
        <is>
          <t>Rexford Industrial Realty Inc</t>
        </is>
      </c>
      <c r="F344" s="11" t="inlineStr">
        <is>
          <t>rexfordindustrial.com</t>
        </is>
      </c>
      <c r="G344" s="11" t="n"/>
      <c r="H344" s="11" t="inlineStr">
        <is>
          <t>Infill industrial/logistics real estate (REIT), Southern California focus</t>
        </is>
      </c>
      <c r="I344" s="11" t="n"/>
      <c r="J344" s="11" t="inlineStr">
        <is>
          <t>unknown</t>
        </is>
      </c>
      <c r="K344" s="11" t="inlineStr">
        <is>
          <t>verified-stretch</t>
        </is>
      </c>
      <c r="L344" s="11" t="inlineStr">
        <is>
          <t>$1.00B FY2025 (up 7.1% YoY; Q4/FY2025 earnings release, Feb 2026) |  | flags: single-region (SoCal) concentration; purely B2B industrial landlord - no consumer brand</t>
        </is>
      </c>
      <c r="M344" s="11" t="inlineStr">
        <is>
          <t xml:space="preserve">[VERIFIED NEW W8] Not a strong candidate; if used, position purely as a real-asset diversification/CSR-adjacent sponsor rather than fan-facing. | </t>
        </is>
      </c>
    </row>
    <row r="345">
      <c r="A345" s="11" t="n">
        <v>342</v>
      </c>
      <c r="B345" s="11" t="inlineStr">
        <is>
          <t>W8</t>
        </is>
      </c>
      <c r="C345" s="11" t="inlineStr">
        <is>
          <t>18 Services &amp; Other</t>
        </is>
      </c>
      <c r="D345" s="11" t="n">
        <v>40</v>
      </c>
      <c r="E345" s="11" t="inlineStr">
        <is>
          <t>W. P. Carey Inc</t>
        </is>
      </c>
      <c r="F345" s="11" t="inlineStr">
        <is>
          <t>wpcarey.com</t>
        </is>
      </c>
      <c r="G345" s="11" t="n"/>
      <c r="H345" s="11" t="inlineStr">
        <is>
          <t>Diversified net-lease industrial, warehouse and logistics real estate (REIT)</t>
        </is>
      </c>
      <c r="I345" s="11" t="n"/>
      <c r="J345" s="11" t="inlineStr">
        <is>
          <t>unknown</t>
        </is>
      </c>
      <c r="K345" s="11" t="inlineStr">
        <is>
          <t>verified-stretch</t>
        </is>
      </c>
      <c r="L345" s="11" t="inlineStr">
        <is>
          <t>$1.72B FY2025 (up 8.9% YoY; Q4/FY2025 earnings release, Feb 2026) |  | flags: purely B2B net-lease landlord - no consumer brand presence whatsoever</t>
        </is>
      </c>
      <c r="M345" s="11" t="inlineStr">
        <is>
          <t xml:space="preserve">[VERIFIED NEW W8] Only viable as a B2B/industry-relations sponsorship (e.g., paddock logistics/facilities angle); not a fan-facing brand fit. | </t>
        </is>
      </c>
    </row>
  </sheetData>
  <autoFilter ref="A3:M3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9"/>
  <sheetViews>
    <sheetView workbookViewId="0">
      <pane ySplit="3" topLeftCell="A4" activePane="bottomLeft" state="frozen"/>
      <selection pane="bottomLeft" activeCell="A1" sqref="A1"/>
    </sheetView>
  </sheetViews>
  <sheetFormatPr baseColWidth="8" defaultRowHeight="15"/>
  <cols>
    <col width="5" customWidth="1" min="1" max="1"/>
    <col width="7" customWidth="1" min="2" max="2"/>
    <col width="24" customWidth="1" min="3" max="3"/>
    <col width="9" customWidth="1" min="4" max="4"/>
    <col width="30" customWidth="1" min="5" max="5"/>
    <col width="22" customWidth="1" min="6" max="6"/>
    <col width="20" customWidth="1" min="7" max="7"/>
    <col width="40" customWidth="1" min="8" max="8"/>
    <col width="16" customWidth="1" min="9" max="9"/>
    <col width="10" customWidth="1" min="10" max="10"/>
    <col width="14" customWidth="1" min="11" max="11"/>
    <col width="60" customWidth="1" min="12" max="12"/>
    <col width="70" customWidth="1" min="13" max="13"/>
  </cols>
  <sheetData>
    <row r="1">
      <c r="A1" s="1" t="inlineStr">
        <is>
          <t>Wave 1 - Consumer (F&amp;B, Luxury &amp; Beauty, Home &amp; Living, Consumer &amp; Lifestyle, Travel &amp; Hospitality, Tech Media &amp; Gaming) - 66 brands</t>
        </is>
      </c>
    </row>
    <row r="2">
      <c r="A2" s="8" t="inlineStr">
        <is>
          <t>New brands only (not in the original master before this work). Blue = verified-new (all parameters pass), amber = verified-stretch. Source: F1-New-Brands-By-Wave-2026-09.xlsx tab "W1 Consumer".</t>
        </is>
      </c>
    </row>
    <row r="3" ht="30" customHeight="1">
      <c r="A3" s="9" t="inlineStr">
        <is>
          <t>#</t>
        </is>
      </c>
      <c r="B3" s="9" t="inlineStr">
        <is>
          <t>wave</t>
        </is>
      </c>
      <c r="C3" s="9" t="inlineStr">
        <is>
          <t>sector_tab</t>
        </is>
      </c>
      <c r="D3" s="9" t="inlineStr">
        <is>
          <t>priority_score</t>
        </is>
      </c>
      <c r="E3" s="9" t="inlineStr">
        <is>
          <t>company</t>
        </is>
      </c>
      <c r="F3" s="9" t="inlineStr">
        <is>
          <t>domain</t>
        </is>
      </c>
      <c r="G3" s="9" t="inlineStr">
        <is>
          <t>hq_country</t>
        </is>
      </c>
      <c r="H3" s="9" t="inlineStr">
        <is>
          <t>niche</t>
        </is>
      </c>
      <c r="I3" s="9" t="inlineStr">
        <is>
          <t>employees_est</t>
        </is>
      </c>
      <c r="J3" s="9" t="inlineStr">
        <is>
          <t>size_band</t>
        </is>
      </c>
      <c r="K3" s="9" t="inlineStr">
        <is>
          <t>tag</t>
        </is>
      </c>
      <c r="L3" s="9" t="inlineStr">
        <is>
          <t>affordability</t>
        </is>
      </c>
      <c r="M3" s="9" t="inlineStr">
        <is>
          <t>why_f1</t>
        </is>
      </c>
    </row>
    <row r="4">
      <c r="A4" s="10" t="n">
        <v>1</v>
      </c>
      <c r="B4" s="10" t="inlineStr">
        <is>
          <t>W1</t>
        </is>
      </c>
      <c r="C4" s="10" t="inlineStr">
        <is>
          <t>04 Food &amp; Beverage</t>
        </is>
      </c>
      <c r="D4" s="10" t="n">
        <v>92</v>
      </c>
      <c r="E4" s="10" t="inlineStr">
        <is>
          <t>H-E-B</t>
        </is>
      </c>
      <c r="F4" s="10" t="inlineStr">
        <is>
          <t>heb.com</t>
        </is>
      </c>
      <c r="G4" s="10" t="inlineStr">
        <is>
          <t>San Antonio, Texas, USA</t>
        </is>
      </c>
      <c r="H4" s="10" t="inlineStr">
        <is>
          <t>Supermarket/grocery and retail chain, Texas/northern Mexico</t>
        </is>
      </c>
      <c r="I4" s="10" t="inlineStr">
        <is>
          <t>~145,000-150,000 employees (est., trade press)</t>
        </is>
      </c>
      <c r="J4" s="10" t="inlineStr">
        <is>
          <t>10k+</t>
        </is>
      </c>
      <c r="K4" s="10" t="inlineStr">
        <is>
          <t>verified-new</t>
        </is>
      </c>
      <c r="L4" s="10" t="inlineStr">
        <is>
          <t>$49.6B (FY2025, Forbes America's Largest Private Companies list, ranked #5) | Family-owned, no published valuation (private)</t>
        </is>
      </c>
      <c r="M4" s="10" t="inlineStr">
        <is>
          <t>[VERIFIED NEW W1] Official grocery/retail partner tied to the COTA US Grand Prix weekend (hospitality, in-store activations, Texas-pride positioning) — leverages H-E-B's home-market advantage and community-brand equity. | Top-tier revenue and stabili</t>
        </is>
      </c>
    </row>
    <row r="5">
      <c r="A5" s="10" t="n">
        <v>2</v>
      </c>
      <c r="B5" s="10" t="inlineStr">
        <is>
          <t>W1</t>
        </is>
      </c>
      <c r="C5" s="10" t="inlineStr">
        <is>
          <t>04 Food &amp; Beverage</t>
        </is>
      </c>
      <c r="D5" s="10" t="n">
        <v>92</v>
      </c>
      <c r="E5" s="10" t="inlineStr">
        <is>
          <t>Raising Cane's Chicken Fingers</t>
        </is>
      </c>
      <c r="F5" s="10" t="inlineStr">
        <is>
          <t>raisingcanes.com</t>
        </is>
      </c>
      <c r="G5" s="10" t="inlineStr">
        <is>
          <t>Plano, Texas, USA</t>
        </is>
      </c>
      <c r="H5" s="10" t="inlineStr">
        <is>
          <t>Quick-service chicken restaurant chain, national US + international expansion</t>
        </is>
      </c>
      <c r="I5" s="10" t="inlineStr">
        <is>
          <t>~50,000 employees (est., 1,000+ restaurants)</t>
        </is>
      </c>
      <c r="J5" s="10" t="inlineStr">
        <is>
          <t>10k+</t>
        </is>
      </c>
      <c r="K5" s="10" t="inlineStr">
        <is>
          <t>verified-new</t>
        </is>
      </c>
      <c r="L5" s="10" t="inlineStr">
        <is>
          <t>$5.6B systemwide sales (2025, trade press/Forbes reporting) | Founder-owned, no published valuation (private)</t>
        </is>
      </c>
      <c r="M5" s="10" t="inlineStr">
        <is>
          <t>[VERIFIED NEW W1] Youth-culture/fan-engagement partnership tied to US GP weekends (Miami, Las Vegas, Austin) — trackside QSR activation, driver partnerships, and 'Caniac' fan-club crossover promotions. | Best overall fit in the batch: strong growth t</t>
        </is>
      </c>
    </row>
    <row r="6">
      <c r="A6" s="10" t="n">
        <v>3</v>
      </c>
      <c r="B6" s="10" t="inlineStr">
        <is>
          <t>W1</t>
        </is>
      </c>
      <c r="C6" s="10" t="inlineStr">
        <is>
          <t>16 Travel &amp; Hospitality</t>
        </is>
      </c>
      <c r="D6" s="10" t="n">
        <v>92</v>
      </c>
      <c r="E6" s="10" t="inlineStr">
        <is>
          <t>Oetker Collection</t>
        </is>
      </c>
      <c r="F6" s="10" t="inlineStr">
        <is>
          <t>oetkercollection.com</t>
        </is>
      </c>
      <c r="G6" s="10" t="inlineStr">
        <is>
          <t>Paris, France / Bielefeld, Germany</t>
        </is>
      </c>
      <c r="H6" s="10" t="inlineStr">
        <is>
          <t>ultra-luxury hotel portfolio (Hotel du Cap-Eden-Roc, Le Bristol Paris, The Lanesborough, Eden Rock-St Barths, and others</t>
        </is>
      </c>
      <c r="I6" s="10" t="inlineStr">
        <is>
          <t>1,000-5,000</t>
        </is>
      </c>
      <c r="J6" s="10" t="inlineStr">
        <is>
          <t>5k-10k</t>
        </is>
      </c>
      <c r="K6" s="10" t="inlineStr">
        <is>
          <t>verified-new</t>
        </is>
      </c>
      <c r="L6" s="10" t="inlineStr">
        <is>
          <t xml:space="preserve">~EUR141M (hotel-division-specific, FY2025, +1.3% YoY) - note the wider 'Oetker Collection'/Oetker Group corporate reporting cites ~EUR2.57B, but that figure spans the full Oetker Group conglomerate (food, banking, shipping-legacy interests), not the </t>
        </is>
      </c>
      <c r="M6" s="10" t="inlineStr">
        <is>
          <t>[VERIFIED NEW W1] Ultra-luxury VIP retreat partner angle - Hotel du Cap-Eden-Roc or Le Bristol Paris as the exclusive off-track hospitality partner for Monaco/French GP weekends; coordinate messaging with any parallel Dr. Oetker (F&amp;B) outreach via th</t>
        </is>
      </c>
    </row>
    <row r="7">
      <c r="A7" s="10" t="n">
        <v>4</v>
      </c>
      <c r="B7" s="10" t="inlineStr">
        <is>
          <t>W1</t>
        </is>
      </c>
      <c r="C7" s="10" t="inlineStr">
        <is>
          <t>53 Consumer &amp; Lifestyle</t>
        </is>
      </c>
      <c r="D7" s="10" t="n">
        <v>92</v>
      </c>
      <c r="E7" s="10" t="inlineStr">
        <is>
          <t>Fomento Economico Mexicano, S.A.B. de C.V. (FEMSA)</t>
        </is>
      </c>
      <c r="F7" s="10" t="inlineStr">
        <is>
          <t>femsa.com</t>
        </is>
      </c>
      <c r="G7" s="10" t="inlineStr">
        <is>
          <t>Monterrey, Mexico</t>
        </is>
      </c>
      <c r="H7" s="10" t="inlineStr">
        <is>
          <t>OXXO convenience retail (~24,000+ stores), Coca-Cola bottling (via KOF), health/pharmacy retail and fuel stations across</t>
        </is>
      </c>
      <c r="I7" s="10" t="inlineStr">
        <is>
          <t>~380,000 employees (input est., consistent with OXXO's store-level headcount)</t>
        </is>
      </c>
      <c r="J7" s="10" t="inlineStr">
        <is>
          <t>10k+</t>
        </is>
      </c>
      <c r="K7" s="10" t="inlineStr">
        <is>
          <t>verified-new</t>
        </is>
      </c>
      <c r="L7" s="10" t="inlineStr">
        <is>
          <t>MXN 840,954M (~US$45.0B) FY2025, +7.6% YoY; TTM ~US$48.5B (company 20-F/6-K filings, verified Sept 2026) | ~US$40-45B market cap as of June 2026 (sources range $39.8B-$45.2B); well above the input's ~$28B estimate | flags: Indirect parent-brand adjac</t>
        </is>
      </c>
      <c r="M7" s="10" t="inlineStr">
        <is>
          <t>[VERIFIED NEW W1] OXXO trackside/street-team retail activation and fan-zone presence for the Mexico City GP, cross-promoted with FEMSA's broader LatAm retail footprint (health, fuel, convenience) rather than the Coca-Cola bottling business specifical</t>
        </is>
      </c>
    </row>
    <row r="8">
      <c r="A8" s="10" t="n">
        <v>5</v>
      </c>
      <c r="B8" s="10" t="inlineStr">
        <is>
          <t>W1</t>
        </is>
      </c>
      <c r="C8" s="10" t="inlineStr">
        <is>
          <t>53 Consumer &amp; Lifestyle</t>
        </is>
      </c>
      <c r="D8" s="10" t="n">
        <v>92</v>
      </c>
      <c r="E8" s="10" t="inlineStr">
        <is>
          <t>POP MART International Group Limited</t>
        </is>
      </c>
      <c r="F8" s="10" t="inlineStr">
        <is>
          <t>popmart.com</t>
        </is>
      </c>
      <c r="G8" s="10" t="inlineStr">
        <is>
          <t>Beijing, China</t>
        </is>
      </c>
      <c r="H8" s="10" t="inlineStr">
        <is>
          <t>Designer/collectible toys (Labubu and other IP) sold globally via retail, blind-box and e-commerce</t>
        </is>
      </c>
      <c r="I8" s="10" t="inlineStr">
        <is>
          <t>5K-10K (~9,000)</t>
        </is>
      </c>
      <c r="J8" s="10" t="inlineStr">
        <is>
          <t>10k+</t>
        </is>
      </c>
      <c r="K8" s="10" t="inlineStr">
        <is>
          <t>verified-new</t>
        </is>
      </c>
      <c r="L8" s="10" t="inlineStr">
        <is>
          <t>RMB37.12B (~$5.1B) FY2025, +184.71% YoY; net profit RMB13.0B, +293.3% YoY; overseas revenue +291.9% YoY (Americas +748.4%) — source: company FY2025 annual results (reported Mar 27, 2026) | ~$26.73B market cap as of Aug 2026, consistent with input's c</t>
        </is>
      </c>
      <c r="M8" s="10" t="inlineStr">
        <is>
          <t xml:space="preserve">[VERIFIED NEW W1] Exclusive F1-branded blind-box/collectible figure drops timed to marquee races (Miami, Las Vegas, Shanghai), leveraging POP MART's retail presence in host cities and its youth-collector fanbase. | A fast-growing, highly profitable, </t>
        </is>
      </c>
    </row>
    <row r="9">
      <c r="A9" s="10" t="n">
        <v>6</v>
      </c>
      <c r="B9" s="10" t="inlineStr">
        <is>
          <t>W1</t>
        </is>
      </c>
      <c r="C9" s="10" t="inlineStr">
        <is>
          <t>03 Luxury &amp; Beauty</t>
        </is>
      </c>
      <c r="D9" s="10" t="n">
        <v>84</v>
      </c>
      <c r="E9" s="10" t="inlineStr">
        <is>
          <t>Amorepacific Corporation</t>
        </is>
      </c>
      <c r="F9" s="10" t="inlineStr">
        <is>
          <t>amorepacific.com</t>
        </is>
      </c>
      <c r="G9" s="10" t="inlineStr">
        <is>
          <t>South Korea</t>
        </is>
      </c>
      <c r="H9" s="10" t="inlineStr">
        <is>
          <t>Beauty brands (Sulwhasoo, Laneige, Innisfree); sold via department stores, specialty retail, e-commerce globally includi</t>
        </is>
      </c>
      <c r="I9" s="10" t="inlineStr">
        <is>
          <t>~5,000 employees</t>
        </is>
      </c>
      <c r="J9" s="10" t="inlineStr">
        <is>
          <t>5k-10k</t>
        </is>
      </c>
      <c r="K9" s="10" t="inlineStr">
        <is>
          <t>verified-new</t>
        </is>
      </c>
      <c r="L9" s="10" t="inlineStr">
        <is>
          <t>$3.0B (KRW4.62T), FY2025, source: Amorepacific Group FY2025 earnings summary | $6.7B market cap, as of Aug 2026, source: companiesmarketcap.com | flags: China optics - historical reliance on Chinese duty-free/tourist spend</t>
        </is>
      </c>
      <c r="M9" s="10" t="inlineStr">
        <is>
          <t>[VERIFIED NEW W1] K-beauty global growth story (Laneige, Sulwhasoo) actively expanding in North America - a natural fit for F1's Americas/Asia crossover audience. | 2025 revenue and operating profit both grew, with highest operating profit in six yea</t>
        </is>
      </c>
    </row>
    <row r="10">
      <c r="A10" s="10" t="n">
        <v>7</v>
      </c>
      <c r="B10" s="10" t="inlineStr">
        <is>
          <t>W1</t>
        </is>
      </c>
      <c r="C10" s="10" t="inlineStr">
        <is>
          <t>03 Luxury &amp; Beauty</t>
        </is>
      </c>
      <c r="D10" s="10" t="n">
        <v>84</v>
      </c>
      <c r="E10" s="10" t="inlineStr">
        <is>
          <t>Puig Brands, S.A.</t>
        </is>
      </c>
      <c r="F10" s="10" t="inlineStr">
        <is>
          <t>puig.com</t>
        </is>
      </c>
      <c r="G10" s="10" t="inlineStr">
        <is>
          <t>Spain</t>
        </is>
      </c>
      <c r="H10" s="10" t="inlineStr">
        <is>
          <t>Fragrance/beauty (Carolina Herrera, Charlotte Tilbury, Jean Paul Gaultier, Rabanne); sold via prestige retail globally</t>
        </is>
      </c>
      <c r="I10" s="10" t="inlineStr">
        <is>
          <t>~9,500 employees</t>
        </is>
      </c>
      <c r="J10" s="10" t="inlineStr">
        <is>
          <t>5k-10k</t>
        </is>
      </c>
      <c r="K10" s="10" t="inlineStr">
        <is>
          <t>verified-new</t>
        </is>
      </c>
      <c r="L10" s="10" t="inlineStr">
        <is>
          <t>€5.04B ($5.5B), FY2025 (record year, +7.8% like-for-like), source: Puig FY2025 Integrated Annual Report | $11B market cap, as of Jun 2026 (consistent with Sept 8 2026 prior check), source: stockanalysis.com / Puig IR</t>
        </is>
      </c>
      <c r="M10" s="10" t="inlineStr">
        <is>
          <t>[VERIFIED NEW W1] Independent prestige fragrance/beauty house (post-IPO growth story) positioning itself against larger luxury conglomerates already active in F1 - a differentiated "challenger luxury house" angle. | Record 2025 sales and margin growt</t>
        </is>
      </c>
    </row>
    <row r="11">
      <c r="A11" s="10" t="n">
        <v>8</v>
      </c>
      <c r="B11" s="10" t="inlineStr">
        <is>
          <t>W1</t>
        </is>
      </c>
      <c r="C11" s="10" t="inlineStr">
        <is>
          <t>03 Luxury &amp; Beauty</t>
        </is>
      </c>
      <c r="D11" s="10" t="n">
        <v>84</v>
      </c>
      <c r="E11" s="10" t="inlineStr">
        <is>
          <t>Titan Company Limited</t>
        </is>
      </c>
      <c r="F11" s="10" t="inlineStr">
        <is>
          <t>titancompany.in</t>
        </is>
      </c>
      <c r="G11" s="10" t="inlineStr">
        <is>
          <t>Bangalore, India</t>
        </is>
      </c>
      <c r="H11" s="10" t="inlineStr">
        <is>
          <t>Tanishq jewelry, Titan/Fastrack watches, Titan Eye+ eyewear via India's largest branded retail network, expanding intern</t>
        </is>
      </c>
      <c r="I11" s="10" t="inlineStr">
        <is>
          <t>~10,000 direct employees (input est.); supports a much larger retail franchise workforce</t>
        </is>
      </c>
      <c r="J11" s="10" t="inlineStr">
        <is>
          <t>10k+</t>
        </is>
      </c>
      <c r="K11" s="10" t="inlineStr">
        <is>
          <t>verified-new</t>
        </is>
      </c>
      <c r="L11" s="10" t="inlineStr">
        <is>
          <t>₹57,818 crore (~US$6.9B) total income, FY2025 (year ended March 2025), +22% YoY (company FY25 results, verified Sept 2026); FY2026 guidance/run-rate crossed ₹75,000 crore | ~₹4.50 trillion (~US$53.9B) market cap as of Sept 2026 (stockanalysis.com/com</t>
        </is>
      </c>
      <c r="M11" s="10" t="inlineStr">
        <is>
          <t>[VERIFIED NEW W1] Position as a global-expansion story (Titan/Tanishq's push into UAE and the US) mirroring existing F1 watch-sponsor playbooks, rather than a home-market activation. | Mega-brand scale, strong growth, and a watch/jewelry category wit</t>
        </is>
      </c>
    </row>
    <row r="12">
      <c r="A12" s="10" t="n">
        <v>9</v>
      </c>
      <c r="B12" s="10" t="inlineStr">
        <is>
          <t>W1</t>
        </is>
      </c>
      <c r="C12" s="10" t="inlineStr">
        <is>
          <t>03 Luxury &amp; Beauty</t>
        </is>
      </c>
      <c r="D12" s="10" t="n">
        <v>84</v>
      </c>
      <c r="E12" s="10" t="inlineStr">
        <is>
          <t>L'Occitane International</t>
        </is>
      </c>
      <c r="F12" s="10" t="inlineStr">
        <is>
          <t>loccitane.com</t>
        </is>
      </c>
      <c r="G12" s="10" t="inlineStr">
        <is>
          <t>Luxembourg (commercial HQ Paris/Manosque, France)</t>
        </is>
      </c>
      <c r="H12" s="10" t="inlineStr">
        <is>
          <t>Beauty and personal-care retail (L'Occitane en Provence and portfolio brands)</t>
        </is>
      </c>
      <c r="I12" s="10" t="inlineStr">
        <is>
          <t>~9,000 (est.)</t>
        </is>
      </c>
      <c r="J12" s="10" t="inlineStr">
        <is>
          <t>5k-10k</t>
        </is>
      </c>
      <c r="K12" s="10" t="inlineStr">
        <is>
          <t>verified-new</t>
        </is>
      </c>
      <c r="L12" s="10" t="inlineStr">
        <is>
          <t xml:space="preserve">~€2.5B (last published figure, FY2023/24 — no public financials disclosed since go-private in Oct 2024) | ~€6.5B enterprise value at 2024 take-private buyout (confirmed — debt financing from Credit Agricole CIB, Blackstone, Goldman Sachs, per Luxury </t>
        </is>
      </c>
      <c r="M12" s="10" t="inlineStr">
        <is>
          <t>[VERIFIED NEW W1] Premium beauty/wellness hospitality tie-in (paddock club grooming/wellness partnership) leveraging L'Occitane's French heritage and global retail reach, potentially anchored around the French GP region or Monaco proximity. | Globall</t>
        </is>
      </c>
    </row>
    <row r="13">
      <c r="A13" s="10" t="n">
        <v>10</v>
      </c>
      <c r="B13" s="10" t="inlineStr">
        <is>
          <t>W1</t>
        </is>
      </c>
      <c r="C13" s="10" t="inlineStr">
        <is>
          <t>03 Luxury &amp; Beauty</t>
        </is>
      </c>
      <c r="D13" s="10" t="n">
        <v>84</v>
      </c>
      <c r="E13" s="10" t="inlineStr">
        <is>
          <t>Tory Burch LLC</t>
        </is>
      </c>
      <c r="F13" s="10" t="inlineStr">
        <is>
          <t>toryburch.com</t>
        </is>
      </c>
      <c r="G13" s="10" t="inlineStr">
        <is>
          <t>New York, USA</t>
        </is>
      </c>
      <c r="H13" s="10" t="inlineStr">
        <is>
          <t>premium/luxury fashion apparel, footwear and accessories</t>
        </is>
      </c>
      <c r="I13" s="10" t="inlineStr">
        <is>
          <t>1,000-5,000</t>
        </is>
      </c>
      <c r="J13" s="10" t="inlineStr">
        <is>
          <t>5k-10k</t>
        </is>
      </c>
      <c r="K13" s="10" t="inlineStr">
        <is>
          <t>verified-new</t>
        </is>
      </c>
      <c r="L13" s="10" t="inlineStr">
        <is>
          <t xml:space="preserve">~$2B (est., FY2025) - private company, no audited disclosure; other public estimates range widely ($568M-$5B depending on methodology/scope), flagged as estimate | no published valuation (private, family/founder-owned; GA minority stake alone valued </t>
        </is>
      </c>
      <c r="M13" s="10" t="inlineStr">
        <is>
          <t>[VERIFIED NEW W1] Fashion-meets-motorsport lifestyle partnership - trackside capsule collection, paddock fashion presence, or Grid Girl-era-replacement style content aimed at F1's expanding female/fashion-conscious audience | Revenue comfortably clea</t>
        </is>
      </c>
    </row>
    <row r="14">
      <c r="A14" s="10" t="n">
        <v>11</v>
      </c>
      <c r="B14" s="10" t="inlineStr">
        <is>
          <t>W1</t>
        </is>
      </c>
      <c r="C14" s="10" t="inlineStr">
        <is>
          <t>04 Food &amp; Beverage</t>
        </is>
      </c>
      <c r="D14" s="10" t="n">
        <v>84</v>
      </c>
      <c r="E14" s="10" t="inlineStr">
        <is>
          <t>Arca Continental, S.A.B. de C.V.</t>
        </is>
      </c>
      <c r="F14" s="10" t="inlineStr">
        <is>
          <t>arcacontal.com</t>
        </is>
      </c>
      <c r="G14" s="10" t="inlineStr">
        <is>
          <t>Monterrey, Mexico</t>
        </is>
      </c>
      <c r="H14" s="10" t="inlineStr">
        <is>
          <t>Coca-Cola bottling/distribution and Bokados/Wise snacks across Mexico, US Southwest, and South America (Ecuador, Peru, A</t>
        </is>
      </c>
      <c r="I14" s="10" t="inlineStr">
        <is>
          <t>~90,000 employees (input est., not independently re-verified)</t>
        </is>
      </c>
      <c r="J14" s="10" t="inlineStr">
        <is>
          <t>10k+</t>
        </is>
      </c>
      <c r="K14" s="10" t="inlineStr">
        <is>
          <t>verified-new</t>
        </is>
      </c>
      <c r="L14" s="10" t="inlineStr">
        <is>
          <t>~MXN 250.3B (~US$13.4B) FY2025, +4.5% YoY (source: stockanalysis.com/companiesmarketcap.com citing company financials, verified Sept 2026) | ~€18.1B (~US$19.5B) market cap as of June 2026 (companiesmarketcap.com) — corrects the input's ~$10B estimate</t>
        </is>
      </c>
      <c r="M14" s="10" t="inlineStr">
        <is>
          <t>[VERIFIED NEW W1] Mexico City GP hospitality/activation built around Arca's own snack brands (Bokados/Wise) and regional bottling business, positioned distinctly from Coca-Cola Co.'s existing McLaren deal to avoid trademark overlap. | Large, profitab</t>
        </is>
      </c>
    </row>
    <row r="15">
      <c r="A15" s="10" t="n">
        <v>12</v>
      </c>
      <c r="B15" s="10" t="inlineStr">
        <is>
          <t>W1</t>
        </is>
      </c>
      <c r="C15" s="10" t="inlineStr">
        <is>
          <t>04 Food &amp; Beverage</t>
        </is>
      </c>
      <c r="D15" s="10" t="n">
        <v>84</v>
      </c>
      <c r="E15" s="10" t="inlineStr">
        <is>
          <t>August Storck KG (Storck)</t>
        </is>
      </c>
      <c r="F15" s="10" t="inlineStr">
        <is>
          <t>storck.com</t>
        </is>
      </c>
      <c r="G15" s="10" t="inlineStr">
        <is>
          <t>Berlin, Germany (manufacturing base Werther, Westphalia)</t>
        </is>
      </c>
      <c r="H15" s="10" t="inlineStr">
        <is>
          <t>confectionery (Werther's Original, Merci, Toffifee, Riesen)</t>
        </is>
      </c>
      <c r="I15" s="10" t="inlineStr">
        <is>
          <t>~7,000 (5,000+ per Forbes profile, est.)</t>
        </is>
      </c>
      <c r="J15" s="10" t="inlineStr">
        <is>
          <t>5k-10k</t>
        </is>
      </c>
      <c r="K15" s="10" t="inlineStr">
        <is>
          <t>verified-new</t>
        </is>
      </c>
      <c r="L15" s="10" t="inlineStr">
        <is>
          <t>~$2.0B global (est., Forbes/trade press); sold in 100+ countries | family-owned, none published - patriarch Axel Oberwelland &amp; family #2858 on Forbes 2026 Billionaires list, net worth est. $1.2-3.5B across sources (Forbes) | flags: estimates - privat</t>
        </is>
      </c>
      <c r="M15" s="10" t="inlineStr">
        <is>
          <t>[VERIFIED NEW W1] Werther's Original/Merci as a premium gifting &amp; hospitality partner targeting F1's affluent/senior fan segment globally. | Global reach, older/affluent-skewing core brand (Werther's/Merci), family wealth confirmed via Forbes billion</t>
        </is>
      </c>
    </row>
    <row r="16">
      <c r="A16" s="10" t="n">
        <v>13</v>
      </c>
      <c r="B16" s="10" t="inlineStr">
        <is>
          <t>W1</t>
        </is>
      </c>
      <c r="C16" s="10" t="inlineStr">
        <is>
          <t>04 Food &amp; Beverage</t>
        </is>
      </c>
      <c r="D16" s="10" t="n">
        <v>84</v>
      </c>
      <c r="E16" s="10" t="inlineStr">
        <is>
          <t>Alfred Ritter GmbH (Ritter Sport)</t>
        </is>
      </c>
      <c r="F16" s="10" t="inlineStr">
        <is>
          <t>ritter-sport.com</t>
        </is>
      </c>
      <c r="G16" s="10" t="inlineStr">
        <is>
          <t>Waldenbuch, Germany</t>
        </is>
      </c>
      <c r="H16" s="10" t="inlineStr">
        <is>
          <t>chocolate confectionery</t>
        </is>
      </c>
      <c r="I16" s="10" t="inlineStr">
        <is>
          <t>~2,200 (est.)</t>
        </is>
      </c>
      <c r="J16" s="10" t="inlineStr">
        <is>
          <t>1k-5k</t>
        </is>
      </c>
      <c r="K16" s="10" t="inlineStr">
        <is>
          <t>verified-new</t>
        </is>
      </c>
      <c r="L16" s="10" t="inlineStr">
        <is>
          <t>€605M group turnover (2024, up 7%+ YoY per company statement, yumda.com/confectioneryproduction.com) | family-owned, none published | flags: cocoa-price inflation cited by company as pressuring 2024 margins ('turbulent year') - watch budget capacity;</t>
        </is>
      </c>
      <c r="M16" s="10" t="inlineStr">
        <is>
          <t>[VERIFIED NEW W1] "Sport" brand-name wordplay campaign + square-chocolate trackside merchandising tied to US/Europe race weekends. | Growing global exporter with a brand name ('Sport') that is an unusually strong organic hook for F1 marketing, plus r</t>
        </is>
      </c>
    </row>
    <row r="17">
      <c r="A17" s="10" t="n">
        <v>14</v>
      </c>
      <c r="B17" s="10" t="inlineStr">
        <is>
          <t>W1</t>
        </is>
      </c>
      <c r="C17" s="10" t="inlineStr">
        <is>
          <t>04 Food &amp; Beverage</t>
        </is>
      </c>
      <c r="D17" s="10" t="n">
        <v>84</v>
      </c>
      <c r="E17" s="10" t="inlineStr">
        <is>
          <t>Wegmans Food Markets</t>
        </is>
      </c>
      <c r="F17" s="10" t="inlineStr">
        <is>
          <t>wegmans.com</t>
        </is>
      </c>
      <c r="G17" s="10" t="inlineStr">
        <is>
          <t>Gates, New York, USA</t>
        </is>
      </c>
      <c r="H17" s="10" t="inlineStr">
        <is>
          <t>Full-service supermarket grocery chain, NE/Mid-Atlantic US</t>
        </is>
      </c>
      <c r="I17" s="10" t="inlineStr">
        <is>
          <t>~53,000 employees (Forbes 2025)</t>
        </is>
      </c>
      <c r="J17" s="10" t="inlineStr">
        <is>
          <t>10k+</t>
        </is>
      </c>
      <c r="K17" s="10" t="inlineStr">
        <is>
          <t>verified-new</t>
        </is>
      </c>
      <c r="L17" s="10" t="inlineStr">
        <is>
          <t>$13.1B (FY2025, Forbes America's Largest Private Companies list, ranked #34) | Family-owned, no published valuation (private); passes revenue &gt;$100M family-owned rule</t>
        </is>
      </c>
      <c r="M17" s="10" t="inlineStr">
        <is>
          <t xml:space="preserve">[VERIFIED NEW W1] Northeast US fan engagement/hospitality tie-in leveraging Wegmans' cult brand loyalty (e.g., activation around a US-based team's fan zones), positioned as a premium-quality, family-values consumer brand entering experiential sports </t>
        </is>
      </c>
    </row>
    <row r="18">
      <c r="A18" s="10" t="n">
        <v>15</v>
      </c>
      <c r="B18" s="10" t="inlineStr">
        <is>
          <t>W1</t>
        </is>
      </c>
      <c r="C18" s="10" t="inlineStr">
        <is>
          <t>04 Food &amp; Beverage</t>
        </is>
      </c>
      <c r="D18" s="10" t="n">
        <v>84</v>
      </c>
      <c r="E18" s="10" t="inlineStr">
        <is>
          <t>Publix Super Markets</t>
        </is>
      </c>
      <c r="F18" s="10" t="inlineStr">
        <is>
          <t>publix.com</t>
        </is>
      </c>
      <c r="G18" s="10" t="inlineStr">
        <is>
          <t>Lakeland, Florida, USA</t>
        </is>
      </c>
      <c r="H18" s="10" t="inlineStr">
        <is>
          <t>Supermarket grocery chain, Southeast US</t>
        </is>
      </c>
      <c r="I18" s="10" t="inlineStr">
        <is>
          <t>~250,000 employees (est.)</t>
        </is>
      </c>
      <c r="J18" s="10" t="inlineStr">
        <is>
          <t>10k+</t>
        </is>
      </c>
      <c r="K18" s="10" t="inlineStr">
        <is>
          <t>verified-new</t>
        </is>
      </c>
      <c r="L18" s="10" t="inlineStr">
        <is>
          <t xml:space="preserve">$62.7B (FY2025, fiscal year ended Dec 27 2025; net earnings $4.7B) | Employee/family-controlled, no published market valuation (private; files SEC reports due to ESOP stock plan) | flags: governance (hybrid family-control + employee-stock-ownership; </t>
        </is>
      </c>
      <c r="M18" s="10" t="inlineStr">
        <is>
          <t>[VERIFIED NEW W1] Southeast US regional activation (Miami GP market overlap) framed around the community/employee-ownership story — positions Publix as a 'best-run American company' aligning with F1's premium-but-approachable brand halo. | Elite fina</t>
        </is>
      </c>
    </row>
    <row r="19">
      <c r="A19" s="10" t="n">
        <v>16</v>
      </c>
      <c r="B19" s="10" t="inlineStr">
        <is>
          <t>W1</t>
        </is>
      </c>
      <c r="C19" s="10" t="inlineStr">
        <is>
          <t>04 Food &amp; Beverage</t>
        </is>
      </c>
      <c r="D19" s="10" t="n">
        <v>84</v>
      </c>
      <c r="E19" s="10" t="inlineStr">
        <is>
          <t>Meijer</t>
        </is>
      </c>
      <c r="F19" s="10" t="inlineStr">
        <is>
          <t>meijer.com</t>
        </is>
      </c>
      <c r="G19" s="10" t="inlineStr">
        <is>
          <t>Grand Rapids, Michigan, USA</t>
        </is>
      </c>
      <c r="H19" s="10" t="inlineStr">
        <is>
          <t>Supercenter/grocery retail chain, US Midwest</t>
        </is>
      </c>
      <c r="I19" s="10" t="inlineStr">
        <is>
          <t>~70,000 employees (est.)</t>
        </is>
      </c>
      <c r="J19" s="10" t="inlineStr">
        <is>
          <t>10k+</t>
        </is>
      </c>
      <c r="K19" s="10" t="inlineStr">
        <is>
          <t>verified-new</t>
        </is>
      </c>
      <c r="L19" s="10" t="inlineStr">
        <is>
          <t>$22B (as of Dec 2025, Forbes/private-company revenue rankings) | Family-owned, no published valuation (private)</t>
        </is>
      </c>
      <c r="M19" s="10" t="inlineStr">
        <is>
          <t>[VERIFIED NEW W1] National (non-race-market) brand-awareness partnership — media/content integration rather than trackside activation, using Meijer's supercenter breadth to reach a broad Midwest fan base via in-store promotions. | Strong balance shee</t>
        </is>
      </c>
    </row>
    <row r="20">
      <c r="A20" s="10" t="n">
        <v>17</v>
      </c>
      <c r="B20" s="10" t="inlineStr">
        <is>
          <t>W1</t>
        </is>
      </c>
      <c r="C20" s="10" t="inlineStr">
        <is>
          <t>49 Home &amp; Living</t>
        </is>
      </c>
      <c r="D20" s="10" t="n">
        <v>84</v>
      </c>
      <c r="E20" s="10" t="inlineStr">
        <is>
          <t>Ashley Furniture Industries</t>
        </is>
      </c>
      <c r="F20" s="10" t="inlineStr">
        <is>
          <t>ashleyfurniture.com</t>
        </is>
      </c>
      <c r="G20" s="10" t="inlineStr">
        <is>
          <t>Arcadia, Wisconsin, USA</t>
        </is>
      </c>
      <c r="H20" s="10" t="inlineStr">
        <is>
          <t>furniture manufacturing and retail</t>
        </is>
      </c>
      <c r="I20" s="10" t="inlineStr">
        <is>
          <t>25,000+</t>
        </is>
      </c>
      <c r="J20" s="10" t="inlineStr">
        <is>
          <t>10k+</t>
        </is>
      </c>
      <c r="K20" s="10" t="inlineStr">
        <is>
          <t>verified-new</t>
        </is>
      </c>
      <c r="L20" s="10" t="inlineStr">
        <is>
          <t>~$9.5B (ZoomInfo, Aug 2026) - note original desk estimate was $5.4B; treat as est. range $5.4B-$9.5B given private disclosure | no published valuation (100% family-owned) | flags: revenue estimates vary widely by source ($5.4B-$9.5B); already an acti</t>
        </is>
      </c>
      <c r="M20" s="10" t="inlineStr">
        <is>
          <t>[VERIFIED NEW W1] "Step up to the global stage" pitch leveraging its existing NASCAR/ARCA entitlement sponsorship experience into an F1 home-and-lifestyle activation at Miami or Las Vegas GP | Revenue far exceeds $100M under any estimate; 100% family</t>
        </is>
      </c>
    </row>
    <row r="21">
      <c r="A21" s="10" t="n">
        <v>18</v>
      </c>
      <c r="B21" s="10" t="inlineStr">
        <is>
          <t>W1</t>
        </is>
      </c>
      <c r="C21" s="10" t="inlineStr">
        <is>
          <t>53 Consumer &amp; Lifestyle</t>
        </is>
      </c>
      <c r="D21" s="10" t="n">
        <v>84</v>
      </c>
      <c r="E21" s="10" t="inlineStr">
        <is>
          <t>Crocs, Inc.</t>
        </is>
      </c>
      <c r="F21" s="10" t="inlineStr">
        <is>
          <t>crocs.com</t>
        </is>
      </c>
      <c r="G21" s="10" t="inlineStr">
        <is>
          <t>Broomfield, Colorado, USA</t>
        </is>
      </c>
      <c r="H21" s="10" t="inlineStr">
        <is>
          <t>Crocs and HEYDUDE footwear, sold globally via retail/DTC and e-commerce</t>
        </is>
      </c>
      <c r="I21" s="10" t="inlineStr">
        <is>
          <t>~6,500 employees (input est.; asset-light model with outsourced manufacturing)</t>
        </is>
      </c>
      <c r="J21" s="10" t="inlineStr">
        <is>
          <t>5k-10k</t>
        </is>
      </c>
      <c r="K21" s="10" t="inlineStr">
        <is>
          <t>verified-new</t>
        </is>
      </c>
      <c r="L21" s="10" t="inlineStr">
        <is>
          <t>FY2025 revenue exceeded US$4.0B (company Q4/FY25 press release, Feb 2026), led by low-double-digit international growth for the Crocs Brand | US$5.86B market cap as of Sept 18, 2026 (stockanalysis.com/companiesmarketcap.com)</t>
        </is>
      </c>
      <c r="M21" s="10" t="inlineStr">
        <is>
          <t>[VERIFIED NEW W1] Limited-edition Grand Prix-themed Crocs/Jibbitz drop (e.g., tied to Mexico City or Miami GP) leveraging Crocs' existing pop-culture collaboration strategy and fan-merchandise model. | Strong balance sheet, global growth story, a pro</t>
        </is>
      </c>
    </row>
    <row r="22">
      <c r="A22" s="10" t="n">
        <v>19</v>
      </c>
      <c r="B22" s="10" t="inlineStr">
        <is>
          <t>W1</t>
        </is>
      </c>
      <c r="C22" s="10" t="inlineStr">
        <is>
          <t>53 Consumer &amp; Lifestyle</t>
        </is>
      </c>
      <c r="D22" s="10" t="n">
        <v>84</v>
      </c>
      <c r="E22" s="10" t="inlineStr">
        <is>
          <t>Birkenstock Holding plc</t>
        </is>
      </c>
      <c r="F22" s="10" t="inlineStr">
        <is>
          <t>birkenstock.com</t>
        </is>
      </c>
      <c r="G22" s="10" t="inlineStr">
        <is>
          <t>Linz am Rhein, Germany (Netherlands-incorporated, NYSE-listed)</t>
        </is>
      </c>
      <c r="H22" s="10" t="inlineStr">
        <is>
          <t>Birkenstock footwear sold globally via wholesale and DTC</t>
        </is>
      </c>
      <c r="I22" s="10" t="inlineStr">
        <is>
          <t>~7,500 employees (input est.)</t>
        </is>
      </c>
      <c r="J22" s="10" t="inlineStr">
        <is>
          <t>5k-10k</t>
        </is>
      </c>
      <c r="K22" s="10" t="inlineStr">
        <is>
          <t>verified-new</t>
        </is>
      </c>
      <c r="L22" s="10" t="inlineStr">
        <is>
          <t>EUR 2.1B (~US$2.27B) FY2025 (year ended Sept 30, 2025), +16% reported / +18% constant currency, beating guidance (company earnings release, verified Sept 2026) | ~US$8B market cap, confirmed via web search as of Sept 2026 (consistent with input)</t>
        </is>
      </c>
      <c r="M22" s="10" t="inlineStr">
        <is>
          <t>[VERIFIED NEW W1] Paddock Club / fan-zone comfort partnership (limited-edition GP-branded styles), targeting F1's growing affluent, younger, fashion-conscious fanbase; L Catterton's network could support a broader portfolio conversation. | Strong mar</t>
        </is>
      </c>
    </row>
    <row r="23">
      <c r="A23" s="10" t="n">
        <v>20</v>
      </c>
      <c r="B23" s="10" t="inlineStr">
        <is>
          <t>W1</t>
        </is>
      </c>
      <c r="C23" s="10" t="inlineStr">
        <is>
          <t>53 Consumer &amp; Lifestyle</t>
        </is>
      </c>
      <c r="D23" s="10" t="n">
        <v>84</v>
      </c>
      <c r="E23" s="10" t="inlineStr">
        <is>
          <t>Raia Drogasil S.A.</t>
        </is>
      </c>
      <c r="F23" s="10" t="inlineStr">
        <is>
          <t>raiadrogasil.com.br</t>
        </is>
      </c>
      <c r="G23" s="10" t="inlineStr">
        <is>
          <t>São Paulo, Brazil</t>
        </is>
      </c>
      <c r="H23" s="10" t="inlineStr">
        <is>
          <t>Drogasil/Droga Raia pharmacy retail chain, Brazil's largest, with thousands of stores nationwide</t>
        </is>
      </c>
      <c r="I23" s="10" t="inlineStr">
        <is>
          <t>~45,000 employees (input est.)</t>
        </is>
      </c>
      <c r="J23" s="10" t="inlineStr">
        <is>
          <t>10k+</t>
        </is>
      </c>
      <c r="K23" s="10" t="inlineStr">
        <is>
          <t>verified-new</t>
        </is>
      </c>
      <c r="L23" s="10" t="inlineStr">
        <is>
          <t>BRL 44.25B (~US$8.2B) FY2025, +13.8% YoY; TTM (Q2 2026) BRL 46.53B, +18.0% YoY (company financials, verified Sept 2026) | ~US$8-9B market cap range most consistent with historical trading levels and the input estimate; one source cited an outlier fig</t>
        </is>
      </c>
      <c r="M23" s="10" t="inlineStr">
        <is>
          <t>[VERIFIED NEW W1] São Paulo GP grassroots/retail activation (in-store sampling, hydration/wellness tie-in) leveraging Raia Drogasil's dense store network for fan reach around race week. | Brazil's largest pharmacy chain sits directly in the São Paulo</t>
        </is>
      </c>
    </row>
    <row r="24">
      <c r="A24" s="10" t="n">
        <v>21</v>
      </c>
      <c r="B24" s="10" t="inlineStr">
        <is>
          <t>W1</t>
        </is>
      </c>
      <c r="C24" s="10" t="inlineStr">
        <is>
          <t>53 Consumer &amp; Lifestyle</t>
        </is>
      </c>
      <c r="D24" s="10" t="n">
        <v>84</v>
      </c>
      <c r="E24" s="10" t="inlineStr">
        <is>
          <t>Aeon Co., Ltd.</t>
        </is>
      </c>
      <c r="F24" s="10" t="inlineStr">
        <is>
          <t>aeon.info</t>
        </is>
      </c>
      <c r="G24" s="10" t="inlineStr">
        <is>
          <t>Chiba, Japan</t>
        </is>
      </c>
      <c r="H24" s="10" t="inlineStr">
        <is>
          <t>Supermarkets, shopping malls (AEON Mall) and general merchandise store (GMS) retail conglomerate across Japan and Asia</t>
        </is>
      </c>
      <c r="I24" s="10" t="inlineStr">
        <is>
          <t>~180,000 employees (input est.)</t>
        </is>
      </c>
      <c r="J24" s="10" t="inlineStr">
        <is>
          <t>10k+</t>
        </is>
      </c>
      <c r="K24" s="10" t="inlineStr">
        <is>
          <t>verified-new</t>
        </is>
      </c>
      <c r="L24" s="10" t="inlineStr">
        <is>
          <t>¥10,715.3B (~US$72.9B) FY2025, up from ¥10,134.8B prior year; operating profit +13.8% YoY, net profit +167.5% YoY (company FY25 results, announced April 2026, verified Sept 2026) | ~¥4.87 trillion (~US$33.1B) market cap as of early 2026 (derived from</t>
        </is>
      </c>
      <c r="M24" s="10" t="inlineStr">
        <is>
          <t>[VERIFIED NEW W1] Suzuka (Japanese GP) retail/fan-zone activation leveraging AEON Mall's nationwide footfall for race-week promotions and in-store fan experiences. | Mega-scale, sharply improving profitability, and a genuine home race (Suzuka) make t</t>
        </is>
      </c>
    </row>
    <row r="25">
      <c r="A25" s="10" t="n">
        <v>22</v>
      </c>
      <c r="B25" s="10" t="inlineStr">
        <is>
          <t>W1</t>
        </is>
      </c>
      <c r="C25" s="10" t="inlineStr">
        <is>
          <t>53 Consumer &amp; Lifestyle</t>
        </is>
      </c>
      <c r="D25" s="10" t="n">
        <v>84</v>
      </c>
      <c r="E25" s="10" t="inlineStr">
        <is>
          <t>H &amp; M Hennes &amp; Mauritz AB</t>
        </is>
      </c>
      <c r="F25" s="10" t="inlineStr">
        <is>
          <t>hm.com</t>
        </is>
      </c>
      <c r="G25" s="10" t="inlineStr">
        <is>
          <t>Stockholm, Sweden</t>
        </is>
      </c>
      <c r="H25" s="10" t="inlineStr">
        <is>
          <t>Fast-fashion apparel retail sold globally via stores and e-commerce</t>
        </is>
      </c>
      <c r="I25" s="10" t="inlineStr">
        <is>
          <t>100K+ (~100,000)</t>
        </is>
      </c>
      <c r="J25" s="10" t="inlineStr">
        <is>
          <t>10k+</t>
        </is>
      </c>
      <c r="K25" s="10" t="inlineStr">
        <is>
          <t>verified-new</t>
        </is>
      </c>
      <c r="L25" s="10" t="inlineStr">
        <is>
          <t>Trailing 12-month revenue ~$23.7B as of Sept 2026 (reports in SEK) — source: stockanalysis.com (STO:HM.B), H&amp;M Group three-month report 2026 | ~$26.7B market cap as of Sept 2026 (ranged $26.7B-$27.3B across 2026 readings) — stockanalysis.com/companie</t>
        </is>
      </c>
      <c r="M25" s="10" t="inlineStr">
        <is>
          <t>[VERIFIED NEW W1] Formalize and expand the existing H&amp;M x F1/Ferrari-style capsule into an official race-week fast-fashion drop program across H&amp;M's global store and e-commerce network. | Mega global fast-fashion brand with proven drop-culture market</t>
        </is>
      </c>
    </row>
    <row r="26">
      <c r="A26" s="10" t="n">
        <v>23</v>
      </c>
      <c r="B26" s="10" t="inlineStr">
        <is>
          <t>W1</t>
        </is>
      </c>
      <c r="C26" s="10" t="inlineStr">
        <is>
          <t>53 Consumer &amp; Lifestyle</t>
        </is>
      </c>
      <c r="D26" s="10" t="n">
        <v>84</v>
      </c>
      <c r="E26" s="10" t="inlineStr">
        <is>
          <t>Buc-ee's</t>
        </is>
      </c>
      <c r="F26" s="10" t="inlineStr">
        <is>
          <t>buc-ees.com</t>
        </is>
      </c>
      <c r="G26" s="10" t="inlineStr">
        <is>
          <t>Lake Jackson, Texas, USA</t>
        </is>
      </c>
      <c r="H26" s="10" t="inlineStr">
        <is>
          <t>Travel-center / convenience retail chain and fuel stations (mega-stores)</t>
        </is>
      </c>
      <c r="I26" s="10" t="inlineStr">
        <is>
          <t>~10,000 (est.)</t>
        </is>
      </c>
      <c r="J26" s="10" t="inlineStr">
        <is>
          <t>10k+</t>
        </is>
      </c>
      <c r="K26" s="10" t="inlineStr">
        <is>
          <t>verified-new</t>
        </is>
      </c>
      <c r="L26" s="10" t="inlineStr">
        <is>
          <t>~$1.5-2B (2025, est. — sources conflict from $629M to $2.1B; privately held, no audited disclosure) | Family-owned, none published | flags: revenue estimates vary widely across sources (private company, no audited financials); existing motorsport aff</t>
        </is>
      </c>
      <c r="M26" s="10" t="inlineStr">
        <is>
          <t>[VERIFIED NEW W1] Position F1 (Austin COTA / Miami GP) as the next step up from Buc-ee's NASCAR dabbling — road-trip Americana brand activation (trackside retail/beaver mascot fan engagement) tied to its home-state US Grand Prix. | Large, well-capita</t>
        </is>
      </c>
    </row>
    <row r="27">
      <c r="A27" s="10" t="n">
        <v>24</v>
      </c>
      <c r="B27" s="10" t="inlineStr">
        <is>
          <t>W1</t>
        </is>
      </c>
      <c r="C27" s="10" t="inlineStr">
        <is>
          <t>53 Consumer &amp; Lifestyle</t>
        </is>
      </c>
      <c r="D27" s="10" t="n">
        <v>84</v>
      </c>
      <c r="E27" s="10" t="inlineStr">
        <is>
          <t>Wawa</t>
        </is>
      </c>
      <c r="F27" s="10" t="inlineStr">
        <is>
          <t>wawa.com</t>
        </is>
      </c>
      <c r="G27" s="10" t="inlineStr">
        <is>
          <t>Wawa, Pennsylvania, USA</t>
        </is>
      </c>
      <c r="H27" s="10" t="inlineStr">
        <is>
          <t>Convenience store and fuel retail chain</t>
        </is>
      </c>
      <c r="I27" s="10" t="inlineStr">
        <is>
          <t>~40,000 (est.)</t>
        </is>
      </c>
      <c r="J27" s="10" t="inlineStr">
        <is>
          <t>10k+</t>
        </is>
      </c>
      <c r="K27" s="10" t="inlineStr">
        <is>
          <t>verified-new</t>
        </is>
      </c>
      <c r="L27" s="10" t="inlineStr">
        <is>
          <t>~$18.6B (2025 est., Forbes/private-company tracking via delco.today); prior-year figure ~$18.8B (2024) | Family-owned, none published | flags: revenue estimates vary by source/methodology ($15B input vs. ~$18.6B Forbes-based figure)</t>
        </is>
      </c>
      <c r="M27" s="10" t="inlineStr">
        <is>
          <t>[VERIFIED NEW W1] East Coast fan-engagement activation (hoagie/on-the-go culture) tied to a Northeast or Miami race weekend, leveraging Wawa's famously loyal, meme-active fanbase. | Very large, financially healthy private brand with genuine cult-bran</t>
        </is>
      </c>
    </row>
    <row r="28">
      <c r="A28" s="10" t="n">
        <v>25</v>
      </c>
      <c r="B28" s="10" t="inlineStr">
        <is>
          <t>W1</t>
        </is>
      </c>
      <c r="C28" s="10" t="inlineStr">
        <is>
          <t>53 Consumer &amp; Lifestyle</t>
        </is>
      </c>
      <c r="D28" s="10" t="n">
        <v>84</v>
      </c>
      <c r="E28" s="10" t="inlineStr">
        <is>
          <t>Sheetz</t>
        </is>
      </c>
      <c r="F28" s="10" t="inlineStr">
        <is>
          <t>sheetz.com</t>
        </is>
      </c>
      <c r="G28" s="10" t="inlineStr">
        <is>
          <t>Altoona, Pennsylvania, USA</t>
        </is>
      </c>
      <c r="H28" s="10" t="inlineStr">
        <is>
          <t>Convenience store and fuel retail chain</t>
        </is>
      </c>
      <c r="I28" s="10" t="inlineStr">
        <is>
          <t>~24,000 (est.); 27,600+ associates per recent company figures</t>
        </is>
      </c>
      <c r="J28" s="10" t="inlineStr">
        <is>
          <t>10k+</t>
        </is>
      </c>
      <c r="K28" s="10" t="inlineStr">
        <is>
          <t>verified-new</t>
        </is>
      </c>
      <c r="L28" s="10" t="inlineStr">
        <is>
          <t>~$11-14B (2024-25, est. — sources conflict between ~$9B input, ~$11B, and ~$14B figures); no audited disclosure | Family-owned, none published | flags: revenue figures notably inconsistent across sources — could not fully reconcile within budget</t>
        </is>
      </c>
      <c r="M28" s="10" t="inlineStr">
        <is>
          <t>[VERIFIED NEW W1] Mid-Atlantic fan-engagement activation leaning into the Sheetz-vs-Wawa rivalry meme energy for a US race-weekend fan campaign. | Large, family-owned regional chain with strong online fan culture and no F1 conflicts, comparable in pr</t>
        </is>
      </c>
    </row>
    <row r="29">
      <c r="A29" s="10" t="n">
        <v>26</v>
      </c>
      <c r="B29" s="10" t="inlineStr">
        <is>
          <t>W1</t>
        </is>
      </c>
      <c r="C29" s="10" t="inlineStr">
        <is>
          <t>53 Consumer &amp; Lifestyle</t>
        </is>
      </c>
      <c r="D29" s="10" t="n">
        <v>84</v>
      </c>
      <c r="E29" s="10" t="inlineStr">
        <is>
          <t>Bestseller</t>
        </is>
      </c>
      <c r="F29" s="10" t="inlineStr">
        <is>
          <t>bestseller.com</t>
        </is>
      </c>
      <c r="G29" s="10" t="inlineStr">
        <is>
          <t>Brande, Denmark</t>
        </is>
      </c>
      <c r="H29" s="10" t="inlineStr">
        <is>
          <t>Fast-fashion apparel (Jack &amp; Jones, Vero Moda, Only, Vila, and others)</t>
        </is>
      </c>
      <c r="I29" s="10" t="inlineStr">
        <is>
          <t>~17,000 (est.)</t>
        </is>
      </c>
      <c r="J29" s="10" t="inlineStr">
        <is>
          <t>10k+</t>
        </is>
      </c>
      <c r="K29" s="10" t="inlineStr">
        <is>
          <t>verified-new</t>
        </is>
      </c>
      <c r="L29" s="10" t="inlineStr">
        <is>
          <t>DKK38.1B / ~$5.9B (FY2024/25, verified — Bestseller press release, Fibre2Fashion, Ecotextile News), up 7% YoY, record year in company's 50th anniversary | Family-owned, none published | flags: Anders Holch Povlsen is also majority shareholder of publ</t>
        </is>
      </c>
      <c r="M29" s="10" t="inlineStr">
        <is>
          <t>[VERIFIED NEW W1] Youth-fashion multi-brand tie-in (Jack &amp; Jones/Vero Moda/Only) at a European race weekend (Zandvoort/Spa/Monza) targeting F1's younger, fashion-conscious fan growth demographic. | Verified strong, growing revenue; genuinely global m</t>
        </is>
      </c>
    </row>
    <row r="30">
      <c r="A30" s="10" t="n">
        <v>27</v>
      </c>
      <c r="B30" s="10" t="inlineStr">
        <is>
          <t>W1</t>
        </is>
      </c>
      <c r="C30" s="10" t="inlineStr">
        <is>
          <t>53 Consumer &amp; Lifestyle</t>
        </is>
      </c>
      <c r="D30" s="10" t="n">
        <v>84</v>
      </c>
      <c r="E30" s="10" t="inlineStr">
        <is>
          <t>Calzedonia Group (Oniverse)</t>
        </is>
      </c>
      <c r="F30" s="10" t="inlineStr">
        <is>
          <t>calzedoniagroup.com</t>
        </is>
      </c>
      <c r="G30" s="10" t="inlineStr">
        <is>
          <t>Dossobuono (Verona), Italy</t>
        </is>
      </c>
      <c r="H30" s="10" t="inlineStr">
        <is>
          <t xml:space="preserve">Apparel/hosiery/intimates retail (Calzedonia, Intimissimi, Tezenis, Falconeri); rebranded corporate holding as Oniverse </t>
        </is>
      </c>
      <c r="I30" s="10" t="inlineStr">
        <is>
          <t>~40,000 (est.)</t>
        </is>
      </c>
      <c r="J30" s="10" t="inlineStr">
        <is>
          <t>10k+</t>
        </is>
      </c>
      <c r="K30" s="10" t="inlineStr">
        <is>
          <t>verified-new</t>
        </is>
      </c>
      <c r="L30" s="10" t="inlineStr">
        <is>
          <t>€3.7B (2025, verified — FIRSTonline, Modaes Global), up 4.8% YoY; €3.527B in 2024 | Family-owned, none published</t>
        </is>
      </c>
      <c r="M30" s="10" t="inlineStr">
        <is>
          <t>[VERIFIED NEW W1] Italian heritage brand activation around Monza/Imola Grand Prix weekends — apparel/intimates lifestyle tie-in leveraging the group's home-market pride and Ferrari-adjacent Italian motorsport culture. | Verified, growing multi-billio</t>
        </is>
      </c>
    </row>
    <row r="31">
      <c r="A31" s="10" t="n">
        <v>28</v>
      </c>
      <c r="B31" s="10" t="inlineStr">
        <is>
          <t>W1</t>
        </is>
      </c>
      <c r="C31" s="10" t="inlineStr">
        <is>
          <t>03 Luxury &amp; Beauty</t>
        </is>
      </c>
      <c r="D31" s="10" t="n">
        <v>76</v>
      </c>
      <c r="E31" s="10" t="inlineStr">
        <is>
          <t>Kao Corporation</t>
        </is>
      </c>
      <c r="F31" s="10" t="inlineStr">
        <is>
          <t>kao.com</t>
        </is>
      </c>
      <c r="G31" s="10" t="inlineStr">
        <is>
          <t>Japan</t>
        </is>
      </c>
      <c r="H31" s="10" t="inlineStr">
        <is>
          <t>Personal care, cosmetics (Bioré, Curél), household cleaning; sold via retail/drug/mass channels in Japan/Asia/globally</t>
        </is>
      </c>
      <c r="I31" s="10" t="inlineStr">
        <is>
          <t>~33,000 employees (mega-brand scale)</t>
        </is>
      </c>
      <c r="J31" s="10" t="inlineStr">
        <is>
          <t>10k+</t>
        </is>
      </c>
      <c r="K31" s="10" t="inlineStr">
        <is>
          <t>verified-new</t>
        </is>
      </c>
      <c r="L31" s="10" t="inlineStr">
        <is>
          <t>$11.5B (¥1.6886T), FY2025 (year ended Dec 2025), source: Kao Corporation FY2025 earnings release | $19.4B market cap (¥2.72T), as of Apr 22 2026, source: Kao IR / stockanalysis.com | flags: China optics - large China/Asia beauty exposure</t>
        </is>
      </c>
      <c r="M31" s="10" t="inlineStr">
        <is>
          <t>[VERIFIED NEW W1] Global skincare/personal-care leader (Bioré, Curél) seeking incremental international visibility in F1's affluent Asia-Pacific and European fanbase. | Profitable, FY2026 sales guided +3.6% YoY, no layoffs/restructuring program ident</t>
        </is>
      </c>
    </row>
    <row r="32">
      <c r="A32" s="10" t="n">
        <v>29</v>
      </c>
      <c r="B32" s="10" t="inlineStr">
        <is>
          <t>W1</t>
        </is>
      </c>
      <c r="C32" s="10" t="inlineStr">
        <is>
          <t>04 Food &amp; Beverage</t>
        </is>
      </c>
      <c r="D32" s="10" t="n">
        <v>76</v>
      </c>
      <c r="E32" s="10" t="inlineStr">
        <is>
          <t>Kikkoman Corporation</t>
        </is>
      </c>
      <c r="F32" s="10" t="inlineStr">
        <is>
          <t>kikkoman.com</t>
        </is>
      </c>
      <c r="G32" s="10" t="inlineStr">
        <is>
          <t>Japan</t>
        </is>
      </c>
      <c r="H32" s="10" t="inlineStr">
        <is>
          <t>Soy sauce and seasonings sold globally to retail and foodservice</t>
        </is>
      </c>
      <c r="I32" s="10" t="inlineStr">
        <is>
          <t>~8,000 employees</t>
        </is>
      </c>
      <c r="J32" s="10" t="inlineStr">
        <is>
          <t>5k-10k</t>
        </is>
      </c>
      <c r="K32" s="10" t="inlineStr">
        <is>
          <t>verified-new</t>
        </is>
      </c>
      <c r="L32" s="10" t="inlineStr">
        <is>
          <t>¥708.98B (~$4.77B), FY2025 (ended Mar 31 2025), source: Kikkoman FY2025 flash report | $10.2B market cap, as of Sep 10 2026, source: GuruFocus</t>
        </is>
      </c>
      <c r="M32" s="10" t="inlineStr">
        <is>
          <t>[VERIFIED NEW W1] Global heritage food brand with genuine international distribution depth - could support an F1 hospitality/culinary partnership angle. | No layoffs, restructuring or cost-cutting program identified; stable global growth - clean capa</t>
        </is>
      </c>
    </row>
    <row r="33">
      <c r="A33" s="10" t="n">
        <v>30</v>
      </c>
      <c r="B33" s="10" t="inlineStr">
        <is>
          <t>W1</t>
        </is>
      </c>
      <c r="C33" s="10" t="inlineStr">
        <is>
          <t>04 Food &amp; Beverage</t>
        </is>
      </c>
      <c r="D33" s="10" t="n">
        <v>76</v>
      </c>
      <c r="E33" s="10" t="inlineStr">
        <is>
          <t>Nissin Foods Holdings Co., Ltd.</t>
        </is>
      </c>
      <c r="F33" s="10" t="inlineStr">
        <is>
          <t>nissin.com</t>
        </is>
      </c>
      <c r="G33" s="10" t="inlineStr">
        <is>
          <t>Japan</t>
        </is>
      </c>
      <c r="H33" s="10" t="inlineStr">
        <is>
          <t>Cup Noodle and instant noodle brands sold globally via retail</t>
        </is>
      </c>
      <c r="I33" s="10" t="inlineStr">
        <is>
          <t>~10,000 employees</t>
        </is>
      </c>
      <c r="J33" s="10" t="inlineStr">
        <is>
          <t>10k+</t>
        </is>
      </c>
      <c r="K33" s="10" t="inlineStr">
        <is>
          <t>verified-new</t>
        </is>
      </c>
      <c r="L33" s="10" t="inlineStr">
        <is>
          <t>¥792B (~$5.2B trailing), FY2025/FY3-2026 H1 basis, source: Nissin Foods FY2026 H1 presentation / companiesmarketcap.com | $5.07B market cap, as of Jul 31 2026, source: stockanalysis.com</t>
        </is>
      </c>
      <c r="M33" s="10" t="inlineStr">
        <is>
          <t>[VERIFIED NEW W1] Globally recognizable pop-culture food brand (Cup Noodle) with a youthful, playful identity that could complement F1's efforts to reach younger fans. | No layoffs/restructuring identified; overseas business driving profit growth des</t>
        </is>
      </c>
    </row>
    <row r="34">
      <c r="A34" s="10" t="n">
        <v>31</v>
      </c>
      <c r="B34" s="10" t="inlineStr">
        <is>
          <t>W1</t>
        </is>
      </c>
      <c r="C34" s="10" t="inlineStr">
        <is>
          <t>49 Home &amp; Living</t>
        </is>
      </c>
      <c r="D34" s="10" t="n">
        <v>76</v>
      </c>
      <c r="E34" s="10" t="inlineStr">
        <is>
          <t>Vorwerk</t>
        </is>
      </c>
      <c r="F34" s="10" t="inlineStr">
        <is>
          <t>vorwerk.com</t>
        </is>
      </c>
      <c r="G34" s="10" t="inlineStr">
        <is>
          <t>Wuppertal, Germany</t>
        </is>
      </c>
      <c r="H34" s="10" t="inlineStr">
        <is>
          <t>home appliances (Thermomix, Kobold vacuums) and Jafra cosmetics via direct sales</t>
        </is>
      </c>
      <c r="I34" s="10" t="inlineStr">
        <is>
          <t>10,000-15,000</t>
        </is>
      </c>
      <c r="J34" s="10" t="inlineStr">
        <is>
          <t>10k+</t>
        </is>
      </c>
      <c r="K34" s="10" t="inlineStr">
        <is>
          <t>verified-new</t>
        </is>
      </c>
      <c r="L34" s="10" t="inlineStr">
        <is>
          <t>EUR 3.6B (FY2025, record, +14.1% YoY - Thermomix TM7 launch-driven; Culinary/Thermomix division EUR 2.1B, Kobold EUR 790M) | no published valuation (100% family-owned) | flags: direct-sales distribution model draws light MLM-adjacent optics, though s</t>
        </is>
      </c>
      <c r="M34" s="10" t="inlineStr">
        <is>
          <t>[VERIFIED NEW W1] Culinary/lifestyle activation - Thermomix demo hospitality suites and cooking-content creator tie-ins around race weekends, leveraging record TM7 launch momentum | Revenue well above $100M threshold with verified FY2025 figures; 100</t>
        </is>
      </c>
    </row>
    <row r="35">
      <c r="A35" s="10" t="n">
        <v>32</v>
      </c>
      <c r="B35" s="10" t="inlineStr">
        <is>
          <t>W1</t>
        </is>
      </c>
      <c r="C35" s="10" t="inlineStr">
        <is>
          <t>49 Home &amp; Living</t>
        </is>
      </c>
      <c r="D35" s="10" t="n">
        <v>76</v>
      </c>
      <c r="E35" s="10" t="inlineStr">
        <is>
          <t>SC Johnson</t>
        </is>
      </c>
      <c r="F35" s="10" t="inlineStr">
        <is>
          <t>scjohnson.com</t>
        </is>
      </c>
      <c r="G35" s="10" t="inlineStr">
        <is>
          <t>Racine, Wisconsin, USA</t>
        </is>
      </c>
      <c r="H35" s="10" t="inlineStr">
        <is>
          <t>household cleaning and consumer products (Windex, Glade, Raid, Ziploc, Off!)</t>
        </is>
      </c>
      <c r="I35" s="10" t="inlineStr">
        <is>
          <t>10,000-15,000</t>
        </is>
      </c>
      <c r="J35" s="10" t="inlineStr">
        <is>
          <t>10k+</t>
        </is>
      </c>
      <c r="K35" s="10" t="inlineStr">
        <is>
          <t>verified-new</t>
        </is>
      </c>
      <c r="L35" s="10" t="inlineStr">
        <is>
          <t xml:space="preserve">~$11.8B (most recent confirmed figure is FY2024; no confirmed FY2025 figure published as of Sep 2026 - private company) | no published valuation (100% family-owned) | flags: most recent confirmed revenue figure is FY2024 (~$11.8B); FY2025 figure not </t>
        </is>
      </c>
      <c r="M35" s="10" t="inlineStr">
        <is>
          <t>[VERIFIED NEW W1] Global household-name omnipresence play - product placement/at-home viewing-party sponsorship tied to F1's expanding mainstream/household audience, paired with SC Johnson's sustainability story | Revenue far exceeds $100M threshold;</t>
        </is>
      </c>
    </row>
    <row r="36">
      <c r="A36" s="10" t="n">
        <v>33</v>
      </c>
      <c r="B36" s="10" t="inlineStr">
        <is>
          <t>W1</t>
        </is>
      </c>
      <c r="C36" s="10" t="inlineStr">
        <is>
          <t>49 Home &amp; Living</t>
        </is>
      </c>
      <c r="D36" s="10" t="n">
        <v>76</v>
      </c>
      <c r="E36" s="10" t="inlineStr">
        <is>
          <t>Crate &amp; Barrel (Euromarket Designs Inc.)</t>
        </is>
      </c>
      <c r="F36" s="10" t="inlineStr">
        <is>
          <t>crateandbarrel.com</t>
        </is>
      </c>
      <c r="G36" s="10" t="inlineStr">
        <is>
          <t>Northbrook, Illinois, USA (parent: Hamburg, Germany)</t>
        </is>
      </c>
      <c r="H36" s="10" t="inlineStr">
        <is>
          <t>home furnishings and housewares retail (Crate &amp; Barrel, CB2, Crate &amp; Kids brands)</t>
        </is>
      </c>
      <c r="I36" s="10" t="inlineStr">
        <is>
          <t>5,000-10,000</t>
        </is>
      </c>
      <c r="J36" s="10" t="inlineStr">
        <is>
          <t>10k+</t>
        </is>
      </c>
      <c r="K36" s="10" t="inlineStr">
        <is>
          <t>verified-new</t>
        </is>
      </c>
      <c r="L36" s="10" t="inlineStr">
        <is>
          <t>~$2.5B (est., Euromarket Designs/Crate &amp; Barrel subsidiary level, distinct from Otto Group parent's much larger consolidated revenue) | no published valuation (privately held subsidiary of family-owned Otto Group) | flags: ultimate parent is Otto Gro</t>
        </is>
      </c>
      <c r="M36" s="10" t="inlineStr">
        <is>
          <t>[VERIFIED NEW W1] Home/lifestyle content partnership - "paddock-ready living" style activation and fan lifestyle/travel content tie-ins around race weekends | Revenue clears $100M threshold comfortably; ultimately family-owned (Otto family) with no p</t>
        </is>
      </c>
    </row>
    <row r="37">
      <c r="A37" s="11" t="n">
        <v>34</v>
      </c>
      <c r="B37" s="11" t="inlineStr">
        <is>
          <t>W1</t>
        </is>
      </c>
      <c r="C37" s="11" t="inlineStr">
        <is>
          <t>16 Travel &amp; Hospitality</t>
        </is>
      </c>
      <c r="D37" s="11" t="n">
        <v>64</v>
      </c>
      <c r="E37" s="11" t="inlineStr">
        <is>
          <t>Aman Resorts (Aman Group)</t>
        </is>
      </c>
      <c r="F37" s="11" t="inlineStr">
        <is>
          <t>aman.com</t>
        </is>
      </c>
      <c r="G37" s="11" t="inlineStr">
        <is>
          <t>Geneva, Switzerland / London, UK</t>
        </is>
      </c>
      <c r="H37" s="11" t="inlineStr">
        <is>
          <t>ultra-luxury resort hotels and branded residences (34 hotels across 20 countries, 12 with branded residences)</t>
        </is>
      </c>
      <c r="I37" s="11" t="inlineStr">
        <is>
          <t>1,000-5,000</t>
        </is>
      </c>
      <c r="J37" s="11" t="inlineStr">
        <is>
          <t>5k-10k</t>
        </is>
      </c>
      <c r="K37" s="11" t="inlineStr">
        <is>
          <t>verified-stretch</t>
        </is>
      </c>
      <c r="L37" s="11" t="inlineStr">
        <is>
          <t>~$400M (est.) - search budget did not surface an updated consolidated figure; company was valued at $3B in its 2022 PIF/Cain funding round and has floated a further $2B raise for expansion | ~$3B (implied by 2022 PIF/Cain International $900M investme</t>
        </is>
      </c>
      <c r="M37" s="11" t="inlineStr">
        <is>
          <t>[VERIFIED NEW W1] If ownership optics are cleared: ultra-exclusive UHNW hospitality experience (private paddock retreats, calendar-spanning F1 tour package) targeting F1's fastest-growing luxury-guest segment; flag PIF/Mubadala optics for sponsor leg</t>
        </is>
      </c>
    </row>
    <row r="38">
      <c r="A38" s="11" t="n">
        <v>35</v>
      </c>
      <c r="B38" s="11" t="inlineStr">
        <is>
          <t>W1</t>
        </is>
      </c>
      <c r="C38" s="11" t="inlineStr">
        <is>
          <t>53 Consumer &amp; Lifestyle</t>
        </is>
      </c>
      <c r="D38" s="11" t="n">
        <v>64</v>
      </c>
      <c r="E38" s="11" t="inlineStr">
        <is>
          <t>Fast Retailing Co., Ltd. (Uniqlo/GU)</t>
        </is>
      </c>
      <c r="F38" s="11" t="inlineStr">
        <is>
          <t>fastretailing.com</t>
        </is>
      </c>
      <c r="G38" s="11" t="inlineStr">
        <is>
          <t>Yamaguchi, Japan</t>
        </is>
      </c>
      <c r="H38" s="11" t="inlineStr">
        <is>
          <t>Uniqlo, GU, Theory apparel sold globally via retail and e-commerce</t>
        </is>
      </c>
      <c r="I38" s="11" t="inlineStr">
        <is>
          <t>50K-100K (~57,000)</t>
        </is>
      </c>
      <c r="J38" s="11" t="inlineStr">
        <is>
          <t>10k+</t>
        </is>
      </c>
      <c r="K38" s="11" t="inlineStr">
        <is>
          <t>verified-stretch</t>
        </is>
      </c>
      <c r="L38" s="11" t="inlineStr">
        <is>
          <t>¥3.4005 trillion (~$23B) FY2025 (year ended Aug 31, 2025), +9.6% YoY; FY2026 guidance raised to ¥3.97 trillion (+16.7%) — source: Fast Retailing IR results (Oct 9, 2025) | ~$118.3B market cap, intraday Sept 2026 (FRCOY) — Yahoo Finance/stockanalysis.</t>
        </is>
      </c>
      <c r="M38" s="11" t="inlineStr">
        <is>
          <t>[VERIFIED NEW W1] Upgrade the existing Uniqlo UT x F1 licensed-merchandise relationship into an official team or series apparel partnership, leveraging Uniqlo's global retail footprint for trackside/pop-up drops. | Mega global apparel brand, profitab</t>
        </is>
      </c>
    </row>
    <row r="39">
      <c r="A39" s="11" t="n">
        <v>36</v>
      </c>
      <c r="B39" s="11" t="inlineStr">
        <is>
          <t>W1</t>
        </is>
      </c>
      <c r="C39" s="11" t="inlineStr">
        <is>
          <t>03 Luxury &amp; Beauty</t>
        </is>
      </c>
      <c r="D39" s="11" t="n">
        <v>58</v>
      </c>
      <c r="E39" s="11" t="inlineStr">
        <is>
          <t>Beiersdorf AG</t>
        </is>
      </c>
      <c r="F39" s="11" t="inlineStr">
        <is>
          <t>beiersdorf.com</t>
        </is>
      </c>
      <c r="G39" s="11" t="inlineStr">
        <is>
          <t>Germany</t>
        </is>
      </c>
      <c r="H39" s="11" t="inlineStr">
        <is>
          <t>Nivea, Eucerin, La Prairie skincare; sold globally through mass and prestige retail</t>
        </is>
      </c>
      <c r="I39" s="11" t="inlineStr">
        <is>
          <t>~24,000 employees (mega-brand scale)</t>
        </is>
      </c>
      <c r="J39" s="11" t="inlineStr">
        <is>
          <t>10k+</t>
        </is>
      </c>
      <c r="K39" s="11" t="inlineStr">
        <is>
          <t>verified-stretch</t>
        </is>
      </c>
      <c r="L39" s="11" t="inlineStr">
        <is>
          <t>€9.85B (~$10.7B), FY2025, source: Beiersdorf FY2025 results | €16.9B (~$18.4B) market cap, as of Sep 2026, source: companiesmarketcap.com / tradingeconomics.com | flags: China optics - La Prairie/Nivea China dependence</t>
        </is>
      </c>
      <c r="M39" s="11" t="inlineStr">
        <is>
          <t>[VERIFIED NEW W1] Global skincare science brand (Nivea, Eucerin) mid-turnaround - F1 sponsorship could support the reset/relaunch narrative to a global audience. | Cut FY2026 guidance and launched a NIVEA turnaround/restructuring plan with job cuts (</t>
        </is>
      </c>
    </row>
    <row r="40">
      <c r="A40" s="11" t="n">
        <v>37</v>
      </c>
      <c r="B40" s="11" t="inlineStr">
        <is>
          <t>W1</t>
        </is>
      </c>
      <c r="C40" s="11" t="inlineStr">
        <is>
          <t>04 Food &amp; Beverage</t>
        </is>
      </c>
      <c r="D40" s="11" t="n">
        <v>58</v>
      </c>
      <c r="E40" s="11" t="inlineStr">
        <is>
          <t>Coca-Cola FEMSA, S.A.B. de C.V.</t>
        </is>
      </c>
      <c r="F40" s="11" t="inlineStr">
        <is>
          <t>coca-colafemsa.com</t>
        </is>
      </c>
      <c r="G40" s="11" t="inlineStr">
        <is>
          <t>Mexico City, Mexico</t>
        </is>
      </c>
      <c r="H40" s="11" t="inlineStr">
        <is>
          <t>World's largest Coca-Cola franchise bottler by volume; beverage distribution across Mexico, Brazil, Colombia, Argentina,</t>
        </is>
      </c>
      <c r="I40" s="11" t="inlineStr">
        <is>
          <t>~90,000 employees per input estimate; public filings suggest headcount may run higher (~130,000) — not independently re-verified given search budget</t>
        </is>
      </c>
      <c r="J40" s="11" t="inlineStr">
        <is>
          <t>10k+</t>
        </is>
      </c>
      <c r="K40" s="11" t="inlineStr">
        <is>
          <t>verified-stretch</t>
        </is>
      </c>
      <c r="L40" s="11" t="inlineStr">
        <is>
          <t>US$15.56B FY2025 (MXN 291.75B, +4.3% YoY) — company Q4/FY25 investor results, verified Sept 2026 | US$22.9B market cap as of July 2026 (companiesmarketcap.com) — well above the input's ~$16B estimate | flags: Parent-brand adjacency with direct equity</t>
        </is>
      </c>
      <c r="M40" s="11" t="inlineStr">
        <is>
          <t>[VERIFIED NEW W1] Pitch a KOF-specific portfolio (e.g., water/juice sub-brands it bottles that are not part of the McLaren activation) tied to São Paulo or Mexico City GP grassroots/retail activation, explicitly scoped to avoid the Coca-Cola trademar</t>
        </is>
      </c>
    </row>
    <row r="41">
      <c r="A41" s="11" t="n">
        <v>38</v>
      </c>
      <c r="B41" s="11" t="inlineStr">
        <is>
          <t>W1</t>
        </is>
      </c>
      <c r="C41" s="11" t="inlineStr">
        <is>
          <t>03 Luxury &amp; Beauty</t>
        </is>
      </c>
      <c r="D41" s="11" t="n">
        <v>52</v>
      </c>
      <c r="E41" s="11" t="inlineStr">
        <is>
          <t>Kose Corporation</t>
        </is>
      </c>
      <c r="F41" s="11" t="inlineStr">
        <is>
          <t>kose.com</t>
        </is>
      </c>
      <c r="G41" s="11" t="inlineStr">
        <is>
          <t>Japan</t>
        </is>
      </c>
      <c r="H41" s="11" t="inlineStr">
        <is>
          <t>Prestige and mass cosmetics (Decorté, Sekkisei, Est); sold via department stores/drugstores in Japan/Asia, growing in No</t>
        </is>
      </c>
      <c r="I41" s="11" t="inlineStr">
        <is>
          <t>~5,700 employees</t>
        </is>
      </c>
      <c r="J41" s="11" t="inlineStr">
        <is>
          <t>5k-10k</t>
        </is>
      </c>
      <c r="K41" s="11" t="inlineStr">
        <is>
          <t>verified-stretch</t>
        </is>
      </c>
      <c r="L41" s="11" t="inlineStr">
        <is>
          <t>$2.2B (¥330.2B), FY2025, source: Kose Holdings FY2025 earnings report | $1.9B market cap, as of Jul 17 2026, source: PitchBook / stockanalysis.com | flags: China optics - Asia prestige beauty exposure</t>
        </is>
      </c>
      <c r="M41" s="11" t="inlineStr">
        <is>
          <t>[VERIFIED NEW W1] Prestige J-beauty house using F1's Asia-Pacific and North America growth markets to accelerate its international expansion narrative. | Announced a voluntary retirement program and structural reform (Aug 2026 earnings briefing) alon</t>
        </is>
      </c>
    </row>
    <row r="42">
      <c r="A42" s="11" t="n">
        <v>39</v>
      </c>
      <c r="B42" s="11" t="inlineStr">
        <is>
          <t>W1</t>
        </is>
      </c>
      <c r="C42" s="11" t="inlineStr">
        <is>
          <t>03 Luxury &amp; Beauty</t>
        </is>
      </c>
      <c r="D42" s="11" t="n">
        <v>52</v>
      </c>
      <c r="E42" s="11" t="inlineStr">
        <is>
          <t>LG Household &amp; Health Care</t>
        </is>
      </c>
      <c r="F42" s="11" t="inlineStr">
        <is>
          <t>lghnh.com</t>
        </is>
      </c>
      <c r="G42" s="11" t="inlineStr">
        <is>
          <t>South Korea</t>
        </is>
      </c>
      <c r="H42" s="11" t="inlineStr">
        <is>
          <t>Cosmetics (Whoo, Su:m37), household/personal care, beverages; sold across Korea/China/global retail</t>
        </is>
      </c>
      <c r="I42" s="11" t="inlineStr">
        <is>
          <t>~4,500 employees</t>
        </is>
      </c>
      <c r="J42" s="11" t="inlineStr">
        <is>
          <t>1k-5k</t>
        </is>
      </c>
      <c r="K42" s="11" t="inlineStr">
        <is>
          <t>verified-stretch</t>
        </is>
      </c>
      <c r="L42" s="11" t="inlineStr">
        <is>
          <t>$4.6B (most recent FY) / $4.4B trailing-12mo, FY2025, source: companiesmarketcap.com / LG H&amp;H filings | $3.3B market cap, as of Sep 4 2026, source: companiesmarketcap.com | flags: China optics - duty-free/China channel dependence flagged in restructu</t>
        </is>
      </c>
      <c r="M42" s="11" t="inlineStr">
        <is>
          <t>[VERIFIED NEW W1] Korean luxury beauty major rebuilding global distribution - F1 as a platform to reset international (ex-China) brand momentum. | Mid-restructuring of domestic distribution/duty-free channels; Q1 2026 swung back to profit signaling i</t>
        </is>
      </c>
    </row>
    <row r="43">
      <c r="A43" s="11" t="n">
        <v>40</v>
      </c>
      <c r="B43" s="11" t="inlineStr">
        <is>
          <t>W1</t>
        </is>
      </c>
      <c r="C43" s="11" t="inlineStr">
        <is>
          <t>03 Luxury &amp; Beauty</t>
        </is>
      </c>
      <c r="D43" s="11" t="n">
        <v>52</v>
      </c>
      <c r="E43" s="11" t="inlineStr">
        <is>
          <t>Amway</t>
        </is>
      </c>
      <c r="F43" s="11" t="inlineStr">
        <is>
          <t>amway.com</t>
        </is>
      </c>
      <c r="G43" s="11" t="inlineStr">
        <is>
          <t>Ada, Michigan, USA</t>
        </is>
      </c>
      <c r="H43" s="11" t="inlineStr">
        <is>
          <t>Beauty, personal care, and nutrition products via direct-selling/MLM network</t>
        </is>
      </c>
      <c r="I43" s="11" t="inlineStr">
        <is>
          <t>~13,000 corporate (est.)</t>
        </is>
      </c>
      <c r="J43" s="11" t="inlineStr">
        <is>
          <t>10k+</t>
        </is>
      </c>
      <c r="K43" s="11" t="inlineStr">
        <is>
          <t>verified-stretch</t>
        </is>
      </c>
      <c r="L43" s="11" t="inlineStr">
        <is>
          <t>$7.4B (2024) / $7.3B (2025, est.) — verified via company reporting/Direct Selling News/Yahoo Finance; multi-year declining trend ($7.7B in 2023) | Family-owned, none published | flags: MLM/direct-selling business model — reputational optics flag, inc</t>
        </is>
      </c>
      <c r="M43" s="11" t="inlineStr">
        <is>
          <t>[VERIFIED NEW W1] Approach through the DeVos family's established sports-ownership relationships rather than the Amway brand directly; if branded, anchor on Amway's Nutrilite performance-nutrition line for a driver fitness/wellness narrative that sid</t>
        </is>
      </c>
    </row>
    <row r="44">
      <c r="A44" s="11" t="n">
        <v>41</v>
      </c>
      <c r="B44" s="11" t="inlineStr">
        <is>
          <t>W1</t>
        </is>
      </c>
      <c r="C44" s="11" t="inlineStr">
        <is>
          <t>04 Food &amp; Beverage</t>
        </is>
      </c>
      <c r="D44" s="11" t="n">
        <v>52</v>
      </c>
      <c r="E44" s="11" t="inlineStr">
        <is>
          <t>Orion Corporation</t>
        </is>
      </c>
      <c r="F44" s="11" t="inlineStr">
        <is>
          <t>orionworld.com</t>
        </is>
      </c>
      <c r="G44" s="11" t="inlineStr">
        <is>
          <t>Seoul, South Korea</t>
        </is>
      </c>
      <c r="H44" s="11" t="inlineStr">
        <is>
          <t>Choco Pie and snack/confectionery brands sold across Korea, China, Vietnam, Russia, and the US</t>
        </is>
      </c>
      <c r="I44" s="11" t="inlineStr">
        <is>
          <t>1,000-5,000 (~3,000)</t>
        </is>
      </c>
      <c r="J44" s="11" t="inlineStr">
        <is>
          <t>5k-10k</t>
        </is>
      </c>
      <c r="K44" s="11" t="inlineStr">
        <is>
          <t>verified-stretch</t>
        </is>
      </c>
      <c r="L44" s="11" t="inlineStr">
        <is>
          <t>~KRW 3.22 trillion LTM through June 2025 (~$2.3-2.4B), +7.1% YoY - source: stockanalysis.com | ~$3.5-3.7B market cap as of Sept 2026 - source: companiesmarketcap.com / stockanalysis.com | flags: Russia market exposure raises sanctions/optics question</t>
        </is>
      </c>
      <c r="M44" s="11" t="inlineStr">
        <is>
          <t xml:space="preserve">[VERIFIED NEW W1] China/Vietnam market fan-zone Choco Pie sampling activation tied to a regional GP weekend, not a livery-level partnership. | Genuine pan-Asia/Russia distribution and an open snack category, but a mass-market confectionery brand has </t>
        </is>
      </c>
    </row>
    <row r="45">
      <c r="A45" s="11" t="n">
        <v>42</v>
      </c>
      <c r="B45" s="11" t="inlineStr">
        <is>
          <t>W1</t>
        </is>
      </c>
      <c r="C45" s="11" t="inlineStr">
        <is>
          <t>04 Food &amp; Beverage</t>
        </is>
      </c>
      <c r="D45" s="11" t="n">
        <v>52</v>
      </c>
      <c r="E45" s="11" t="inlineStr">
        <is>
          <t>Universal Robina Corporation</t>
        </is>
      </c>
      <c r="F45" s="11" t="inlineStr">
        <is>
          <t>urc.com.ph</t>
        </is>
      </c>
      <c r="G45" s="11" t="inlineStr">
        <is>
          <t>Quezon City, Philippines</t>
        </is>
      </c>
      <c r="H45" s="11" t="inlineStr">
        <is>
          <t>Snacks and beverages (Jack 'n Jill) sold across the Philippines, SEA, ANZ, and China</t>
        </is>
      </c>
      <c r="I45" s="11" t="inlineStr">
        <is>
          <t>10,000-50,000 (~19,000)</t>
        </is>
      </c>
      <c r="J45" s="11" t="inlineStr">
        <is>
          <t>10k+</t>
        </is>
      </c>
      <c r="K45" s="11" t="inlineStr">
        <is>
          <t>verified-stretch</t>
        </is>
      </c>
      <c r="L45" s="11" t="inlineStr">
        <is>
          <t>~PHP 168B (~$2.9B) FY2025, +4% YoY - source: insiderph.com/stockanalysis.com | ~$2.1-2.65B market cap as of mid-2026 (materially below the input's ~$4B estimate) - source: stockanalysis.com/companiesmarketcap.com</t>
        </is>
      </c>
      <c r="M45" s="11" t="inlineStr">
        <is>
          <t>[VERIFIED NEW W1] Philippines/SEA fan-zone snack sampling activation tied to a regional GP weekend (e.g. Singapore GP travel audiences). | Multi-market SEA/ANZ/China snack distribution and an open category, but H1 2025 earnings fell 11% on a packagin</t>
        </is>
      </c>
    </row>
    <row r="46">
      <c r="A46" s="11" t="n">
        <v>43</v>
      </c>
      <c r="B46" s="11" t="inlineStr">
        <is>
          <t>W1</t>
        </is>
      </c>
      <c r="C46" s="11" t="inlineStr">
        <is>
          <t>04 Food &amp; Beverage</t>
        </is>
      </c>
      <c r="D46" s="11" t="n">
        <v>52</v>
      </c>
      <c r="E46" s="11" t="inlineStr">
        <is>
          <t>Uni-President Enterprises Corporation</t>
        </is>
      </c>
      <c r="F46" s="11" t="inlineStr">
        <is>
          <t>uni-president.com</t>
        </is>
      </c>
      <c r="G46" s="11" t="inlineStr">
        <is>
          <t>Tainan, Taiwan</t>
        </is>
      </c>
      <c r="H46" s="11" t="inlineStr">
        <is>
          <t>Instant noodles, beverages, and retail (7-Eleven Taiwan JV via President Chain Store) sold across Taiwan, China, and SEA</t>
        </is>
      </c>
      <c r="I46" s="11" t="inlineStr">
        <is>
          <t>10,000-50,000 (~30,000, likely higher on a fully consolidated retail basis)</t>
        </is>
      </c>
      <c r="J46" s="11" t="inlineStr">
        <is>
          <t>10k+</t>
        </is>
      </c>
      <c r="K46" s="11" t="inlineStr">
        <is>
          <t>verified-stretch</t>
        </is>
      </c>
      <c r="L46" s="11" t="inlineStr">
        <is>
          <t>~NT$672.9B (~$21.5B) FY2025 consolidated (materially above the input's ~$5B estimate, likely reflecting full retail-JV consolidation) - source: stockanalysis.com | ~NT$430.7B (~$13.3-13.5B) as of mid-2026 - source: stockanalysis.com | flags: China ma</t>
        </is>
      </c>
      <c r="M46" s="11" t="inlineStr">
        <is>
          <t>[VERIFIED NEW W1] Pan-Asia beverage-brand trackside sampling and hospitality tie-in around China or Singapore GP weekends. | Large multi-market Asia F&amp;B/retail conglomerate with real budget capacity (~$21B revenue) and an open beverage/noodle categor</t>
        </is>
      </c>
    </row>
    <row r="47">
      <c r="A47" s="11" t="n">
        <v>44</v>
      </c>
      <c r="B47" s="11" t="inlineStr">
        <is>
          <t>W1</t>
        </is>
      </c>
      <c r="C47" s="11" t="inlineStr">
        <is>
          <t>04 Food &amp; Beverage</t>
        </is>
      </c>
      <c r="D47" s="11" t="n">
        <v>52</v>
      </c>
      <c r="E47" s="11" t="inlineStr">
        <is>
          <t>Gruma, S.A.B. de C.V.</t>
        </is>
      </c>
      <c r="F47" s="11" t="inlineStr">
        <is>
          <t>gruma.com</t>
        </is>
      </c>
      <c r="G47" s="11" t="inlineStr">
        <is>
          <t>San Pedro Garza García, Mexico</t>
        </is>
      </c>
      <c r="H47" s="11" t="inlineStr">
        <is>
          <t>Corn flour and tortillas (Mission, Maseca) sold across the Americas and Europe</t>
        </is>
      </c>
      <c r="I47" s="11" t="inlineStr">
        <is>
          <t>10,000-50,000 (~21,000)</t>
        </is>
      </c>
      <c r="J47" s="11" t="inlineStr">
        <is>
          <t>10k+</t>
        </is>
      </c>
      <c r="K47" s="11" t="inlineStr">
        <is>
          <t>verified-stretch</t>
        </is>
      </c>
      <c r="L47" s="11" t="inlineStr">
        <is>
          <t>~$6.5-6.8B TTM through mid-2026 (above the input's ~$5.7B estimate) - source: alphaspread.com/tipranks.com | ~$4.9B market cap as of Aug 2026 - source: multiples.vc/tipranks.com</t>
        </is>
      </c>
      <c r="M47" s="11" t="inlineStr">
        <is>
          <t>[VERIFIED NEW W1] Mission-brand fan-zone activation tied to the Mexico City GP (home market) and/or the Austin (US) GP, leaning on local-hero brand recognition rather than a global performance narrative. | Real multi-market presence and an open stapl</t>
        </is>
      </c>
    </row>
    <row r="48">
      <c r="A48" s="11" t="n">
        <v>45</v>
      </c>
      <c r="B48" s="11" t="inlineStr">
        <is>
          <t>W1</t>
        </is>
      </c>
      <c r="C48" s="11" t="inlineStr">
        <is>
          <t>04 Food &amp; Beverage</t>
        </is>
      </c>
      <c r="D48" s="11" t="n">
        <v>52</v>
      </c>
      <c r="E48" s="11" t="inlineStr">
        <is>
          <t>Haidilao International Holding Ltd. / Super Hi International Holding Ltd.</t>
        </is>
      </c>
      <c r="F48" s="11" t="n"/>
      <c r="G48" s="11" t="inlineStr">
        <is>
          <t>China (Haidilao, HKEX: 6862) / Singapore (Super Hi, Nasdaq: HDL, international spin-off)</t>
        </is>
      </c>
      <c r="H48" s="11" t="inlineStr">
        <is>
          <t xml:space="preserve">Hot pot restaurant chain dine-in F&amp;B; Haidilao operates mainland China restaurants, Super Hi runs the international arm </t>
        </is>
      </c>
      <c r="I48" s="11" t="inlineStr">
        <is>
          <t>~120,000 employees (input est., combined group)</t>
        </is>
      </c>
      <c r="J48" s="11" t="inlineStr">
        <is>
          <t>10k+</t>
        </is>
      </c>
      <c r="K48" s="11" t="inlineStr">
        <is>
          <t>verified-stretch</t>
        </is>
      </c>
      <c r="L48" s="11" t="inlineStr">
        <is>
          <t>Combined est. ~US$6.5-7.0B: Haidilao domestic FY2024 RMB 42.75B (~US$5.9B, +3.1% YoY — FY2025 domestic figure not yet fully published as of search) + Super Hi FY2025 US$840.8M (+8% YoY, confirmed). Domestic FY2025 figure is (est.) - search budget | H</t>
        </is>
      </c>
      <c r="M48" s="11" t="inlineStr">
        <is>
          <t>[VERIFIED NEW W1] Shanghai GP hospitality/fan-dining activation for Super Hi's international expansion story, positioning Haidilao's communal dining culture as a fan-zone experience rather than a car-livery sponsorship. | Strong financial scale and p</t>
        </is>
      </c>
    </row>
    <row r="49">
      <c r="A49" s="11" t="n">
        <v>46</v>
      </c>
      <c r="B49" s="11" t="inlineStr">
        <is>
          <t>W1</t>
        </is>
      </c>
      <c r="C49" s="11" t="inlineStr">
        <is>
          <t>04 Food &amp; Beverage</t>
        </is>
      </c>
      <c r="D49" s="11" t="n">
        <v>52</v>
      </c>
      <c r="E49" s="11" t="inlineStr">
        <is>
          <t>Dr. Oetker</t>
        </is>
      </c>
      <c r="F49" s="11" t="inlineStr">
        <is>
          <t>oetker.com</t>
        </is>
      </c>
      <c r="G49" s="11" t="inlineStr">
        <is>
          <t>Bielefeld, Germany</t>
        </is>
      </c>
      <c r="H49" s="11" t="inlineStr">
        <is>
          <t>baking mixes, frozen pizza, desserts, puddings</t>
        </is>
      </c>
      <c r="I49" s="11" t="inlineStr">
        <is>
          <t>~35,000 (Oetker Group)</t>
        </is>
      </c>
      <c r="J49" s="11" t="inlineStr">
        <is>
          <t>10k+</t>
        </is>
      </c>
      <c r="K49" s="11" t="inlineStr">
        <is>
          <t>verified-stretch</t>
        </is>
      </c>
      <c r="L49" s="11" t="inlineStr">
        <is>
          <t>Oetker Group sales €7.1B (FY2025, company press release, oetker.com); food division (incl. Coppenrath &amp; Wiese) €4.3B FY2025/FY2024 flat | family-owned, none published | flags: Oetker family also owns Oetker Collection (luxury hospitality) - avoid dup</t>
        </is>
      </c>
      <c r="M49" s="11" t="inlineStr">
        <is>
          <t>[VERIFIED NEW W1] Family-legacy/craftsmanship storytelling + hospitality crossover via Oetker Collection for paddock/VIP experiential activation. | Financially strong and stable but brand story (baking mixes, frozen pizza) has weak natural tie to per</t>
        </is>
      </c>
    </row>
    <row r="50">
      <c r="A50" s="11" t="n">
        <v>47</v>
      </c>
      <c r="B50" s="11" t="inlineStr">
        <is>
          <t>W1</t>
        </is>
      </c>
      <c r="C50" s="11" t="inlineStr">
        <is>
          <t>04 Food &amp; Beverage</t>
        </is>
      </c>
      <c r="D50" s="11" t="n">
        <v>52</v>
      </c>
      <c r="E50" s="11" t="inlineStr">
        <is>
          <t>Haribo</t>
        </is>
      </c>
      <c r="F50" s="11" t="inlineStr">
        <is>
          <t>haribo.com</t>
        </is>
      </c>
      <c r="G50" s="11" t="inlineStr">
        <is>
          <t>Bonn/Grafschaft, Germany</t>
        </is>
      </c>
      <c r="H50" s="11" t="inlineStr">
        <is>
          <t>gummy/confectionery candy</t>
        </is>
      </c>
      <c r="I50" s="11" t="inlineStr">
        <is>
          <t>~7,000 (est.)</t>
        </is>
      </c>
      <c r="J50" s="11" t="inlineStr">
        <is>
          <t>5k-10k</t>
        </is>
      </c>
      <c r="K50" s="11" t="inlineStr">
        <is>
          <t>verified-stretch</t>
        </is>
      </c>
      <c r="L50" s="11" t="inlineStr">
        <is>
          <t>~$2.9B global (est., multiple trade sources); UK&amp;I unit alone £291.5M FY2024 (up 7.7% YoY, The Grocer) | family-owned, none published | flags: estimates - private company, no audited consolidated figures found</t>
        </is>
      </c>
      <c r="M50" s="11" t="inlineStr">
        <is>
          <t>[VERIFIED NEW W1] Fan-engagement/kids-and-family trackside activation, playful brand mascot tie-ins at races. | Strong global brand recognition and fan-engagement fit, but demographic (kids/families) misaligned with F1's affluent/senior skew.</t>
        </is>
      </c>
    </row>
    <row r="51">
      <c r="A51" s="11" t="n">
        <v>48</v>
      </c>
      <c r="B51" s="11" t="inlineStr">
        <is>
          <t>W1</t>
        </is>
      </c>
      <c r="C51" s="11" t="inlineStr">
        <is>
          <t>04 Food &amp; Beverage</t>
        </is>
      </c>
      <c r="D51" s="11" t="n">
        <v>52</v>
      </c>
      <c r="E51" s="11" t="inlineStr">
        <is>
          <t>Dallmayr</t>
        </is>
      </c>
      <c r="F51" s="11" t="inlineStr">
        <is>
          <t>dallmayr.com</t>
        </is>
      </c>
      <c r="G51" s="11" t="inlineStr">
        <is>
          <t>Munich, Germany</t>
        </is>
      </c>
      <c r="H51" s="11" t="inlineStr">
        <is>
          <t>coffee, tea, delicatessen, foodservice/vending</t>
        </is>
      </c>
      <c r="I51" s="11" t="inlineStr">
        <is>
          <t>~4,800-8,000 (group, est.; sources vary)</t>
        </is>
      </c>
      <c r="J51" s="11" t="inlineStr">
        <is>
          <t>5k-10k</t>
        </is>
      </c>
      <c r="K51" s="11" t="inlineStr">
        <is>
          <t>verified-stretch</t>
        </is>
      </c>
      <c r="L51" s="11" t="inlineStr">
        <is>
          <t xml:space="preserve">€1.2B (2025, reported in context of Lavazza merger talks - Trademagazin); operates in 50+ countries, 121,000+ vending machines | family-owned, none published | flags: reported to be in merger talks with Lavazza (Italy) - ownership/independence could </t>
        </is>
      </c>
      <c r="M51" s="11" t="inlineStr">
        <is>
          <t>[VERIFIED NEW W1] Premium hospitality coffee partner for F1 paddock club / VIP hospitality suites, leveraging affluent-buyer fit. | Premium/affluent positioning is a plus, but limited global consumer-brand footprint and pending M&amp;A uncertainty (Lavaz</t>
        </is>
      </c>
    </row>
    <row r="52">
      <c r="A52" s="11" t="n">
        <v>49</v>
      </c>
      <c r="B52" s="11" t="inlineStr">
        <is>
          <t>W1</t>
        </is>
      </c>
      <c r="C52" s="11" t="inlineStr">
        <is>
          <t>04 Food &amp; Beverage</t>
        </is>
      </c>
      <c r="D52" s="11" t="n">
        <v>52</v>
      </c>
      <c r="E52" s="11" t="inlineStr">
        <is>
          <t>Tchibo</t>
        </is>
      </c>
      <c r="F52" s="11" t="inlineStr">
        <is>
          <t>tchibo.com</t>
        </is>
      </c>
      <c r="G52" s="11" t="inlineStr">
        <is>
          <t>Hamburg, Germany</t>
        </is>
      </c>
      <c r="H52" s="11" t="inlineStr">
        <is>
          <t>coffee plus rotating weekly non-food consumer goods retail</t>
        </is>
      </c>
      <c r="I52" s="11" t="inlineStr">
        <is>
          <t>~11,000 (est., Tchibo standalone)</t>
        </is>
      </c>
      <c r="J52" s="11" t="inlineStr">
        <is>
          <t>10k+</t>
        </is>
      </c>
      <c r="K52" s="11" t="inlineStr">
        <is>
          <t>verified-stretch</t>
        </is>
      </c>
      <c r="L52" s="11" t="inlineStr">
        <is>
          <t>Tchibo standalone €3.357B (2024, +5% nominal/+6% organic YoY, maxingvest.de); EBIT €167M (2024) vs €68M (2023) - improving profitability. Maxingvest Group consolidated (incl. Beiersdorf) €13.2B (2024) | family-owned, none published | flags: Maxingves</t>
        </is>
      </c>
      <c r="M52" s="11" t="inlineStr">
        <is>
          <t>[VERIFIED NEW W1] Coffee-on-the-go / fan-zone retail activation leveraging Tchibo's rotating-goods retail format for race-weekend pop-ups. | Improving profitability and stable family ownership, but mass/value brand positioning and Europe-centric foot</t>
        </is>
      </c>
    </row>
    <row r="53">
      <c r="A53" s="11" t="n">
        <v>50</v>
      </c>
      <c r="B53" s="11" t="inlineStr">
        <is>
          <t>W1</t>
        </is>
      </c>
      <c r="C53" s="11" t="inlineStr">
        <is>
          <t>04 Food &amp; Beverage</t>
        </is>
      </c>
      <c r="D53" s="11" t="n">
        <v>52</v>
      </c>
      <c r="E53" s="11" t="inlineStr">
        <is>
          <t>J.R. Simplot Company</t>
        </is>
      </c>
      <c r="F53" s="11" t="inlineStr">
        <is>
          <t>simplot.com</t>
        </is>
      </c>
      <c r="G53" s="11" t="inlineStr">
        <is>
          <t>Boise, Idaho, USA</t>
        </is>
      </c>
      <c r="H53" s="11" t="inlineStr">
        <is>
          <t>potato products, agribusiness, food ingredients, fertilizer</t>
        </is>
      </c>
      <c r="I53" s="11" t="inlineStr">
        <is>
          <t>~15,000-16,000 (est.)</t>
        </is>
      </c>
      <c r="J53" s="11" t="inlineStr">
        <is>
          <t>10k+</t>
        </is>
      </c>
      <c r="K53" s="11" t="inlineStr">
        <is>
          <t>verified-stretch</t>
        </is>
      </c>
      <c r="L53" s="11" t="inlineStr">
        <is>
          <t>$11B (Forbes, FY2024, up from $9.8B FY2023) - ranked #47 on Forbes America's Largest Private Companies 2024 | family-owned, none published | flags: B2B-distribution character - majority of business is agribusiness/food-service supply chain, not direc</t>
        </is>
      </c>
      <c r="M53" s="11" t="inlineStr">
        <is>
          <t>[VERIFIED NEW W1] Precision-agriculture/agri-tech innovation story (data-driven farming) as a performance/technology sponsorship angle rather than a consumer-brand one. | Mega-scale revenue and family wealth are attractive, but business is fundamenta</t>
        </is>
      </c>
    </row>
    <row r="54">
      <c r="A54" s="11" t="n">
        <v>51</v>
      </c>
      <c r="B54" s="11" t="inlineStr">
        <is>
          <t>W1</t>
        </is>
      </c>
      <c r="C54" s="11" t="inlineStr">
        <is>
          <t>04 Food &amp; Beverage</t>
        </is>
      </c>
      <c r="D54" s="11" t="n">
        <v>52</v>
      </c>
      <c r="E54" s="11" t="inlineStr">
        <is>
          <t>Rich Products Corporation</t>
        </is>
      </c>
      <c r="F54" s="11" t="inlineStr">
        <is>
          <t>rich.com</t>
        </is>
      </c>
      <c r="G54" s="11" t="inlineStr">
        <is>
          <t>Buffalo, New York, USA</t>
        </is>
      </c>
      <c r="H54" s="11" t="inlineStr">
        <is>
          <t>frozen bakery, dessert, and food products (B2B foodservice + retail)</t>
        </is>
      </c>
      <c r="I54" s="11" t="inlineStr">
        <is>
          <t>~13,000 (as of Feb 2025, company-stated)</t>
        </is>
      </c>
      <c r="J54" s="11" t="inlineStr">
        <is>
          <t>10k+</t>
        </is>
      </c>
      <c r="K54" s="11" t="inlineStr">
        <is>
          <t>verified-stretch</t>
        </is>
      </c>
      <c r="L54" s="11" t="inlineStr">
        <is>
          <t>$5.8B (2024) - ranked #110-116 on Forbes America's Largest Private Companies (2024/2025 vintages differ) | family-owned, none published | flags: primarily B2B foodservice/distribution business (sells to restaurants, retailers, bakeries), not a direct</t>
        </is>
      </c>
      <c r="M54" s="11" t="inlineStr">
        <is>
          <t>[VERIFIED NEW W1] If pursued, position as an official foodservice/culinary supply partner for F1 hospitality catering rather than a fan-facing brand campaign. | Solid mega-private-company scale and stability, but fundamentally a B2B ingredient/foodse</t>
        </is>
      </c>
    </row>
    <row r="55">
      <c r="A55" s="11" t="n">
        <v>52</v>
      </c>
      <c r="B55" s="11" t="inlineStr">
        <is>
          <t>W1</t>
        </is>
      </c>
      <c r="C55" s="11" t="inlineStr">
        <is>
          <t>04 Food &amp; Beverage</t>
        </is>
      </c>
      <c r="D55" s="11" t="n">
        <v>52</v>
      </c>
      <c r="E55" s="11" t="inlineStr">
        <is>
          <t>Culver's</t>
        </is>
      </c>
      <c r="F55" s="11" t="inlineStr">
        <is>
          <t>culvers.com</t>
        </is>
      </c>
      <c r="G55" s="11" t="inlineStr">
        <is>
          <t>Prairie du Sac, Wisconsin, USA</t>
        </is>
      </c>
      <c r="H55" s="11" t="inlineStr">
        <is>
          <t>Quick-service burger/frozen custard chain, primarily US Midwest</t>
        </is>
      </c>
      <c r="I55" s="11" t="inlineStr">
        <is>
          <t>~40,000 (franchise system, est.)</t>
        </is>
      </c>
      <c r="J55" s="11" t="inlineStr">
        <is>
          <t>10k+</t>
        </is>
      </c>
      <c r="K55" s="11" t="inlineStr">
        <is>
          <t>verified-stretch</t>
        </is>
      </c>
      <c r="L55" s="11" t="inlineStr">
        <is>
          <t>~$4.1-4.3B systemwide sales est. (2025, derived from $4.142M AUV x 1,000+ restaurants); Culver's Franchising System corporate revenue $337.7M FY2025 | Family-owned, no published valuation (private)</t>
        </is>
      </c>
      <c r="M55" s="11" t="inlineStr">
        <is>
          <t>[VERIFIED NEW W1] Midwest regional fan activation or co-op marketing with a team's US fan-club program, sized to a smaller local/regional sponsorship tier rather than a marquee F1 deal. | Solid, stable brand but budget capacity and national (vs. Midw</t>
        </is>
      </c>
    </row>
    <row r="56">
      <c r="A56" s="11" t="n">
        <v>53</v>
      </c>
      <c r="B56" s="11" t="inlineStr">
        <is>
          <t>W1</t>
        </is>
      </c>
      <c r="C56" s="11" t="inlineStr">
        <is>
          <t>29 Tech Media &amp; Gaming</t>
        </is>
      </c>
      <c r="D56" s="11" t="n">
        <v>52</v>
      </c>
      <c r="E56" s="11" t="inlineStr">
        <is>
          <t>TKO Group Holdings, Inc.</t>
        </is>
      </c>
      <c r="F56" s="11" t="inlineStr">
        <is>
          <t>tkogrp.com</t>
        </is>
      </c>
      <c r="G56" s="11" t="inlineStr">
        <is>
          <t>Stamford, Connecticut, United States</t>
        </is>
      </c>
      <c r="H56" s="11" t="inlineStr">
        <is>
          <t>UFC and WWE live events, media rights and sponsorship inventory sold globally</t>
        </is>
      </c>
      <c r="I56" s="11" t="inlineStr">
        <is>
          <t>1K-5K (~2,500)</t>
        </is>
      </c>
      <c r="J56" s="11" t="inlineStr">
        <is>
          <t>5k-10k</t>
        </is>
      </c>
      <c r="K56" s="11" t="inlineStr">
        <is>
          <t>verified-stretch</t>
        </is>
      </c>
      <c r="L56" s="11" t="inlineStr">
        <is>
          <t>FY2025 revenue $4.735B; TTM through Jun 30, 2026 = $5.30B (+5.07% YoY); FY2026 guidance $5.675B-$5.775B — source: TKO investor relations Q4/FY2025 results release | ~$36B-$38.9B market cap across 2026 readings (input confirmed ~$36B on Sept 11, 2026;</t>
        </is>
      </c>
      <c r="M56" s="11" t="inlineStr">
        <is>
          <t>[VERIFIED NEW W1] Cross-promotional content partnership (e.g., UFC/WWE talent appearances at Grands Prix, joint streaming or docuseries content) rather than a conventional sponsorship buy. | Financially strong and non-competitive with F1, but as a sp</t>
        </is>
      </c>
    </row>
    <row r="57">
      <c r="A57" s="11" t="n">
        <v>54</v>
      </c>
      <c r="B57" s="11" t="inlineStr">
        <is>
          <t>W1</t>
        </is>
      </c>
      <c r="C57" s="11" t="inlineStr">
        <is>
          <t>29 Tech Media &amp; Gaming</t>
        </is>
      </c>
      <c r="D57" s="11" t="n">
        <v>52</v>
      </c>
      <c r="E57" s="11" t="inlineStr">
        <is>
          <t>Cinemark Holdings, Inc.</t>
        </is>
      </c>
      <c r="F57" s="11" t="inlineStr">
        <is>
          <t>cinemark.com</t>
        </is>
      </c>
      <c r="G57" s="11" t="inlineStr">
        <is>
          <t>Plano, Texas, United States</t>
        </is>
      </c>
      <c r="H57" s="11" t="inlineStr">
        <is>
          <t>Movie theater exhibition across the Americas</t>
        </is>
      </c>
      <c r="I57" s="11" t="inlineStr">
        <is>
          <t>10K-50K (~14,000)</t>
        </is>
      </c>
      <c r="J57" s="11" t="inlineStr">
        <is>
          <t>10k+</t>
        </is>
      </c>
      <c r="K57" s="11" t="inlineStr">
        <is>
          <t>verified-stretch</t>
        </is>
      </c>
      <c r="L57" s="11" t="inlineStr">
        <is>
          <t>Trailing 12-month revenue ~$3.22B as of Mar 31, 2026; record $1.02B Q2 2026 (first quarter ever above $1B), driven by premium formats and loyalty growth — source: stockanalysis.com/company Q2 2026 release | ~$3.74B market cap as of Jun 9, 2026 — stoc</t>
        </is>
      </c>
      <c r="M57" s="11" t="inlineStr">
        <is>
          <t xml:space="preserve">[VERIFIED NEW W1] Live race-day cinema screenings or premium-format promotional tie-ins building on the commercial success of the "F1" feature film, rather than team/series sponsorship. | Demonstrated appetite for motorsport-adjacent content (F1 the </t>
        </is>
      </c>
    </row>
    <row r="58">
      <c r="A58" s="11" t="n">
        <v>55</v>
      </c>
      <c r="B58" s="11" t="inlineStr">
        <is>
          <t>W1</t>
        </is>
      </c>
      <c r="C58" s="11" t="inlineStr">
        <is>
          <t>49 Home &amp; Living</t>
        </is>
      </c>
      <c r="D58" s="11" t="n">
        <v>52</v>
      </c>
      <c r="E58" s="11" t="inlineStr">
        <is>
          <t>Reckitt Benckiser Group plc</t>
        </is>
      </c>
      <c r="F58" s="11" t="inlineStr">
        <is>
          <t>reckitt.com</t>
        </is>
      </c>
      <c r="G58" s="11" t="inlineStr">
        <is>
          <t>United Kingdom</t>
        </is>
      </c>
      <c r="H58" s="11" t="inlineStr">
        <is>
          <t>Household/hygiene (Dettol, Lysol, Finish), health (Durex, Enfamil); global mass retail</t>
        </is>
      </c>
      <c r="I58" s="11" t="inlineStr">
        <is>
          <t>~30,000 employees (mega-brand scale)</t>
        </is>
      </c>
      <c r="J58" s="11" t="inlineStr">
        <is>
          <t>10k+</t>
        </is>
      </c>
      <c r="K58" s="11" t="inlineStr">
        <is>
          <t>verified-stretch</t>
        </is>
      </c>
      <c r="L58" s="11" t="inlineStr">
        <is>
          <t>$18.7B, trailing 12mo to Dec 31 2025, source: stockanalysis.com | ~$38B market cap (range $32-44B across 2026 dates), as of mid-2026, source: companiesmarketcap.com / stockanalysis.com</t>
        </is>
      </c>
      <c r="M58" s="11" t="inlineStr">
        <is>
          <t>[VERIFIED NEW W1] Global hygiene/health portfolio (Dettol, Durex) using F1's global reach to support post-restructuring brand reinvestment. | Multi-year restructuring campaign (since 2024, ~$1.3B in charges) with ongoing US layoffs through 2027 - meg</t>
        </is>
      </c>
    </row>
    <row r="59">
      <c r="A59" s="11" t="n">
        <v>56</v>
      </c>
      <c r="B59" s="11" t="inlineStr">
        <is>
          <t>W1</t>
        </is>
      </c>
      <c r="C59" s="11" t="inlineStr">
        <is>
          <t>49 Home &amp; Living</t>
        </is>
      </c>
      <c r="D59" s="11" t="n">
        <v>52</v>
      </c>
      <c r="E59" s="11" t="inlineStr">
        <is>
          <t>Godrej Consumer Products Limited</t>
        </is>
      </c>
      <c r="F59" s="11" t="inlineStr">
        <is>
          <t>godrejcp.com</t>
        </is>
      </c>
      <c r="G59" s="11" t="inlineStr">
        <is>
          <t>Mumbai, India</t>
        </is>
      </c>
      <c r="H59" s="11" t="inlineStr">
        <is>
          <t>Household insecticides (Good Knight, HIT) and personal-care products sold across India, Africa, Indonesia, and LatAm</t>
        </is>
      </c>
      <c r="I59" s="11" t="inlineStr">
        <is>
          <t>5,000-10,000 (~7,000)</t>
        </is>
      </c>
      <c r="J59" s="11" t="inlineStr">
        <is>
          <t>10k+</t>
        </is>
      </c>
      <c r="K59" s="11" t="inlineStr">
        <is>
          <t>verified-stretch</t>
        </is>
      </c>
      <c r="L59" s="11" t="inlineStr">
        <is>
          <t>~INR 15,178 crore (~$1.58B) FY2025-26 (year ended March 2026) - source: investorfeed.in | ~INR 1.0-1.1 trillion (~$10.9B, range INR 88,187-109,579 Cr across sources) as of mid-2026 - source: screener.in/tijorifinance.com</t>
        </is>
      </c>
      <c r="M59" s="11" t="inlineStr">
        <is>
          <t>[VERIFIED NEW W1] Africa/LatAm growth-market household-care fan engagement, positioned as a brand-awareness play rather than a performance story. | Genuinely broad emerging-market footprint and an unclaimed household-care category, but an insecticide</t>
        </is>
      </c>
    </row>
    <row r="60">
      <c r="A60" s="11" t="n">
        <v>57</v>
      </c>
      <c r="B60" s="11" t="inlineStr">
        <is>
          <t>W1</t>
        </is>
      </c>
      <c r="C60" s="11" t="inlineStr">
        <is>
          <t>49 Home &amp; Living</t>
        </is>
      </c>
      <c r="D60" s="11" t="n">
        <v>52</v>
      </c>
      <c r="E60" s="11" t="inlineStr">
        <is>
          <t>Ryohin Keikaku Co., Ltd. (MUJI)</t>
        </is>
      </c>
      <c r="F60" s="11" t="inlineStr">
        <is>
          <t>ryohin-keikaku.jp</t>
        </is>
      </c>
      <c r="G60" s="11" t="inlineStr">
        <is>
          <t>Tokyo, Japan</t>
        </is>
      </c>
      <c r="H60" s="11" t="inlineStr">
        <is>
          <t>MUJI (and IDEE) lifestyle, apparel and household goods sold globally across Domestic, East Asia, SE Asia/Oceania, and Eu</t>
        </is>
      </c>
      <c r="I60" s="11" t="inlineStr">
        <is>
          <t>10K-50K (~18,000)</t>
        </is>
      </c>
      <c r="J60" s="11" t="inlineStr">
        <is>
          <t>10k+</t>
        </is>
      </c>
      <c r="K60" s="11" t="inlineStr">
        <is>
          <t>verified-stretch</t>
        </is>
      </c>
      <c r="L60" s="11" t="inlineStr">
        <is>
          <t>Trailing 12-month revenue ~$5.27B (as of Aug 31, 2025); FY2026 guidance raised to ¥887.0B (~$5.9B) net profit guidance also raised to ¥62B — source: Investing.com (2026) | ~$10.3B market cap as of Nov 21, 2025 (most recent figure found) — growthinves</t>
        </is>
      </c>
      <c r="M60" s="11" t="inlineStr">
        <is>
          <t>[VERIFIED NEW W1] A quiet, design-led paddock/lifestyle-amenity or minimalist capsule-product collaboration rather than any livery or logo-placement deal. | Genuine global reach and improving financial capacity, but MUJI's understated, anti-marketing</t>
        </is>
      </c>
    </row>
    <row r="61">
      <c r="A61" s="11" t="n">
        <v>58</v>
      </c>
      <c r="B61" s="11" t="inlineStr">
        <is>
          <t>W1</t>
        </is>
      </c>
      <c r="C61" s="11" t="inlineStr">
        <is>
          <t>53 Consumer &amp; Lifestyle</t>
        </is>
      </c>
      <c r="D61" s="11" t="n">
        <v>52</v>
      </c>
      <c r="E61" s="11" t="inlineStr">
        <is>
          <t>Dabur India Limited</t>
        </is>
      </c>
      <c r="F61" s="11" t="inlineStr">
        <is>
          <t>dabur.com</t>
        </is>
      </c>
      <c r="G61" s="11" t="inlineStr">
        <is>
          <t>Ghaziabad, India</t>
        </is>
      </c>
      <c r="H61" s="11" t="inlineStr">
        <is>
          <t>Ayurvedic/health, personal-care (hair oil, oral care) and food (Real juices) products sold across India, MENA, and SEA</t>
        </is>
      </c>
      <c r="I61" s="11" t="inlineStr">
        <is>
          <t>5,000-10,000 (~7,500)</t>
        </is>
      </c>
      <c r="J61" s="11" t="inlineStr">
        <is>
          <t>10k+</t>
        </is>
      </c>
      <c r="K61" s="11" t="inlineStr">
        <is>
          <t>verified-stretch</t>
        </is>
      </c>
      <c r="L61" s="11" t="inlineStr">
        <is>
          <t>~INR 13,193 crore (~$1.37B at ~96 INR/USD) FY2025-26 (year ended March 2026), +5% YoY - source: scanx.trade/screener.in | ~INR 850B (range INR 770-909B across sources) ~$8.8B as of Aug 2026 - source: eulerpool.com/stockanalysis.com</t>
        </is>
      </c>
      <c r="M61" s="11" t="inlineStr">
        <is>
          <t xml:space="preserve">[VERIFIED NEW W1] MENA-market haircare/personal-care regional activation timed to the Bahrain or Abu Dhabi GP weekend. | Real MENA/SEA footprint overlapping F1 host markets and an open personal-care category, but the brand is mass-positioned with no </t>
        </is>
      </c>
    </row>
    <row r="62">
      <c r="A62" s="11" t="n">
        <v>59</v>
      </c>
      <c r="B62" s="11" t="inlineStr">
        <is>
          <t>W1</t>
        </is>
      </c>
      <c r="C62" s="11" t="inlineStr">
        <is>
          <t>53 Consumer &amp; Lifestyle</t>
        </is>
      </c>
      <c r="D62" s="11" t="n">
        <v>52</v>
      </c>
      <c r="E62" s="11" t="inlineStr">
        <is>
          <t>Marico Limited</t>
        </is>
      </c>
      <c r="F62" s="11" t="inlineStr">
        <is>
          <t>marico.com</t>
        </is>
      </c>
      <c r="G62" s="11" t="inlineStr">
        <is>
          <t>Mumbai, India</t>
        </is>
      </c>
      <c r="H62" s="11" t="inlineStr">
        <is>
          <t>Parachute coconut oil, Saffola edible oil, and personal-care brands sold in India, SEA, MENA, and Africa</t>
        </is>
      </c>
      <c r="I62" s="11" t="inlineStr">
        <is>
          <t>1,000-5,000 (~2,600)</t>
        </is>
      </c>
      <c r="J62" s="11" t="inlineStr">
        <is>
          <t>5k-10k</t>
        </is>
      </c>
      <c r="K62" s="11" t="inlineStr">
        <is>
          <t>verified-stretch</t>
        </is>
      </c>
      <c r="L62" s="11" t="inlineStr">
        <is>
          <t xml:space="preserve">~INR 10,831 crore (~$1.13B) LTM through Dec 2025, +13.1% YoY; Q1 FY27 revenue +22.2% YoY to INR 4,005 crore - source: tipranks.com/screener.in | ~INR 1.04-1.05 trillion (~$10.8B) as of mid-Sept 2026 - source: tickertape.in (grown materially past the </t>
        </is>
      </c>
      <c r="M62" s="11" t="inlineStr">
        <is>
          <t>[VERIFIED NEW W1] MENA/Africa regional haircare sampling or driver-grooming tie-in activation, kept small-scale given budget constraints. | Solid emerging-market breadth and an open category, but sub-$1.5B revenue and a mass-market oil/haircare portf</t>
        </is>
      </c>
    </row>
    <row r="63">
      <c r="A63" s="11" t="n">
        <v>60</v>
      </c>
      <c r="B63" s="11" t="inlineStr">
        <is>
          <t>W1</t>
        </is>
      </c>
      <c r="C63" s="11" t="inlineStr">
        <is>
          <t>53 Consumer &amp; Lifestyle</t>
        </is>
      </c>
      <c r="D63" s="11" t="n">
        <v>52</v>
      </c>
      <c r="E63" s="11" t="inlineStr">
        <is>
          <t>Trent Limited</t>
        </is>
      </c>
      <c r="F63" s="11" t="inlineStr">
        <is>
          <t>trent-tata.com</t>
        </is>
      </c>
      <c r="G63" s="11" t="inlineStr">
        <is>
          <t>Mumbai, India</t>
        </is>
      </c>
      <c r="H63" s="11" t="inlineStr">
        <is>
          <t>Zudio (value fashion) and Westside (mid-market fashion) retail chains across India</t>
        </is>
      </c>
      <c r="I63" s="11" t="inlineStr">
        <is>
          <t>~15,000 employees (input est.)</t>
        </is>
      </c>
      <c r="J63" s="11" t="inlineStr">
        <is>
          <t>10k+</t>
        </is>
      </c>
      <c r="K63" s="11" t="inlineStr">
        <is>
          <t>verified-stretch</t>
        </is>
      </c>
      <c r="L63" s="11" t="inlineStr">
        <is>
          <t>₹19,701.41 crore (~US$2.36B) FY2025-26 (year ended March 2026), +18.2% YoY vs ₹16,668.11 crore prior year (company annual report, verified Sept 2026) | ~₹1,44,554 crore (~US$17.3B) market cap as of June 2026 — well below the input's ~$32B estimate, r</t>
        </is>
      </c>
      <c r="M63" s="11" t="inlineStr">
        <is>
          <t xml:space="preserve">[VERIFIED NEW W1] If pursued, frame as part of a broader Tata Group conversation (alongside Tata Motors/JLR) rather than a standalone Trent pitch. | Solid growth and India retail scale, but no home GP, no product/category tie-in to motorsport, and a </t>
        </is>
      </c>
    </row>
    <row r="64">
      <c r="A64" s="11" t="n">
        <v>61</v>
      </c>
      <c r="B64" s="11" t="inlineStr">
        <is>
          <t>W1</t>
        </is>
      </c>
      <c r="C64" s="11" t="inlineStr">
        <is>
          <t>53 Consumer &amp; Lifestyle</t>
        </is>
      </c>
      <c r="D64" s="11" t="n">
        <v>52</v>
      </c>
      <c r="E64" s="11" t="inlineStr">
        <is>
          <t>MINISO Group Holding Limited</t>
        </is>
      </c>
      <c r="F64" s="11" t="inlineStr">
        <is>
          <t>miniso.com</t>
        </is>
      </c>
      <c r="G64" s="11" t="inlineStr">
        <is>
          <t>Guangzhou, China</t>
        </is>
      </c>
      <c r="H64" s="11" t="inlineStr">
        <is>
          <t>Variety/lifestyle retail (IP-licensed and 10-yuan store concept) with global franchise expansion in 110+ countries</t>
        </is>
      </c>
      <c r="I64" s="11" t="inlineStr">
        <is>
          <t>1K-5K (~5,000 direct; franchise network far larger)</t>
        </is>
      </c>
      <c r="J64" s="11" t="inlineStr">
        <is>
          <t>5k-10k</t>
        </is>
      </c>
      <c r="K64" s="11" t="inlineStr">
        <is>
          <t>verified-stretch</t>
        </is>
      </c>
      <c r="L64" s="11" t="inlineStr">
        <is>
          <t>Trailing 12-month revenue ~$2.76B as of Jul 2026; Q1 2026 revenue RMB5,688.4M (~$824.6M), +28.5% YoY — source: MINISO IR release (May 26, 2026) | Market cap data conflicting across sources: ~$4.2B (May 2026, stockanalysis.com) vs. input estimate ~$5.</t>
        </is>
      </c>
      <c r="M64" s="11" t="inlineStr">
        <is>
          <t>[VERIFIED NEW W1] F1 China GP (Shanghai) or Singapore GP retail activation featuring licensed F1 collectible merchandise, mirroring MINISO's existing collectible-IP collaboration model. | Strong growth and a proven IP-merchandising model make F1 coll</t>
        </is>
      </c>
    </row>
    <row r="65">
      <c r="A65" s="11" t="n">
        <v>62</v>
      </c>
      <c r="B65" s="11" t="inlineStr">
        <is>
          <t>W1</t>
        </is>
      </c>
      <c r="C65" s="11" t="inlineStr">
        <is>
          <t>53 Consumer &amp; Lifestyle</t>
        </is>
      </c>
      <c r="D65" s="11" t="n">
        <v>52</v>
      </c>
      <c r="E65" s="11" t="inlineStr">
        <is>
          <t>QuikTrip</t>
        </is>
      </c>
      <c r="F65" s="11" t="inlineStr">
        <is>
          <t>quiktrip.com</t>
        </is>
      </c>
      <c r="G65" s="11" t="inlineStr">
        <is>
          <t>Tulsa, Oklahoma, USA</t>
        </is>
      </c>
      <c r="H65" s="11" t="inlineStr">
        <is>
          <t>Convenience store and fuel retail chain</t>
        </is>
      </c>
      <c r="I65" s="11" t="inlineStr">
        <is>
          <t>~25,000 (est.)</t>
        </is>
      </c>
      <c r="J65" s="11" t="inlineStr">
        <is>
          <t>10k+</t>
        </is>
      </c>
      <c r="K65" s="11" t="inlineStr">
        <is>
          <t>verified-stretch</t>
        </is>
      </c>
      <c r="L65" s="11" t="inlineStr">
        <is>
          <t>$14.16B (FY2024, verified — Wikipedia/company reporting); input's ~$18B (incl. fuel) estimate not independently confirmed | Family-owned, none published | flags: no evidence of prior sports/motorsport sponsorship activity to build on</t>
        </is>
      </c>
      <c r="M65" s="11" t="inlineStr">
        <is>
          <t>[VERIFIED NEW W1] If pursued, frame around fuel/mobility and road-trip convenience messaging tied to a Texas-market race (COTA), leaning on operational scale rather than existing brand fandom. | Financially large and clean (no red flags), but a gener</t>
        </is>
      </c>
    </row>
    <row r="66">
      <c r="A66" s="11" t="n">
        <v>63</v>
      </c>
      <c r="B66" s="11" t="inlineStr">
        <is>
          <t>W1</t>
        </is>
      </c>
      <c r="C66" s="11" t="inlineStr">
        <is>
          <t>53 Consumer &amp; Lifestyle</t>
        </is>
      </c>
      <c r="D66" s="11" t="n">
        <v>52</v>
      </c>
      <c r="E66" s="11" t="inlineStr">
        <is>
          <t>C&amp;A (COFRA Holding / Brenninkmeijer family)</t>
        </is>
      </c>
      <c r="F66" s="11" t="inlineStr">
        <is>
          <t>c-and-a.com</t>
        </is>
      </c>
      <c r="G66" s="11" t="inlineStr">
        <is>
          <t>Vilvoorde, Belgium / Düsseldorf, Germany (COFRA parent: Zug, Switzerland)</t>
        </is>
      </c>
      <c r="H66" s="11" t="inlineStr">
        <is>
          <t>Fast-fashion apparel retail (~1,250 stores Europe, ~330 Brazil)</t>
        </is>
      </c>
      <c r="I66" s="11" t="inlineStr">
        <is>
          <t>~28,000 (est.)</t>
        </is>
      </c>
      <c r="J66" s="11" t="inlineStr">
        <is>
          <t>10k+</t>
        </is>
      </c>
      <c r="K66" s="11" t="inlineStr">
        <is>
          <t>verified-stretch</t>
        </is>
      </c>
      <c r="L66" s="11" t="inlineStr">
        <is>
          <t xml:space="preserve">~€3B (est., carried from input); COFRA parent group estimated $5-10B (Owler) — C&amp;A-specific segment revenue not independently verified within search budget | Family-owned, none published; COFRA family empire estimated at ~$38-39B overall (Bloomberg, </t>
        </is>
      </c>
      <c r="M66" s="11" t="inlineStr">
        <is>
          <t xml:space="preserve">[VERIFIED NEW W1] If pursued, approach via COFRA corporate rather than the C&amp;A retail brand directly, and pair with a European race (Zandvoort/Spa) mass-fashion youth activation. | Passes on scale but fast-fashion value positioning is a looser brand </t>
        </is>
      </c>
    </row>
    <row r="67">
      <c r="A67" s="11" t="n">
        <v>64</v>
      </c>
      <c r="B67" s="11" t="inlineStr">
        <is>
          <t>W1</t>
        </is>
      </c>
      <c r="C67" s="11" t="inlineStr">
        <is>
          <t>04 Food &amp; Beverage</t>
        </is>
      </c>
      <c r="D67" s="11" t="n">
        <v>46</v>
      </c>
      <c r="E67" s="11" t="inlineStr">
        <is>
          <t>Hormel Foods Corporation</t>
        </is>
      </c>
      <c r="F67" s="11" t="inlineStr">
        <is>
          <t>hormelfoods.com</t>
        </is>
      </c>
      <c r="G67" s="11" t="inlineStr">
        <is>
          <t>United States</t>
        </is>
      </c>
      <c r="H67" s="11" t="inlineStr">
        <is>
          <t>Spam, Skippy, Jennie-O; packaged meat/food products sold mainly via US grocery/foodservice, some international</t>
        </is>
      </c>
      <c r="I67" s="11" t="inlineStr">
        <is>
          <t>~20,000 employees (mega-brand scale)</t>
        </is>
      </c>
      <c r="J67" s="11" t="inlineStr">
        <is>
          <t>10k+</t>
        </is>
      </c>
      <c r="K67" s="11" t="inlineStr">
        <is>
          <t>verified-stretch</t>
        </is>
      </c>
      <c r="L67" s="11" t="inlineStr">
        <is>
          <t>$12.1B, FY2025 (ended Oct 2025, +2% YoY), source: Hormel Foods Q4/FY2025 earnings release | $11.93B market cap, as of Sep 2026, source: companiesmarketcap.com</t>
        </is>
      </c>
      <c r="M67" s="11" t="inlineStr">
        <is>
          <t>[VERIFIED NEW W1] Low natural fit; if pursued, angle would be international/foodservice growth ambitions (Jennie-O, Skippy) rather than a lifestyle/performance story. | Cutting ~250 corporate/sales roles with $20-25M restructuring charges (Q4 FY2025/</t>
        </is>
      </c>
    </row>
    <row r="68">
      <c r="A68" s="11" t="n">
        <v>65</v>
      </c>
      <c r="B68" s="11" t="inlineStr">
        <is>
          <t>W1</t>
        </is>
      </c>
      <c r="C68" s="11" t="inlineStr">
        <is>
          <t>49 Home &amp; Living</t>
        </is>
      </c>
      <c r="D68" s="11" t="n">
        <v>46</v>
      </c>
      <c r="E68" s="11" t="inlineStr">
        <is>
          <t>Essity AB</t>
        </is>
      </c>
      <c r="F68" s="11" t="inlineStr">
        <is>
          <t>essity.com</t>
        </is>
      </c>
      <c r="G68" s="11" t="inlineStr">
        <is>
          <t>Sweden</t>
        </is>
      </c>
      <c r="H68" s="11" t="inlineStr">
        <is>
          <t>Tena, Libero, Tork hygiene/tissue products; sold to consumers and institutions globally</t>
        </is>
      </c>
      <c r="I68" s="11" t="inlineStr">
        <is>
          <t>~36,000 employees (mega-brand scale)</t>
        </is>
      </c>
      <c r="J68" s="11" t="inlineStr">
        <is>
          <t>10k+</t>
        </is>
      </c>
      <c r="K68" s="11" t="inlineStr">
        <is>
          <t>verified-stretch</t>
        </is>
      </c>
      <c r="L68" s="11" t="inlineStr">
        <is>
          <t>SEK138.49B (~$14.5B trailing), FY2025, source: Essity FY2025 results / stockanalysis.com | $18.4B market cap, as of May 20 2026, source: stockanalysis.com</t>
        </is>
      </c>
      <c r="M68" s="11" t="inlineStr">
        <is>
          <t>[VERIFIED NEW W1] Weakest natural F1 fit in this batch; best angle would be B2B/institutional hygiene innovation story rather than consumer lifestyle. | 2025 revenue declined -4.85% YoY and the company is restructuring operations in France - mega-bra</t>
        </is>
      </c>
    </row>
    <row r="69">
      <c r="A69" s="11" t="n">
        <v>66</v>
      </c>
      <c r="B69" s="11" t="inlineStr">
        <is>
          <t>W1</t>
        </is>
      </c>
      <c r="C69" s="11" t="inlineStr">
        <is>
          <t>49 Home &amp; Living</t>
        </is>
      </c>
      <c r="D69" s="11" t="n">
        <v>46</v>
      </c>
      <c r="E69" s="11" t="inlineStr">
        <is>
          <t>The Clorox Company</t>
        </is>
      </c>
      <c r="F69" s="11" t="inlineStr">
        <is>
          <t>thecloroxcompany.com</t>
        </is>
      </c>
      <c r="G69" s="11" t="inlineStr">
        <is>
          <t>United States</t>
        </is>
      </c>
      <c r="H69" s="11" t="inlineStr">
        <is>
          <t>Clorox, Pine-Sol, Glad, Burt's Bees; household cleaning/consumer products, primarily via US mass retail</t>
        </is>
      </c>
      <c r="I69" s="11" t="inlineStr">
        <is>
          <t>~7,700 employees</t>
        </is>
      </c>
      <c r="J69" s="11" t="inlineStr">
        <is>
          <t>5k-10k</t>
        </is>
      </c>
      <c r="K69" s="11" t="inlineStr">
        <is>
          <t>verified-stretch</t>
        </is>
      </c>
      <c r="L69" s="11" t="inlineStr">
        <is>
          <t>$7.10B, FY2025 (ended Jun 30 2025), source: Clorox FY2025 10-K / stockanalysis.com | $11.7B market cap, as of Jul 31 2026, source: macrotrends.net</t>
        </is>
      </c>
      <c r="M69" s="11" t="inlineStr">
        <is>
          <t>[VERIFIED NEW W1] Weak natural F1 fit given US-centric distribution; best angle limited to a niche performance-cleaning/technology sub-brand story if pursued at all. | Active 10% workforce reduction and innovation-team cuts, FY2026 net sales down ~5%</t>
        </is>
      </c>
    </row>
  </sheetData>
  <autoFilter ref="A3:M6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7"/>
  <sheetViews>
    <sheetView workbookViewId="0">
      <pane ySplit="3" topLeftCell="A4" activePane="bottomLeft" state="frozen"/>
      <selection pane="bottomLeft" activeCell="A1" sqref="A1"/>
    </sheetView>
  </sheetViews>
  <sheetFormatPr baseColWidth="8" defaultRowHeight="15"/>
  <cols>
    <col width="5" customWidth="1" min="1" max="1"/>
    <col width="7" customWidth="1" min="2" max="2"/>
    <col width="24" customWidth="1" min="3" max="3"/>
    <col width="9" customWidth="1" min="4" max="4"/>
    <col width="30" customWidth="1" min="5" max="5"/>
    <col width="22" customWidth="1" min="6" max="6"/>
    <col width="20" customWidth="1" min="7" max="7"/>
    <col width="40" customWidth="1" min="8" max="8"/>
    <col width="16" customWidth="1" min="9" max="9"/>
    <col width="10" customWidth="1" min="10" max="10"/>
    <col width="14" customWidth="1" min="11" max="11"/>
    <col width="60" customWidth="1" min="12" max="12"/>
    <col width="70" customWidth="1" min="13" max="13"/>
  </cols>
  <sheetData>
    <row r="1">
      <c r="A1" s="1" t="inlineStr">
        <is>
          <t>Wave 2 - Financial (Banking &amp; Insurance, Trading &amp; Crypto; Fintech had zero genuine misses) - 34 brands</t>
        </is>
      </c>
    </row>
    <row r="2">
      <c r="A2" s="8" t="inlineStr">
        <is>
          <t>New brands only (not in the original master before this work). Blue = verified-new (all parameters pass), amber = verified-stretch. Source: F1-New-Brands-By-Wave-2026-09.xlsx tab "W2 Financial".</t>
        </is>
      </c>
    </row>
    <row r="3" ht="30" customHeight="1">
      <c r="A3" s="9" t="inlineStr">
        <is>
          <t>#</t>
        </is>
      </c>
      <c r="B3" s="9" t="inlineStr">
        <is>
          <t>wave</t>
        </is>
      </c>
      <c r="C3" s="9" t="inlineStr">
        <is>
          <t>sector_tab</t>
        </is>
      </c>
      <c r="D3" s="9" t="inlineStr">
        <is>
          <t>priority_score</t>
        </is>
      </c>
      <c r="E3" s="9" t="inlineStr">
        <is>
          <t>company</t>
        </is>
      </c>
      <c r="F3" s="9" t="inlineStr">
        <is>
          <t>domain</t>
        </is>
      </c>
      <c r="G3" s="9" t="inlineStr">
        <is>
          <t>hq_country</t>
        </is>
      </c>
      <c r="H3" s="9" t="inlineStr">
        <is>
          <t>niche</t>
        </is>
      </c>
      <c r="I3" s="9" t="inlineStr">
        <is>
          <t>employees_est</t>
        </is>
      </c>
      <c r="J3" s="9" t="inlineStr">
        <is>
          <t>size_band</t>
        </is>
      </c>
      <c r="K3" s="9" t="inlineStr">
        <is>
          <t>tag</t>
        </is>
      </c>
      <c r="L3" s="9" t="inlineStr">
        <is>
          <t>affordability</t>
        </is>
      </c>
      <c r="M3" s="9" t="inlineStr">
        <is>
          <t>why_f1</t>
        </is>
      </c>
    </row>
    <row r="4">
      <c r="A4" s="10" t="n">
        <v>1</v>
      </c>
      <c r="B4" s="10" t="inlineStr">
        <is>
          <t>W2</t>
        </is>
      </c>
      <c r="C4" s="10" t="inlineStr">
        <is>
          <t>01 Banking &amp; Insurance</t>
        </is>
      </c>
      <c r="D4" s="10" t="n">
        <v>92</v>
      </c>
      <c r="E4" s="10" t="inlineStr">
        <is>
          <t>Aditya Birla Capital</t>
        </is>
      </c>
      <c r="F4" s="10" t="inlineStr">
        <is>
          <t>adityabirlacapital.com</t>
        </is>
      </c>
      <c r="G4" s="10" t="inlineStr">
        <is>
          <t>Mumbai, India</t>
        </is>
      </c>
      <c r="H4" s="10" t="inlineStr">
        <is>
          <t>NBFC lending, life/health insurance, and asset management under the Aditya Birla Group umbrella</t>
        </is>
      </c>
      <c r="I4" s="10" t="inlineStr">
        <is>
          <t>~30,000 (est.)</t>
        </is>
      </c>
      <c r="J4" s="10" t="inlineStr">
        <is>
          <t>10k+</t>
        </is>
      </c>
      <c r="K4" s="10" t="inlineStr">
        <is>
          <t>verified-new</t>
        </is>
      </c>
      <c r="L4" s="10" t="inlineStr">
        <is>
          <t>$6.12B consolidated revenue, FY2026 (ended Mar-2026: Rs 53,871 Cr, +14% YoY) - Eulerpool/company results | ~$12.6B market cap as of early Aug 2026 (~Rs 1.11 lakh Cr; +70% YoY, crossed Rs 1 lakh Cr milestone in 2026) - multibagg/stockanalysis | flags:</t>
        </is>
      </c>
      <c r="M4" s="10" t="inlineStr">
        <is>
          <t>[VERIFIED NEW W2] Leverage Aditya Birla Group's existing global industrial/manufacturing footprint and brand-investment appetite; growth-stage financial-services story fits F1's push into emerging high-growth markets. | Mega-brand-scale, fast-growing</t>
        </is>
      </c>
    </row>
    <row r="5">
      <c r="A5" s="10" t="n">
        <v>2</v>
      </c>
      <c r="B5" s="10" t="inlineStr">
        <is>
          <t>W2</t>
        </is>
      </c>
      <c r="C5" s="10" t="inlineStr">
        <is>
          <t>01 Banking &amp; Insurance</t>
        </is>
      </c>
      <c r="D5" s="10" t="n">
        <v>92</v>
      </c>
      <c r="E5" s="10" t="inlineStr">
        <is>
          <t>Credicorp</t>
        </is>
      </c>
      <c r="F5" s="10" t="inlineStr">
        <is>
          <t>credicorp.com</t>
        </is>
      </c>
      <c r="G5" s="10" t="inlineStr">
        <is>
          <t>Lima, Peru (Bermuda-incorporated holding company)</t>
        </is>
      </c>
      <c r="H5" s="10" t="inlineStr">
        <is>
          <t>Banking (BCP), insurance (Pacifico), pensions (Prima AFP), and microfinance across Peru and the Andean region</t>
        </is>
      </c>
      <c r="I5" s="10" t="inlineStr">
        <is>
          <t>~35,000 (est.)</t>
        </is>
      </c>
      <c r="J5" s="10" t="inlineStr">
        <is>
          <t>10k+</t>
        </is>
      </c>
      <c r="K5" s="10" t="inlineStr">
        <is>
          <t>verified-new</t>
        </is>
      </c>
      <c r="L5" s="10" t="inlineStr">
        <is>
          <t>~$7.6-8.2B TTM revenue (Q2 2026 quarterly $2.17B; FY2025 annual $7.62B, +8.9% YoY) - stockanalysis/macrotrends | $30.3B market cap as of 12 Sep 2026 (79.4M shares) - Morningstar/stockanalysis</t>
        </is>
      </c>
      <c r="M5" s="10" t="inlineStr">
        <is>
          <t>[VERIFIED NEW W2] Flagship regional-champion pitch: dominant Andean financial brand with NYSE visibility and marketing budget scale to match a top-tier F1 partnership. | Largest, most profitable name in this batch with clean ownership and no F1 confl</t>
        </is>
      </c>
    </row>
    <row r="6">
      <c r="A6" s="10" t="n">
        <v>3</v>
      </c>
      <c r="B6" s="10" t="inlineStr">
        <is>
          <t>W2</t>
        </is>
      </c>
      <c r="C6" s="10" t="inlineStr">
        <is>
          <t>01 Banking &amp; Insurance</t>
        </is>
      </c>
      <c r="D6" s="10" t="n">
        <v>92</v>
      </c>
      <c r="E6" s="10" t="inlineStr">
        <is>
          <t>Swiss Life Holding</t>
        </is>
      </c>
      <c r="F6" s="10" t="inlineStr">
        <is>
          <t>swisslife.com</t>
        </is>
      </c>
      <c r="G6" s="10" t="inlineStr">
        <is>
          <t>Zurich, Switzerland</t>
        </is>
      </c>
      <c r="H6" s="10" t="inlineStr">
        <is>
          <t>Life insurance, pensions, and asset management across Switzerland, France, Germany and broader Europe</t>
        </is>
      </c>
      <c r="I6" s="10" t="inlineStr">
        <is>
          <t>~11,000 (est.) core group employees</t>
        </is>
      </c>
      <c r="J6" s="10" t="inlineStr">
        <is>
          <t>10k+</t>
        </is>
      </c>
      <c r="K6" s="10" t="inlineStr">
        <is>
          <t>verified-new</t>
        </is>
      </c>
      <c r="L6" s="10" t="inlineStr">
        <is>
          <t>CHF 11.7B FY2025 (~$13.2B); company guiding CHF 12.8B for 2026 (source: Simply Wall St / companiesmarketcap.com, Aug 2026) | CHF 26.7B market cap as of 13 Aug 2026 (~$30B) (source: ad-hoc-news.de) | flags: Headcount is an estimate (public disclosures</t>
        </is>
      </c>
      <c r="M6" s="10" t="inlineStr">
        <is>
          <t>[VERIFIED NEW W2] Pan-European retail insurance/pensions brand looking for premium visibility - tie into F1's European calendar (Monaco, Spa, Monza) and wealth/pension-planning hospitality activations. | Large, profitable, growing mega-cap insurer wi</t>
        </is>
      </c>
    </row>
    <row r="7">
      <c r="A7" s="10" t="n">
        <v>4</v>
      </c>
      <c r="B7" s="10" t="inlineStr">
        <is>
          <t>W2</t>
        </is>
      </c>
      <c r="C7" s="10" t="inlineStr">
        <is>
          <t>01 Banking &amp; Insurance</t>
        </is>
      </c>
      <c r="D7" s="10" t="n">
        <v>92</v>
      </c>
      <c r="E7" s="10" t="inlineStr">
        <is>
          <t>ASR Nederland (a.s.r.)</t>
        </is>
      </c>
      <c r="F7" s="10" t="inlineStr">
        <is>
          <t>asrnl.com</t>
        </is>
      </c>
      <c r="G7" s="10" t="inlineStr">
        <is>
          <t>Utrecht, Netherlands</t>
        </is>
      </c>
      <c r="H7" s="10" t="inlineStr">
        <is>
          <t>Life, non-life insurance and pensions in the Netherlands</t>
        </is>
      </c>
      <c r="I7" s="10" t="inlineStr">
        <is>
          <t>~5,000 (est.; likely higher post-Aegon Netherlands merger)</t>
        </is>
      </c>
      <c r="J7" s="10" t="inlineStr">
        <is>
          <t>5k-10k</t>
        </is>
      </c>
      <c r="K7" s="10" t="inlineStr">
        <is>
          <t>verified-new</t>
        </is>
      </c>
      <c r="L7" s="10" t="inlineStr">
        <is>
          <t>€21.2B FY2025 gross (premiums + investment income) (source: alphaspread.com/ad-hoc-news.de) | ~€14.4B / ~$16B market cap as of Sept 2026 (source: companiesmarketcap.com/stockanalysis.com)</t>
        </is>
      </c>
      <c r="M7" s="10" t="inlineStr">
        <is>
          <t>[VERIFIED NEW W2] Post-merger 'largest Dutch insurer' growth story, with a natural home-market tie-in to the Dutch Grand Prix at Zandvoort. | Mega-cap, fully private, profitable and growing post-merger insurer with no ownership or capacity red flags.</t>
        </is>
      </c>
    </row>
    <row r="8">
      <c r="A8" s="10" t="n">
        <v>5</v>
      </c>
      <c r="B8" s="10" t="inlineStr">
        <is>
          <t>W2</t>
        </is>
      </c>
      <c r="C8" s="10" t="inlineStr">
        <is>
          <t>01 Banking &amp; Insurance</t>
        </is>
      </c>
      <c r="D8" s="10" t="n">
        <v>92</v>
      </c>
      <c r="E8" s="10" t="inlineStr">
        <is>
          <t>Aflac Incorporated</t>
        </is>
      </c>
      <c r="F8" s="10" t="inlineStr">
        <is>
          <t>aflac.com</t>
        </is>
      </c>
      <c r="G8" s="10" t="inlineStr">
        <is>
          <t>Columbus, GA, USA</t>
        </is>
      </c>
      <c r="H8" s="10" t="inlineStr">
        <is>
          <t>Supplemental health and life insurance in the US and Japan</t>
        </is>
      </c>
      <c r="I8" s="10" t="inlineStr">
        <is>
          <t>10,000–20,000</t>
        </is>
      </c>
      <c r="J8" s="10" t="inlineStr">
        <is>
          <t>10k+</t>
        </is>
      </c>
      <c r="K8" s="10" t="inlineStr">
        <is>
          <t>verified-new</t>
        </is>
      </c>
      <c r="L8" s="10" t="inlineStr">
        <is>
          <t>$17.2B FY2025 total revenues (down 9.3% from $18.9B FY2024, mainly yen/hedging-driven, not fundamental), per Q4 2025 earnings release | ~$57–60B market cap (Sept 2026; stock ~$117/share early Sept 2026, off all-time high $128.90 in Jul 2026) | flags:</t>
        </is>
      </c>
      <c r="M8" s="10" t="inlineStr">
        <is>
          <t>[VERIFIED NEW W2] Lead with the Aflac Duck as a highly shareable, family-friendly F1 activation mascot/paddock character, paired with the Japan angle (Suzuka GP) given Aflac's outsized Japan business. | Mega-cap, mascot-led global consumer brand with</t>
        </is>
      </c>
    </row>
    <row r="9">
      <c r="A9" s="10" t="n">
        <v>6</v>
      </c>
      <c r="B9" s="10" t="inlineStr">
        <is>
          <t>W2</t>
        </is>
      </c>
      <c r="C9" s="10" t="inlineStr">
        <is>
          <t>01 Banking &amp; Insurance</t>
        </is>
      </c>
      <c r="D9" s="10" t="n">
        <v>84</v>
      </c>
      <c r="E9" s="10" t="inlineStr">
        <is>
          <t>Orix Corporation</t>
        </is>
      </c>
      <c r="F9" s="10" t="inlineStr">
        <is>
          <t>orix.co.jp</t>
        </is>
      </c>
      <c r="G9" s="10" t="inlineStr">
        <is>
          <t>Japan</t>
        </is>
      </c>
      <c r="H9" s="10" t="inlineStr">
        <is>
          <t>Diversified financial services - leasing, corporate/PE investment, real estate, life insurance, renewable energy financi</t>
        </is>
      </c>
      <c r="I9" s="10" t="inlineStr">
        <is>
          <t>25k-50k (~35,000 est., unverified this pass)</t>
        </is>
      </c>
      <c r="J9" s="10" t="inlineStr">
        <is>
          <t>10k+</t>
        </is>
      </c>
      <c r="K9" s="10" t="inlineStr">
        <is>
          <t>verified-new</t>
        </is>
      </c>
      <c r="L9" s="10" t="inlineStr">
        <is>
          <t>TTM revenue ~$14.3B USD as of Sept 2026 (stockanalysis.com/companiesmarketcap); FY2025 net income record on base-profit growth - well above input's $18B estimate on the revenue line, corrected down but confirmed profitable and growing | Market cap ~$</t>
        </is>
      </c>
      <c r="M9" s="10" t="inlineStr">
        <is>
          <t>[VERIFIED NEW W2] Japan GP (Suzuka) hometown sponsor - pitch around precision engineering/asset performance (leasing, aviation, renewables) plus wealth/insurance storytelling for affluent Japanese and pan-Asian clients | Mega-cap, profitable, growing</t>
        </is>
      </c>
    </row>
    <row r="10">
      <c r="A10" s="10" t="n">
        <v>7</v>
      </c>
      <c r="B10" s="10" t="inlineStr">
        <is>
          <t>W2</t>
        </is>
      </c>
      <c r="C10" s="10" t="inlineStr">
        <is>
          <t>01 Banking &amp; Insurance</t>
        </is>
      </c>
      <c r="D10" s="10" t="n">
        <v>84</v>
      </c>
      <c r="E10" s="10" t="inlineStr">
        <is>
          <t>CTBC Financial Holding</t>
        </is>
      </c>
      <c r="F10" s="10" t="inlineStr">
        <is>
          <t>ctbcholding.com</t>
        </is>
      </c>
      <c r="G10" s="10" t="inlineStr">
        <is>
          <t>Taiwan</t>
        </is>
      </c>
      <c r="H10" s="10" t="inlineStr">
        <is>
          <t>Banking, life insurance, securities to Taiwanese and regional (Asia) consumers/corporates</t>
        </is>
      </c>
      <c r="I10" s="10" t="inlineStr">
        <is>
          <t>25k-50k (~28,000 est., unverified this pass)</t>
        </is>
      </c>
      <c r="J10" s="10" t="inlineStr">
        <is>
          <t>10k+</t>
        </is>
      </c>
      <c r="K10" s="10" t="inlineStr">
        <is>
          <t>verified-new</t>
        </is>
      </c>
      <c r="L10" s="10" t="inlineStr">
        <is>
          <t>TTM revenue ~US$8B equivalent (reported as S$10.63B, Aug 2026); H1 2026 net profit TWD39.5B, up 10% YoY - record high, shareholders' equity +59.5% YoY - clearly profitable and growing | Market cap ~TWD1.28T (~US$39B at ~32.5 TWD/USD) as of Aug 19, 20</t>
        </is>
      </c>
      <c r="M10" s="10" t="inlineStr">
        <is>
          <t>[VERIFIED NEW W2] Leverage CTBC's proven heavy sports-marketing spend (baseball/basketball/esports ownership) to pitch F1 as the next step up to a global platform for its international growth ambitions | Mega-cap, record profits, no F1 tie, and an un</t>
        </is>
      </c>
    </row>
    <row r="11">
      <c r="A11" s="10" t="n">
        <v>8</v>
      </c>
      <c r="B11" s="10" t="inlineStr">
        <is>
          <t>W2</t>
        </is>
      </c>
      <c r="C11" s="10" t="inlineStr">
        <is>
          <t>01 Banking &amp; Insurance</t>
        </is>
      </c>
      <c r="D11" s="10" t="n">
        <v>84</v>
      </c>
      <c r="E11" s="10" t="inlineStr">
        <is>
          <t>Hong Leong Bank</t>
        </is>
      </c>
      <c r="F11" s="10" t="inlineStr">
        <is>
          <t>hlb.com.my</t>
        </is>
      </c>
      <c r="G11" s="10" t="inlineStr">
        <is>
          <t>Malaysia</t>
        </is>
      </c>
      <c r="H11" s="10" t="inlineStr">
        <is>
          <t>Retail and commercial banking in Malaysia, Singapore, Vietnam and Cambodia</t>
        </is>
      </c>
      <c r="I11" s="10" t="inlineStr">
        <is>
          <t>10k-25k (~10,000 est., unverified this pass)</t>
        </is>
      </c>
      <c r="J11" s="10" t="inlineStr">
        <is>
          <t>10k+</t>
        </is>
      </c>
      <c r="K11" s="10" t="inlineStr">
        <is>
          <t>verified-new</t>
        </is>
      </c>
      <c r="L11" s="10" t="inlineStr">
        <is>
          <t>FY2025 total income RM6.4B (~US$1.5B), +10.9% YoY, non-interest income +33.4% YoY - profitable and growing, matches input estimate | Market cap ~$10.8B USD as of June 2026 (stockanalysis.com) - just above the $10B mega-brand threshold; verified curre</t>
        </is>
      </c>
      <c r="M11" s="10" t="inlineStr">
        <is>
          <t>[VERIFIED NEW W2] ASEAN growth/premier-banking story - use F1's expanding Southeast Asian fanbase to reach affluent, digitally engaged customers across Malaysia, Singapore, Vietnam and Cambodia | Just cleared mega-brand threshold, profitable and grow</t>
        </is>
      </c>
    </row>
    <row r="12">
      <c r="A12" s="10" t="n">
        <v>9</v>
      </c>
      <c r="B12" s="10" t="inlineStr">
        <is>
          <t>W2</t>
        </is>
      </c>
      <c r="C12" s="10" t="inlineStr">
        <is>
          <t>01 Banking &amp; Insurance</t>
        </is>
      </c>
      <c r="D12" s="10" t="n">
        <v>84</v>
      </c>
      <c r="E12" s="10" t="inlineStr">
        <is>
          <t>Shriram Finance</t>
        </is>
      </c>
      <c r="F12" s="10" t="inlineStr">
        <is>
          <t>shriramfinance.in</t>
        </is>
      </c>
      <c r="G12" s="10" t="inlineStr">
        <is>
          <t>India</t>
        </is>
      </c>
      <c r="H12" s="10" t="inlineStr">
        <is>
          <t>Commercial vehicle, MSME and gold loans to Indian retail/SME customers, with strong rural/semi-urban reach</t>
        </is>
      </c>
      <c r="I12" s="10" t="inlineStr">
        <is>
          <t>&gt;50k (~75,000 est., unverified this pass)</t>
        </is>
      </c>
      <c r="J12" s="10" t="inlineStr">
        <is>
          <t>10k+</t>
        </is>
      </c>
      <c r="K12" s="10" t="inlineStr">
        <is>
          <t>verified-new</t>
        </is>
      </c>
      <c r="L12" s="10" t="inlineStr">
        <is>
          <t>Revenue growing strongly - Q2 revenue ₹10,090 Cr, +17.9% YoY; full-year figures point to roughly ₹48,000+ Cr (~US$5.5B), well above input's ~$3.5B estimate | Market cap ~₹242,034 Cr (~US$26.8B) as of Sept 15, 2026 - well above input's ~$13B estimate;</t>
        </is>
      </c>
      <c r="M12" s="10" t="inlineStr">
        <is>
          <t>[VERIFIED NEW W2] Position F1 as the natural upgrade from Shriram's existing large-scale sports marketing (PKL, cricket icon endorsement) to a premium global platform, tapping India's rising affluent auto/finance customer base and any India GP reviva</t>
        </is>
      </c>
    </row>
    <row r="13">
      <c r="A13" s="10" t="n">
        <v>10</v>
      </c>
      <c r="B13" s="10" t="inlineStr">
        <is>
          <t>W2</t>
        </is>
      </c>
      <c r="C13" s="10" t="inlineStr">
        <is>
          <t>01 Banking &amp; Insurance</t>
        </is>
      </c>
      <c r="D13" s="10" t="n">
        <v>84</v>
      </c>
      <c r="E13" s="10" t="inlineStr">
        <is>
          <t>Cholamandalam Investment and Finance Company</t>
        </is>
      </c>
      <c r="F13" s="10" t="inlineStr">
        <is>
          <t>cholamandalam.com</t>
        </is>
      </c>
      <c r="G13" s="10" t="inlineStr">
        <is>
          <t>Chennai, India</t>
        </is>
      </c>
      <c r="H13" s="10" t="inlineStr">
        <is>
          <t>Vehicle finance, home loans, and SME/loan-against-property lending across India</t>
        </is>
      </c>
      <c r="I13" s="10" t="inlineStr">
        <is>
          <t>~40,000 (est.)</t>
        </is>
      </c>
      <c r="J13" s="10" t="inlineStr">
        <is>
          <t>10k+</t>
        </is>
      </c>
      <c r="K13" s="10" t="inlineStr">
        <is>
          <t>verified-new</t>
        </is>
      </c>
      <c r="L13" s="10" t="inlineStr">
        <is>
          <t>$3.58B consolidated total income, FY2026 (ended Mar-2026: Rs 31,538.73 Cr, +20.6% YoY) - Screener/Whalesbook | ~$17.9B market cap as of 4 Sep 2026 (Rs 1,57,063 Cr) - companiesmarketcap/valueresearchonline | flags: NBFC sector remains subject to RBI r</t>
        </is>
      </c>
      <c r="M13" s="10" t="inlineStr">
        <is>
          <t>[VERIFIED NEW W2] Position around India's growth-market motorsport fandom and vehicle-finance/auto-loan customer overlap with F1's expanding South Asian audience; tie to Murugappa Group's broader industrial/engineering ambitions. | Large, profitable,</t>
        </is>
      </c>
    </row>
    <row r="14">
      <c r="A14" s="10" t="n">
        <v>11</v>
      </c>
      <c r="B14" s="10" t="inlineStr">
        <is>
          <t>W2</t>
        </is>
      </c>
      <c r="C14" s="10" t="inlineStr">
        <is>
          <t>01 Banking &amp; Insurance</t>
        </is>
      </c>
      <c r="D14" s="10" t="n">
        <v>84</v>
      </c>
      <c r="E14" s="10" t="inlineStr">
        <is>
          <t>L&amp;T Finance Holdings</t>
        </is>
      </c>
      <c r="F14" s="10" t="inlineStr">
        <is>
          <t>ltfinance.com</t>
        </is>
      </c>
      <c r="G14" s="10" t="inlineStr">
        <is>
          <t>Mumbai, India</t>
        </is>
      </c>
      <c r="H14" s="10" t="inlineStr">
        <is>
          <t>Rural/retail lending, two-wheeler and micro-loans, housing and infrastructure finance</t>
        </is>
      </c>
      <c r="I14" s="10" t="inlineStr">
        <is>
          <t>~28,000 (est.)</t>
        </is>
      </c>
      <c r="J14" s="10" t="inlineStr">
        <is>
          <t>10k+</t>
        </is>
      </c>
      <c r="K14" s="10" t="inlineStr">
        <is>
          <t>verified-new</t>
        </is>
      </c>
      <c r="L14" s="10" t="inlineStr">
        <is>
          <t>$2.04B total income, FY2026 (ended Mar-2026: Rs 17,917.03 Cr) - Kotak Neo/EquityBulls | ~$8.8B market cap as of 11 Sep 2026 (Rs 77,471.36 Cr) - Tipranks/Stockanalysis | flags: Part of a diversified engineering parent (L&amp;T) that could itself be a sepa</t>
        </is>
      </c>
      <c r="M14" s="10" t="inlineStr">
        <is>
          <t>[VERIFIED NEW W2] Engineering-pedigree brand story (L&amp;T Group heritage) paired with motorsport-technology narrative; rural/retail financial-inclusion growth story for activation reach. | Solid, growing NBFC well above threshold with clean F1/ownershi</t>
        </is>
      </c>
    </row>
    <row r="15">
      <c r="A15" s="10" t="n">
        <v>12</v>
      </c>
      <c r="B15" s="10" t="inlineStr">
        <is>
          <t>W2</t>
        </is>
      </c>
      <c r="C15" s="10" t="inlineStr">
        <is>
          <t>01 Banking &amp; Insurance</t>
        </is>
      </c>
      <c r="D15" s="10" t="n">
        <v>84</v>
      </c>
      <c r="E15" s="10" t="inlineStr">
        <is>
          <t>Poonawalla Fincorp</t>
        </is>
      </c>
      <c r="F15" s="10" t="inlineStr">
        <is>
          <t>poonawallafincorp.com</t>
        </is>
      </c>
      <c r="G15" s="10" t="inlineStr">
        <is>
          <t>Pune, India</t>
        </is>
      </c>
      <c r="H15" s="10" t="inlineStr">
        <is>
          <t>Consumer and MSME lending, digital-first NBFC backed by the Poonawalla/Serum Institute family</t>
        </is>
      </c>
      <c r="I15" s="10" t="inlineStr">
        <is>
          <t>~5,000 (est.)</t>
        </is>
      </c>
      <c r="J15" s="10" t="inlineStr">
        <is>
          <t>5k-10k</t>
        </is>
      </c>
      <c r="K15" s="10" t="inlineStr">
        <is>
          <t>verified-new</t>
        </is>
      </c>
      <c r="L15" s="10" t="inlineStr">
        <is>
          <t>$772M total income, FY2026 (ended Mar-2026: Rs 6,795.65 Cr, +60% YoY) - Whalesbook/Screener | $4.34B market cap as of 4 Sep 2026 (Rs 42,215 Cr; +33% YoY) - stockanalysis | flags: Recent (FY25) net loss before FY26 turnaround - capacity still stabiliz</t>
        </is>
      </c>
      <c r="M15" s="10" t="inlineStr">
        <is>
          <t>[VERIFIED NEW W2] Promoter (Poonawalla family) already sports-sponsorship-active and a personal car/motorsport enthusiast - direct executive-level entry point; digital-first lending brand pairs well with F1's younger, digitally engaged fanbase. | Cle</t>
        </is>
      </c>
    </row>
    <row r="16">
      <c r="A16" s="10" t="n">
        <v>13</v>
      </c>
      <c r="B16" s="10" t="inlineStr">
        <is>
          <t>W2</t>
        </is>
      </c>
      <c r="C16" s="10" t="inlineStr">
        <is>
          <t>01 Banking &amp; Insurance</t>
        </is>
      </c>
      <c r="D16" s="10" t="n">
        <v>84</v>
      </c>
      <c r="E16" s="10" t="inlineStr">
        <is>
          <t>Grupo Aval Acciones y Valores</t>
        </is>
      </c>
      <c r="F16" s="10" t="inlineStr">
        <is>
          <t>grupoaval.com</t>
        </is>
      </c>
      <c r="G16" s="10" t="inlineStr">
        <is>
          <t>Bogota, Colombia</t>
        </is>
      </c>
      <c r="H16" s="10" t="inlineStr">
        <is>
          <t>Banking (Banco de Bogota, Banco de Occidente, AV Villas), pensions (Porvenir) across Colombia and Central America</t>
        </is>
      </c>
      <c r="I16" s="10" t="inlineStr">
        <is>
          <t>~55,000 (est.)</t>
        </is>
      </c>
      <c r="J16" s="10" t="inlineStr">
        <is>
          <t>10k+</t>
        </is>
      </c>
      <c r="K16" s="10" t="inlineStr">
        <is>
          <t>verified-new</t>
        </is>
      </c>
      <c r="L16" s="10" t="inlineStr">
        <is>
          <t>~$4.35B TTM revenue as of June 2026 (13.44 trillion COP LTM, +17.4% YoY) - stockanalysis/companiesmarketcap | ~$5.5B market cap, ranged $5.0-6.0B through 2026 (latest ~$6.0B, Jan 2026 read) - stockanalysis/macrotrends | flags: COP/USD conversion make</t>
        </is>
      </c>
      <c r="M16" s="10" t="inlineStr">
        <is>
          <t>[VERIFIED NEW W2] Regional-champion narrative (largest financial group in Colombia, expanding into Central America) paired with F1's growing Latin American fan growth and the Mexico City/Miami GP footprint nearby. | Dominant, profitable, privately-co</t>
        </is>
      </c>
    </row>
    <row r="17">
      <c r="A17" s="10" t="n">
        <v>14</v>
      </c>
      <c r="B17" s="10" t="inlineStr">
        <is>
          <t>W2</t>
        </is>
      </c>
      <c r="C17" s="10" t="inlineStr">
        <is>
          <t>01 Banking &amp; Insurance</t>
        </is>
      </c>
      <c r="D17" s="10" t="n">
        <v>84</v>
      </c>
      <c r="E17" s="10" t="inlineStr">
        <is>
          <t>Intercorp Financial Services</t>
        </is>
      </c>
      <c r="F17" s="10" t="inlineStr">
        <is>
          <t>intercorp.com.pe</t>
        </is>
      </c>
      <c r="G17" s="10" t="inlineStr">
        <is>
          <t>Lima, Peru</t>
        </is>
      </c>
      <c r="H17" s="10" t="inlineStr">
        <is>
          <t>Banking (Interbank), insurance, and wealth management in Peru</t>
        </is>
      </c>
      <c r="I17" s="10" t="inlineStr">
        <is>
          <t>~10,000 (est.)</t>
        </is>
      </c>
      <c r="J17" s="10" t="inlineStr">
        <is>
          <t>10k+</t>
        </is>
      </c>
      <c r="K17" s="10" t="inlineStr">
        <is>
          <t>verified-new</t>
        </is>
      </c>
      <c r="L17" s="10" t="inlineStr">
        <is>
          <t>~$1.91B TTM revenue as of June 2026 - macrotrends/stockanalysis | ~$6.4B market cap as of Sep 2026 (ranged $5.7-6.7B through the year) - stockanalysis/gurufocus | flags: Smaller headcount/geographic footprint (Peru-only) than some peers - confirm mar</t>
        </is>
      </c>
      <c r="M17" s="10" t="inlineStr">
        <is>
          <t>[VERIFIED NEW W2] Interbank's strong retail/consumer brand recognition in Peru paired with F1's growth in Latin American viewership; family-office relationship entry point via Rodriguez-Pastor family. | Comfortably above threshold, improving profitab</t>
        </is>
      </c>
    </row>
    <row r="18">
      <c r="A18" s="10" t="n">
        <v>15</v>
      </c>
      <c r="B18" s="10" t="inlineStr">
        <is>
          <t>W2</t>
        </is>
      </c>
      <c r="C18" s="10" t="inlineStr">
        <is>
          <t>01 Banking &amp; Insurance</t>
        </is>
      </c>
      <c r="D18" s="10" t="n">
        <v>84</v>
      </c>
      <c r="E18" s="10" t="inlineStr">
        <is>
          <t>Banco de Chile</t>
        </is>
      </c>
      <c r="F18" s="10" t="inlineStr">
        <is>
          <t>bancochile.cl</t>
        </is>
      </c>
      <c r="G18" s="10" t="inlineStr">
        <is>
          <t>Santiago, Chile</t>
        </is>
      </c>
      <c r="H18" s="10" t="inlineStr">
        <is>
          <t>Retail and corporate banking in Chile</t>
        </is>
      </c>
      <c r="I18" s="10" t="inlineStr">
        <is>
          <t>~13,000 (est.)</t>
        </is>
      </c>
      <c r="J18" s="10" t="inlineStr">
        <is>
          <t>10k+</t>
        </is>
      </c>
      <c r="K18" s="10" t="inlineStr">
        <is>
          <t>verified-new</t>
        </is>
      </c>
      <c r="L18" s="10" t="inlineStr">
        <is>
          <t xml:space="preserve">~$3.8B annualized run-rate, 2026 (Q2 2026 operating revenue CLP 922B, +20.9% YoY) - Investing.com/company results | $21.4B market cap as of 4 Sep 2026 (+44% YoY) - stockanalysis/companiesmarketcap | flags: Q1 2026 earnings dip on provisioning before </t>
        </is>
      </c>
      <c r="M18" s="10" t="inlineStr">
        <is>
          <t>[VERIFIED NEW W2] Century-plus heritage brand with Luksic family's broader international investment profile (Quinenco holds stakes across mining, beverages, shipping); position as a prestige, first-mover Chilean financial sponsor in F1. | Mega-cap, h</t>
        </is>
      </c>
    </row>
    <row r="19">
      <c r="A19" s="10" t="n">
        <v>16</v>
      </c>
      <c r="B19" s="10" t="inlineStr">
        <is>
          <t>W2</t>
        </is>
      </c>
      <c r="C19" s="10" t="inlineStr">
        <is>
          <t>01 Banking &amp; Insurance</t>
        </is>
      </c>
      <c r="D19" s="10" t="n">
        <v>84</v>
      </c>
      <c r="E19" s="10" t="inlineStr">
        <is>
          <t>Banco Davivienda</t>
        </is>
      </c>
      <c r="F19" s="10" t="inlineStr">
        <is>
          <t>davivienda.com</t>
        </is>
      </c>
      <c r="G19" s="10" t="inlineStr">
        <is>
          <t>Bogota, Colombia</t>
        </is>
      </c>
      <c r="H19" s="10" t="inlineStr">
        <is>
          <t>Retail/commercial banking across Colombia and Central America, now integrating former Scotiabank Colombia, Costa Rica an</t>
        </is>
      </c>
      <c r="I19" s="10" t="inlineStr">
        <is>
          <t>~17,000 (est.)</t>
        </is>
      </c>
      <c r="J19" s="10" t="inlineStr">
        <is>
          <t>10k+</t>
        </is>
      </c>
      <c r="K19" s="10" t="inlineStr">
        <is>
          <t>verified-new</t>
        </is>
      </c>
      <c r="L19" s="10" t="inlineStr">
        <is>
          <t>~$2.8B annualized run-rate, 2026 est. (Q2 2026 revenue COP 2.84 trillion, +49% YoY on merger consolidation) - MarketScreener/Yahoo Finance | ~$3.2B market cap as of Aug 2026 (COP 12.35 trillion) - Yahoo Finance | flags: Market cap right at the large-</t>
        </is>
      </c>
      <c r="M19" s="10" t="inlineStr">
        <is>
          <t>[VERIFIED NEW W2] Newly-enlarged regional footprint (Colombia, Costa Rica, Panama) post-Scotiabank integration; DaviBank rebrand launch is a natural moment for a bold new marketing platform like F1. | Clears threshold with merger-driven growth moment</t>
        </is>
      </c>
    </row>
    <row r="20">
      <c r="A20" s="10" t="n">
        <v>17</v>
      </c>
      <c r="B20" s="10" t="inlineStr">
        <is>
          <t>W2</t>
        </is>
      </c>
      <c r="C20" s="10" t="inlineStr">
        <is>
          <t>01 Banking &amp; Insurance</t>
        </is>
      </c>
      <c r="D20" s="10" t="n">
        <v>84</v>
      </c>
      <c r="E20" s="10" t="inlineStr">
        <is>
          <t>Storebrand</t>
        </is>
      </c>
      <c r="F20" s="10" t="inlineStr">
        <is>
          <t>storebrand.no</t>
        </is>
      </c>
      <c r="G20" s="10" t="inlineStr">
        <is>
          <t>Lysaker (Oslo area), Norway</t>
        </is>
      </c>
      <c r="H20" s="10" t="inlineStr">
        <is>
          <t>Life insurance, pensions and sustainable asset management in Norway and Sweden</t>
        </is>
      </c>
      <c r="I20" s="10" t="inlineStr">
        <is>
          <t>~2,300 (est.)</t>
        </is>
      </c>
      <c r="J20" s="10" t="inlineStr">
        <is>
          <t>1k-5k</t>
        </is>
      </c>
      <c r="K20" s="10" t="inlineStr">
        <is>
          <t>verified-new</t>
        </is>
      </c>
      <c r="L20" s="10" t="inlineStr">
        <is>
          <t>NOK 14.6B FY2025 (~$1.4B) (source: mynewsdesk.com Q4 2025 update / Storebrand IR) | ~$8B market cap as of July 2026 (source: stockanalysis.com/companiesmarketcap.com) | flags: ESG-forward brand identity would require a sustainability-framed pitch (F1</t>
        </is>
      </c>
      <c r="M20" s="10" t="inlineStr">
        <is>
          <t>[VERIFIED NEW W2] Lead with F1's sustainability/hybrid-powertrain and net-zero-2030 narrative to match Storebrand's ESG-first brand positioning. | Clean ownership, improving financial trajectory (record Q2 2026 results), and no competing F1 exposure.</t>
        </is>
      </c>
    </row>
    <row r="21">
      <c r="A21" s="10" t="n">
        <v>18</v>
      </c>
      <c r="B21" s="10" t="inlineStr">
        <is>
          <t>W2</t>
        </is>
      </c>
      <c r="C21" s="10" t="inlineStr">
        <is>
          <t>01 Banking &amp; Insurance</t>
        </is>
      </c>
      <c r="D21" s="10" t="n">
        <v>84</v>
      </c>
      <c r="E21" s="10" t="inlineStr">
        <is>
          <t>Jyske Bank</t>
        </is>
      </c>
      <c r="F21" s="10" t="inlineStr">
        <is>
          <t>jyskebank.dk</t>
        </is>
      </c>
      <c r="G21" s="10" t="inlineStr">
        <is>
          <t>Silkeborg, Denmark</t>
        </is>
      </c>
      <c r="H21" s="10" t="inlineStr">
        <is>
          <t>Retail and private banking in Denmark</t>
        </is>
      </c>
      <c r="I21" s="10" t="inlineStr">
        <is>
          <t>~3,800 (verified; sources show 3,803-3,851)</t>
        </is>
      </c>
      <c r="J21" s="10" t="inlineStr">
        <is>
          <t>1k-5k</t>
        </is>
      </c>
      <c r="K21" s="10" t="inlineStr">
        <is>
          <t>verified-new</t>
        </is>
      </c>
      <c r="L21" s="10" t="inlineStr">
        <is>
          <t>~€1.95B FY2024 (flat vs FY2023); FY2025 EPS +7% to DKK 85 (source: GlobeNewswire annual report Feb 2026) | ~$9.19B market cap as of Aug 2026 (source: stockanalysis.com) | flags: Some figures are estimates pending full FY2025 revenue confirmation in E</t>
        </is>
      </c>
      <c r="M21" s="10" t="inlineStr">
        <is>
          <t>[VERIFIED NEW W2] Position F1 hospitality/branding as a private-banking client acquisition and retention tool, leveraging the bank's record dividend/buyback momentum as a 'strength' narrative. | Profitable, capital-return-heavy bank with clean owners</t>
        </is>
      </c>
    </row>
    <row r="22">
      <c r="A22" s="10" t="n">
        <v>19</v>
      </c>
      <c r="B22" s="10" t="inlineStr">
        <is>
          <t>W2</t>
        </is>
      </c>
      <c r="C22" s="10" t="inlineStr">
        <is>
          <t>01 Banking &amp; Insurance</t>
        </is>
      </c>
      <c r="D22" s="10" t="n">
        <v>84</v>
      </c>
      <c r="E22" s="10" t="inlineStr">
        <is>
          <t>St. James's Place</t>
        </is>
      </c>
      <c r="F22" s="10" t="inlineStr">
        <is>
          <t>sjp.co.uk</t>
        </is>
      </c>
      <c r="G22" s="10" t="inlineStr">
        <is>
          <t>Cirencester, United Kingdom</t>
        </is>
      </c>
      <c r="H22" s="10" t="inlineStr">
        <is>
          <t>Wealth management and financial advice to UK affluent/retail clients</t>
        </is>
      </c>
      <c r="I22" s="10" t="inlineStr">
        <is>
          <t>~4,500 (est.)</t>
        </is>
      </c>
      <c r="J22" s="10" t="inlineStr">
        <is>
          <t>1k-5k</t>
        </is>
      </c>
      <c r="K22" s="10" t="inlineStr">
        <is>
          <t>verified-new</t>
        </is>
      </c>
      <c r="L22" s="10" t="inlineStr">
        <is>
          <t>£30.2B FY2025 gross IFRS revenue (includes volatile policyholder investment return - not directly comparable to fee income) (source: stockanalysis.com); FUM record £220.0B FY2025, £240.8B H1 2026 | £5.77B market cap as of Sept 2026 (source: companies</t>
        </is>
      </c>
      <c r="M22" s="10" t="inlineStr">
        <is>
          <t>[VERIFIED NEW W2] Premium UK wealth-management client base overlaps directly with F1 hospitality audiences; lean into the 'record FUM, comeback story' narrative for brand confidence. | Clear, well-documented improving trajectory (record FUM, +33% pro</t>
        </is>
      </c>
    </row>
    <row r="23">
      <c r="A23" s="10" t="n">
        <v>20</v>
      </c>
      <c r="B23" s="10" t="inlineStr">
        <is>
          <t>W2</t>
        </is>
      </c>
      <c r="C23" s="10" t="inlineStr">
        <is>
          <t>01 Banking &amp; Insurance</t>
        </is>
      </c>
      <c r="D23" s="10" t="n">
        <v>84</v>
      </c>
      <c r="E23" s="10" t="inlineStr">
        <is>
          <t>First Citizens BancShares</t>
        </is>
      </c>
      <c r="F23" s="10" t="inlineStr">
        <is>
          <t>firstcitizens.com</t>
        </is>
      </c>
      <c r="G23" s="10" t="inlineStr">
        <is>
          <t>Raleigh, NC, USA</t>
        </is>
      </c>
      <c r="H23" s="10" t="inlineStr">
        <is>
          <t>Commercial and retail banking (incl. former SVB assets) to US businesses and consumers</t>
        </is>
      </c>
      <c r="I23" s="10" t="inlineStr">
        <is>
          <t>15,000–20,000</t>
        </is>
      </c>
      <c r="J23" s="10" t="inlineStr">
        <is>
          <t>10k+</t>
        </is>
      </c>
      <c r="K23" s="10" t="inlineStr">
        <is>
          <t>verified-new</t>
        </is>
      </c>
      <c r="L23" s="10" t="inlineStr">
        <is>
          <t>$9.03B FY2025 (down 3.2% YoY on lower SVB-loan accretion); net income ~$2.15–2.3B, per FY2025 results (SEC/stockanalysis.com) | ~$24.3B market cap as of mid-Sept 2026 (stockanalysis.com) | flags: Revenue/net income declined YoY due to purchase-accoun</t>
        </is>
      </c>
      <c r="M23" s="10" t="inlineStr">
        <is>
          <t>[VERIFIED NEW W2] Use the SVB/tech-and-innovation client base as the hook — a fintech/innovation-adjacent banking partner story rather than a generic regional-bank pitch. | Profitable, credit metrics healthy/improving, large scale, and a genuine tech</t>
        </is>
      </c>
    </row>
    <row r="24">
      <c r="A24" s="10" t="n">
        <v>21</v>
      </c>
      <c r="B24" s="10" t="inlineStr">
        <is>
          <t>W2</t>
        </is>
      </c>
      <c r="C24" s="10" t="inlineStr">
        <is>
          <t>01 Banking &amp; Insurance</t>
        </is>
      </c>
      <c r="D24" s="10" t="n">
        <v>84</v>
      </c>
      <c r="E24" s="10" t="inlineStr">
        <is>
          <t>Regions Financial Corporation</t>
        </is>
      </c>
      <c r="F24" s="10" t="inlineStr">
        <is>
          <t>regions.com</t>
        </is>
      </c>
      <c r="G24" s="10" t="inlineStr">
        <is>
          <t>Birmingham, AL, USA</t>
        </is>
      </c>
      <c r="H24" s="10" t="inlineStr">
        <is>
          <t>Retail and commercial banking in the US Southeast/Midwest</t>
        </is>
      </c>
      <c r="I24" s="10" t="inlineStr">
        <is>
          <t>15,000–20,000</t>
        </is>
      </c>
      <c r="J24" s="10" t="inlineStr">
        <is>
          <t>10k+</t>
        </is>
      </c>
      <c r="K24" s="10" t="inlineStr">
        <is>
          <t>verified-new</t>
        </is>
      </c>
      <c r="L24" s="10" t="inlineStr">
        <is>
          <t>~$7.7B FY2025 total revenue (net interest + noninterest income; some aggregators show figures from $6.19B to $9.6B depending on methodology — use company 10-K for exact figure), record wealth/treasury-management income cited in FY2025 results | ~$24.</t>
        </is>
      </c>
      <c r="M24" s="10" t="inlineStr">
        <is>
          <t>[VERIFIED NEW W2] Regional-growth and Southeast-expansion story — frame F1 US races (Miami, Austin, Las Vegas) as a natural extension of its existing regional sports-sponsorship playbook. | Credit quality is genuinely improving (not just stable), the</t>
        </is>
      </c>
    </row>
    <row r="25">
      <c r="A25" s="10" t="n">
        <v>22</v>
      </c>
      <c r="B25" s="10" t="inlineStr">
        <is>
          <t>W2</t>
        </is>
      </c>
      <c r="C25" s="10" t="inlineStr">
        <is>
          <t>01 Banking &amp; Insurance</t>
        </is>
      </c>
      <c r="D25" s="10" t="n">
        <v>84</v>
      </c>
      <c r="E25" s="10" t="inlineStr">
        <is>
          <t>Equitable Holdings, Inc.</t>
        </is>
      </c>
      <c r="F25" s="10" t="n"/>
      <c r="G25" s="10" t="inlineStr">
        <is>
          <t>New York, NY, USA</t>
        </is>
      </c>
      <c r="H25" s="10" t="inlineStr">
        <is>
          <t>Life insurance, retirement/annuities, and asset management (majority owner of AllianceBernstein) for US consumers and in</t>
        </is>
      </c>
      <c r="I25" s="10" t="inlineStr">
        <is>
          <t>10,000–15,000</t>
        </is>
      </c>
      <c r="J25" s="10" t="inlineStr">
        <is>
          <t>10k+</t>
        </is>
      </c>
      <c r="K25" s="10" t="inlineStr">
        <is>
          <t>verified-new</t>
        </is>
      </c>
      <c r="L25" s="10" t="inlineStr">
        <is>
          <t>~$14–15B FY2025 (est. — LTM revenue was $13.96B as of mid-2025, up 21% YoY; Q4 2025 revenue alone was $3.28B), per FY2025 results release | ~$14.7B market cap as of mid-Sept 2026 (multiple sources) | flags: Confirm full-year 2025 consolidated revenue</t>
        </is>
      </c>
      <c r="M25" s="10" t="inlineStr">
        <is>
          <t>[VERIFIED NEW W2] Frame around the post-AXA independent-brand-building story — F1 as a platform to build Equitable's standalone identity distinct from its former AXA Equitable name, targeting HNW/retirement-planning audiences. | Clean, fully independ</t>
        </is>
      </c>
    </row>
    <row r="26">
      <c r="A26" s="10" t="n">
        <v>23</v>
      </c>
      <c r="B26" s="10" t="inlineStr">
        <is>
          <t>W2</t>
        </is>
      </c>
      <c r="C26" s="10" t="inlineStr">
        <is>
          <t>01 Banking &amp; Insurance</t>
        </is>
      </c>
      <c r="D26" s="10" t="n">
        <v>84</v>
      </c>
      <c r="E26" s="10" t="inlineStr">
        <is>
          <t>Primerica, Inc.</t>
        </is>
      </c>
      <c r="F26" s="10" t="n"/>
      <c r="G26" s="10" t="inlineStr">
        <is>
          <t>Duluth, GA, USA</t>
        </is>
      </c>
      <c r="H26" s="10" t="inlineStr">
        <is>
          <t xml:space="preserve">Term life insurance and financial products distributed via ~130,000 independent licensed representatives to US/Canadian </t>
        </is>
      </c>
      <c r="I26" s="10" t="inlineStr">
        <is>
          <t>~3,000 employees plus ~130,000 independent licensed representatives</t>
        </is>
      </c>
      <c r="J26" s="10" t="inlineStr">
        <is>
          <t>10k+</t>
        </is>
      </c>
      <c r="K26" s="10" t="inlineStr">
        <is>
          <t>verified-new</t>
        </is>
      </c>
      <c r="L26" s="10" t="inlineStr">
        <is>
          <t>$3.29B FY2025 (up 6.6% YoY), per Q4/FY2025 results | ~$9.0B market cap as of Sept 2026 (multiple sources, $8.85–9.07B range through 2026) | flags: Confirm no dormant/legacy NASCAR contractual exclusivity remains before finalizing outreach, even thoug</t>
        </is>
      </c>
      <c r="M26" s="10" t="inlineStr">
        <is>
          <t>[VERIFIED NEW W2] Use the massive independent-rep sales-force network as an activation and hospitality audience, and lean into the 'financial security for middle-income families' message alongside F1's broadening, family-oriented fanbase. | Financial</t>
        </is>
      </c>
    </row>
    <row r="27">
      <c r="A27" s="10" t="n">
        <v>24</v>
      </c>
      <c r="B27" s="10" t="inlineStr">
        <is>
          <t>W2</t>
        </is>
      </c>
      <c r="C27" s="10" t="inlineStr">
        <is>
          <t>12 Trading &amp; Crypto</t>
        </is>
      </c>
      <c r="D27" s="10" t="n">
        <v>84</v>
      </c>
      <c r="E27" s="10" t="inlineStr">
        <is>
          <t>Yuanta Financial Holdings</t>
        </is>
      </c>
      <c r="F27" s="10" t="inlineStr">
        <is>
          <t>yuanta.com</t>
        </is>
      </c>
      <c r="G27" s="10" t="inlineStr">
        <is>
          <t>Taiwan</t>
        </is>
      </c>
      <c r="H27" s="10" t="inlineStr">
        <is>
          <t>Securities brokerage, banking, insurance, asset management, with a regional ETF franchise (Yuanta ETFs) distributed acro</t>
        </is>
      </c>
      <c r="I27" s="10" t="inlineStr">
        <is>
          <t>10k-25k (~16,000 est., unverified this pass)</t>
        </is>
      </c>
      <c r="J27" s="10" t="inlineStr">
        <is>
          <t>10k+</t>
        </is>
      </c>
      <c r="K27" s="10" t="inlineStr">
        <is>
          <t>verified-new</t>
        </is>
      </c>
      <c r="L27" s="10" t="inlineStr">
        <is>
          <t>TTM revenue ~$4.13B USD (Aug 2026), up from ~$3.75B in 2024 - growing | Market cap ~$28.0B USD as of July 2026 (NT$967.7B) - well above input's ~$9B estimate; verified current</t>
        </is>
      </c>
      <c r="M27" s="10" t="inlineStr">
        <is>
          <t>[VERIFIED NEW W2] "Precision execution, real-time performance" trading narrative tied to F1 speed/data themes, targeting affluent retail and institutional investors across Yuanta's multi-market ETF/brokerage footprint | Mega-cap regional broker/ETF p</t>
        </is>
      </c>
    </row>
    <row r="28">
      <c r="A28" s="11" t="n">
        <v>25</v>
      </c>
      <c r="B28" s="11" t="inlineStr">
        <is>
          <t>W2</t>
        </is>
      </c>
      <c r="C28" s="11" t="inlineStr">
        <is>
          <t>01 Banking &amp; Insurance</t>
        </is>
      </c>
      <c r="D28" s="11" t="n">
        <v>58</v>
      </c>
      <c r="E28" s="11" t="inlineStr">
        <is>
          <t>Svenska Handelsbanken</t>
        </is>
      </c>
      <c r="F28" s="11" t="inlineStr">
        <is>
          <t>handelsbanken.com</t>
        </is>
      </c>
      <c r="G28" s="11" t="inlineStr">
        <is>
          <t>Stockholm, Sweden</t>
        </is>
      </c>
      <c r="H28" s="11" t="inlineStr">
        <is>
          <t>Retail and corporate banking across Sweden, UK, Netherlands and the Nordics</t>
        </is>
      </c>
      <c r="I28" s="11" t="inlineStr">
        <is>
          <t>~12,200 (verified, FY2024 group headcount)</t>
        </is>
      </c>
      <c r="J28" s="11" t="inlineStr">
        <is>
          <t>10k+</t>
        </is>
      </c>
      <c r="K28" s="11" t="inlineStr">
        <is>
          <t>verified-stretch</t>
        </is>
      </c>
      <c r="L28" s="11" t="inlineStr">
        <is>
          <t xml:space="preserve">SEK 57.1B FY2025, down 9.3% YoY (source: MacroTrends/companiesmarketcap.com, 2026) | £22.83B market cap as of Aug 2026 (~$29B) (source: companiesmarketcap.com) | flags: Revenue down 9.3% YoY FY2025 - confirm cause (rate cycle) before pitching growth </t>
        </is>
      </c>
      <c r="M28" s="11" t="inlineStr">
        <is>
          <t>[VERIFIED NEW W2] Frame around Handelsbanken's UK/Netherlands growth push (offsetting flat Swedish home market) with a Silverstone/Zandvoort-linked relationship pitch rather than a mass-brand campaign. | Meets financial/ownership bar but the bank's l</t>
        </is>
      </c>
    </row>
    <row r="29">
      <c r="A29" s="11" t="n">
        <v>26</v>
      </c>
      <c r="B29" s="11" t="inlineStr">
        <is>
          <t>W2</t>
        </is>
      </c>
      <c r="C29" s="11" t="inlineStr">
        <is>
          <t>01 Banking &amp; Insurance</t>
        </is>
      </c>
      <c r="D29" s="11" t="n">
        <v>52</v>
      </c>
      <c r="E29" s="11" t="inlineStr">
        <is>
          <t>Sumitomo Mitsui Trust Holdings</t>
        </is>
      </c>
      <c r="F29" s="11" t="inlineStr">
        <is>
          <t>smth.jp</t>
        </is>
      </c>
      <c r="G29" s="11" t="inlineStr">
        <is>
          <t>Japan</t>
        </is>
      </c>
      <c r="H29" s="11" t="inlineStr">
        <is>
          <t>Trust banking, asset management, real estate services to institutional and retail clients in Japan, with an asset-manage</t>
        </is>
      </c>
      <c r="I29" s="11" t="inlineStr">
        <is>
          <t>10k-25k (~20,000 est., unverified this pass)</t>
        </is>
      </c>
      <c r="J29" s="11" t="inlineStr">
        <is>
          <t>10k+</t>
        </is>
      </c>
      <c r="K29" s="11" t="inlineStr">
        <is>
          <t>verified-stretch</t>
        </is>
      </c>
      <c r="L29" s="11" t="inlineStr">
        <is>
          <t>Exact FY2025 revenue line not confirmed this pass; FY2025 net income forecast raised to ~JPY317B on gains from reducing strategic shareholdings, dividend raised - profitable and improving. Input's ~$9B FY2024 revenue estimate stands unverified (est.)</t>
        </is>
      </c>
      <c r="M29" s="11" t="inlineStr">
        <is>
          <t>[VERIFIED NEW W2] Wealth-management/trust brand storytelling for HNW and institutional clients - legacy, precision and long-term stewardship themes tied to the Japan GP | Mega-cap and profitable with no F1 tie, but a narrower, Japan-centric trust/wea</t>
        </is>
      </c>
    </row>
    <row r="30">
      <c r="A30" s="11" t="n">
        <v>27</v>
      </c>
      <c r="B30" s="11" t="inlineStr">
        <is>
          <t>W2</t>
        </is>
      </c>
      <c r="C30" s="11" t="inlineStr">
        <is>
          <t>01 Banking &amp; Insurance</t>
        </is>
      </c>
      <c r="D30" s="11" t="n">
        <v>52</v>
      </c>
      <c r="E30" s="11" t="inlineStr">
        <is>
          <t>TMBThanachart Bank (ttb)</t>
        </is>
      </c>
      <c r="F30" s="11" t="inlineStr">
        <is>
          <t>ttbbank.com</t>
        </is>
      </c>
      <c r="G30" s="11" t="inlineStr">
        <is>
          <t>Thailand</t>
        </is>
      </c>
      <c r="H30" s="11" t="inlineStr">
        <is>
          <t>Retail/commercial banking and auto loans in Thailand</t>
        </is>
      </c>
      <c r="I30" s="11" t="inlineStr">
        <is>
          <t>10k-25k (~14,000 est., unverified this pass)</t>
        </is>
      </c>
      <c r="J30" s="11" t="inlineStr">
        <is>
          <t>10k+</t>
        </is>
      </c>
      <c r="K30" s="11" t="inlineStr">
        <is>
          <t>verified-stretch</t>
        </is>
      </c>
      <c r="L30" s="11" t="inlineStr">
        <is>
          <t>TTM revenue ~$2.25B USD (Aug 2026); FY2025 revenue ~THB49.2B, roughly flat YoY (-0.72%) - profitable but not growing much, no active restructuring found | Market cap ~THB231B (~US$6.6B at ~35 THB/USD) as of July 2026 - above input's ~$4B estimate; ve</t>
        </is>
      </c>
      <c r="M30" s="11" t="inlineStr">
        <is>
          <t xml:space="preserve">[VERIFIED NEW W2] If pursued, a narrow Thailand-only auto-finance/retail-banking angle; low priority without a stronger affluent or multi-market story | Meets the financial bar and no F1 tie, but single-market scale, flat growth and a minority state </t>
        </is>
      </c>
    </row>
    <row r="31">
      <c r="A31" s="11" t="n">
        <v>28</v>
      </c>
      <c r="B31" s="11" t="inlineStr">
        <is>
          <t>W2</t>
        </is>
      </c>
      <c r="C31" s="11" t="inlineStr">
        <is>
          <t>01 Banking &amp; Insurance</t>
        </is>
      </c>
      <c r="D31" s="11" t="n">
        <v>52</v>
      </c>
      <c r="E31" s="11" t="inlineStr">
        <is>
          <t>Yes Bank</t>
        </is>
      </c>
      <c r="F31" s="11" t="inlineStr">
        <is>
          <t>yesbank.in</t>
        </is>
      </c>
      <c r="G31" s="11" t="inlineStr">
        <is>
          <t>India</t>
        </is>
      </c>
      <c r="H31" s="11" t="inlineStr">
        <is>
          <t>Retail and corporate banking in India</t>
        </is>
      </c>
      <c r="I31" s="11" t="inlineStr">
        <is>
          <t>25k-50k (~25,000 est., unverified this pass)</t>
        </is>
      </c>
      <c r="J31" s="11" t="inlineStr">
        <is>
          <t>10k+</t>
        </is>
      </c>
      <c r="K31" s="11" t="inlineStr">
        <is>
          <t>verified-stretch</t>
        </is>
      </c>
      <c r="L31" s="11" t="inlineStr">
        <is>
          <t>Revenue ~₹30,658 Cr (~US$3.5B at ~88 INR/USD) - roughly matches input's ~$3B estimate | Market cap ~₹706.2B (~US$8.0B at ~88 INR/USD) as of Sept 2026 - within input's $7-8B range; verified current (currency-converted) | flags: Ownership in transition</t>
        </is>
      </c>
      <c r="M31" s="11" t="inlineStr">
        <is>
          <t>[VERIFIED NEW W2] "New chapter" turnaround/credibility story anchored by the SMBC partnership - confirm governance/marketing authority first, then pitch as India's re-emerging challenger bank | Improving turnaround with a credible new anchor investor</t>
        </is>
      </c>
    </row>
    <row r="32">
      <c r="A32" s="11" t="n">
        <v>29</v>
      </c>
      <c r="B32" s="11" t="inlineStr">
        <is>
          <t>W2</t>
        </is>
      </c>
      <c r="C32" s="11" t="inlineStr">
        <is>
          <t>01 Banking &amp; Insurance</t>
        </is>
      </c>
      <c r="D32" s="11" t="n">
        <v>52</v>
      </c>
      <c r="E32" s="11" t="inlineStr">
        <is>
          <t>IIFL Finance</t>
        </is>
      </c>
      <c r="F32" s="11" t="inlineStr">
        <is>
          <t>iifl.com</t>
        </is>
      </c>
      <c r="G32" s="11" t="inlineStr">
        <is>
          <t>Mumbai, India</t>
        </is>
      </c>
      <c r="H32" s="11" t="inlineStr">
        <is>
          <t>Gold loans, housing finance, MSME/digital lending</t>
        </is>
      </c>
      <c r="I32" s="11" t="inlineStr">
        <is>
          <t>~30,000 (est.)</t>
        </is>
      </c>
      <c r="J32" s="11" t="inlineStr">
        <is>
          <t>10k+</t>
        </is>
      </c>
      <c r="K32" s="11" t="inlineStr">
        <is>
          <t>verified-stretch</t>
        </is>
      </c>
      <c r="L32" s="11" t="inlineStr">
        <is>
          <t>$1.52B consolidated total income, FY2026 (ended Mar-2026: Rs 13,373.83 Cr, +30.6% YoY) - Investing.com/Whalesbook | ~$2.9B market cap as of 18 Sep 2026 (Rs 25,620.61 Cr) - stockanalysis/tickertape | flags: Market cap currently below $3B large-cap thr</t>
        </is>
      </c>
      <c r="M32" s="11" t="inlineStr">
        <is>
          <t xml:space="preserve">[VERIFIED NEW W2] If pursued, frame around the digital-lending growth turnaround story and gold-loan-network customer scale; best revisited once market cap re-clears $3B. | Recovering fast and no F1 conflict, but market cap has actually fallen below </t>
        </is>
      </c>
    </row>
    <row r="33">
      <c r="A33" s="11" t="n">
        <v>30</v>
      </c>
      <c r="B33" s="11" t="inlineStr">
        <is>
          <t>W2</t>
        </is>
      </c>
      <c r="C33" s="11" t="inlineStr">
        <is>
          <t>01 Banking &amp; Insurance</t>
        </is>
      </c>
      <c r="D33" s="11" t="n">
        <v>52</v>
      </c>
      <c r="E33" s="11" t="inlineStr">
        <is>
          <t>3i Group</t>
        </is>
      </c>
      <c r="F33" s="11" t="inlineStr">
        <is>
          <t>3i.com</t>
        </is>
      </c>
      <c r="G33" s="11" t="inlineStr">
        <is>
          <t>London, United Kingdom</t>
        </is>
      </c>
      <c r="H33" s="11" t="inlineStr">
        <is>
          <t>Private equity and infrastructure investment; NAV now ~77% concentrated in its Action retail stake (65.4%)</t>
        </is>
      </c>
      <c r="I33" s="11" t="inlineStr">
        <is>
          <t>~280-300 (verified small corporate/investment team; excludes Action's own ~250,000+ retail staff)</t>
        </is>
      </c>
      <c r="J33" s="11" t="inlineStr">
        <is>
          <t>10k+</t>
        </is>
      </c>
      <c r="K33" s="11" t="inlineStr">
        <is>
          <t>verified-stretch</t>
        </is>
      </c>
      <c r="L33" s="11" t="inlineStr">
        <is>
          <t>Not applicable - investment-return based; NAV £30.9B as of 31 Mar 2026, up 26% YoY (source: 3i.com FY26 press release) | ~£23.8B market cap as of 29 Mar 2026 (~$30B) (source: massivemoats.substack.com) | flags: Extremely thin headcount/organization r</t>
        </is>
      </c>
      <c r="M33" s="11" t="inlineStr">
        <is>
          <t>[VERIFIED NEW W2] Position as an HNW-investor/LP-facing prestige association (paddock club, investor days) rather than a mass-market brand sponsorship. | Financially exceeds the bar, but as a near-pure holding company it lacks the consumer/customer b</t>
        </is>
      </c>
    </row>
    <row r="34">
      <c r="A34" s="11" t="n">
        <v>31</v>
      </c>
      <c r="B34" s="11" t="inlineStr">
        <is>
          <t>W2</t>
        </is>
      </c>
      <c r="C34" s="11" t="inlineStr">
        <is>
          <t>01 Banking &amp; Insurance</t>
        </is>
      </c>
      <c r="D34" s="11" t="n">
        <v>52</v>
      </c>
      <c r="E34" s="11" t="inlineStr">
        <is>
          <t>Intermediate Capital Group (ICG)</t>
        </is>
      </c>
      <c r="F34" s="11" t="inlineStr">
        <is>
          <t>icgam.com</t>
        </is>
      </c>
      <c r="G34" s="11" t="inlineStr">
        <is>
          <t>London, United Kingdom</t>
        </is>
      </c>
      <c r="H34" s="11" t="inlineStr">
        <is>
          <t>Private credit and alternative asset management to institutional investors (pension funds, insurers, sovereign wealth fu</t>
        </is>
      </c>
      <c r="I34" s="11" t="inlineStr">
        <is>
          <t>~700-900 (est.)</t>
        </is>
      </c>
      <c r="J34" s="11" t="inlineStr">
        <is>
          <t>250-1k</t>
        </is>
      </c>
      <c r="K34" s="11" t="inlineStr">
        <is>
          <t>verified-stretch</t>
        </is>
      </c>
      <c r="L34" s="11" t="inlineStr">
        <is>
          <t>£1,036M FY2026 total revenue; management fees £604M FY2025 (+19% YoY), fee-related earnings £350M FY2026 (+23% YoY) (source: icgam.com FY25 RNS / company reports) | ~£5.4-6.7B market cap (2026, sources vary by date/currency) (source: companiesmarketc</t>
        </is>
      </c>
      <c r="M34" s="11" t="inlineStr">
        <is>
          <t xml:space="preserve">[VERIFIED NEW W2] Frame as an LP-relationship and dealmaker-recruiting tool (paddock hospitality for institutional investors and prospective hires) rather than a consumer sponsorship. | Strong growth and profitability clear the capacity bar, but the </t>
        </is>
      </c>
    </row>
    <row r="35">
      <c r="A35" s="11" t="n">
        <v>32</v>
      </c>
      <c r="B35" s="11" t="inlineStr">
        <is>
          <t>W2</t>
        </is>
      </c>
      <c r="C35" s="11" t="inlineStr">
        <is>
          <t>01 Banking &amp; Insurance</t>
        </is>
      </c>
      <c r="D35" s="11" t="n">
        <v>52</v>
      </c>
      <c r="E35" s="11" t="inlineStr">
        <is>
          <t>Federated Hermes, Inc.</t>
        </is>
      </c>
      <c r="F35" s="11" t="n"/>
      <c r="G35" s="11" t="inlineStr">
        <is>
          <t>Pittsburgh, PA, USA</t>
        </is>
      </c>
      <c r="H35" s="11" t="inlineStr">
        <is>
          <t>Money-market and active asset management for institutional and retail clients</t>
        </is>
      </c>
      <c r="I35" s="11" t="inlineStr">
        <is>
          <t>1,000–5,000</t>
        </is>
      </c>
      <c r="J35" s="11" t="inlineStr">
        <is>
          <t>5k-10k</t>
        </is>
      </c>
      <c r="K35" s="11" t="inlineStr">
        <is>
          <t>verified-stretch</t>
        </is>
      </c>
      <c r="L35" s="11" t="inlineStr">
        <is>
          <t>$1.80B FY2025 (up 10.3% YoY, driven by higher money-market/equity AUM), per FY2025 earnings release/10-K (SEC) | $4.45B market cap as of 11 Sep 2026 (MacroTrends/stockanalysis.com) | flags: Name collision: exclusion-list 'Hermes' entries likely refer</t>
        </is>
      </c>
      <c r="M35" s="11" t="inlineStr">
        <is>
          <t>[VERIFIED NEW W2] Position around stewardship/responsible-investing (Hermes EOS) narrative tied to F1's sustainability push — likely a smaller regional/team-level activation rather than a series-level deal. | Real, profitable, ownership-clean target,</t>
        </is>
      </c>
    </row>
    <row r="36">
      <c r="A36" s="11" t="n">
        <v>33</v>
      </c>
      <c r="B36" s="11" t="inlineStr">
        <is>
          <t>W2</t>
        </is>
      </c>
      <c r="C36" s="11" t="inlineStr">
        <is>
          <t>01 Banking &amp; Insurance</t>
        </is>
      </c>
      <c r="D36" s="11" t="n">
        <v>52</v>
      </c>
      <c r="E36" s="11" t="inlineStr">
        <is>
          <t>SLM Corporation (Sallie Mae)</t>
        </is>
      </c>
      <c r="F36" s="11" t="inlineStr">
        <is>
          <t>salliemae.com</t>
        </is>
      </c>
      <c r="G36" s="11" t="inlineStr">
        <is>
          <t>Newark, DE / Salt Lake City, UT, USA</t>
        </is>
      </c>
      <c r="H36" s="11" t="inlineStr">
        <is>
          <t>Private student loans and consumer banking to US students and families</t>
        </is>
      </c>
      <c r="I36" s="11" t="inlineStr">
        <is>
          <t>1,000–2,500</t>
        </is>
      </c>
      <c r="J36" s="11" t="inlineStr">
        <is>
          <t>1k-5k</t>
        </is>
      </c>
      <c r="K36" s="11" t="inlineStr">
        <is>
          <t>verified-stretch</t>
        </is>
      </c>
      <c r="L36" s="11" t="inlineStr">
        <is>
          <t>$1.98B FY2025 (up from $1.84B FY2024), per Q4/FY2025 earnings release | ~$4.7–4.8B market cap as of 19 Sept 2026 (stockanalysis.com) | flags: Stock has been volatile on 'elevated charge-off' headlines in 2026 — confirm the credit issue is resolved/co</t>
        </is>
      </c>
      <c r="M36" s="11" t="inlineStr">
        <is>
          <t>[VERIFIED NEW W2] College-age/young-fan acquisition story — align with F1's youth-fan growth push and financial-literacy-for-students messaging, likely sized as a mid-tier partnership. | Genuinely strong youth/college-age audience overlap with F1's f</t>
        </is>
      </c>
    </row>
    <row r="37">
      <c r="A37" s="11" t="n">
        <v>34</v>
      </c>
      <c r="B37" s="11" t="inlineStr">
        <is>
          <t>W2</t>
        </is>
      </c>
      <c r="C37" s="11" t="inlineStr">
        <is>
          <t>01 Banking &amp; Insurance</t>
        </is>
      </c>
      <c r="D37" s="11" t="n">
        <v>46</v>
      </c>
      <c r="E37" s="11" t="inlineStr">
        <is>
          <t>Mega Financial Holding</t>
        </is>
      </c>
      <c r="F37" s="11" t="inlineStr">
        <is>
          <t>megaholdings.com.tw</t>
        </is>
      </c>
      <c r="G37" s="11" t="inlineStr">
        <is>
          <t>Taiwan</t>
        </is>
      </c>
      <c r="H37" s="11" t="inlineStr">
        <is>
          <t>Commercial banking, insurance, securities, largely Taiwan-focused with an export-finance corporate client base</t>
        </is>
      </c>
      <c r="I37" s="11" t="inlineStr">
        <is>
          <t>10k-25k (~14,000 est., unverified this pass)</t>
        </is>
      </c>
      <c r="J37" s="11" t="inlineStr">
        <is>
          <t>10k+</t>
        </is>
      </c>
      <c r="K37" s="11" t="inlineStr">
        <is>
          <t>verified-stretch</t>
        </is>
      </c>
      <c r="L37" s="11" t="inlineStr">
        <is>
          <t>TTM revenue ~TWD78.9B (~US$2.4B); TTM profit ~TWD36.4B - profitable, no restructuring signals found | Market cap ~TWD593B (~US$18.2B at ~32.5 TWD/USD) - above input's ~$13B estimate; verified current (currency-converted) | flags: Minority Taiwan Mini</t>
        </is>
      </c>
      <c r="M37" s="11" t="inlineStr">
        <is>
          <t>[VERIFIED NEW W2] If pursued, frame around Taiwan trade/export-finance and logistics network ties rather than a consumer affluence story; otherwise low priority vs. peers | Mega-cap tier means it can't be a hard No, but the fit narrative is weak (Tai</t>
        </is>
      </c>
    </row>
  </sheetData>
  <autoFilter ref="A3:M3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4"/>
  <sheetViews>
    <sheetView workbookViewId="0">
      <pane ySplit="3" topLeftCell="A4" activePane="bottomLeft" state="frozen"/>
      <selection pane="bottomLeft" activeCell="A1" sqref="A1"/>
    </sheetView>
  </sheetViews>
  <sheetFormatPr baseColWidth="8" defaultRowHeight="15"/>
  <cols>
    <col width="5" customWidth="1" min="1" max="1"/>
    <col width="7" customWidth="1" min="2" max="2"/>
    <col width="24" customWidth="1" min="3" max="3"/>
    <col width="9" customWidth="1" min="4" max="4"/>
    <col width="30" customWidth="1" min="5" max="5"/>
    <col width="22" customWidth="1" min="6" max="6"/>
    <col width="20" customWidth="1" min="7" max="7"/>
    <col width="40" customWidth="1" min="8" max="8"/>
    <col width="16" customWidth="1" min="9" max="9"/>
    <col width="10" customWidth="1" min="10" max="10"/>
    <col width="14" customWidth="1" min="11" max="11"/>
    <col width="60" customWidth="1" min="12" max="12"/>
    <col width="70" customWidth="1" min="13" max="13"/>
  </cols>
  <sheetData>
    <row r="1">
      <c r="A1" s="1" t="inlineStr">
        <is>
          <t>Wave 3 - Health &amp; Wellness - 41 brands</t>
        </is>
      </c>
    </row>
    <row r="2">
      <c r="A2" s="8" t="inlineStr">
        <is>
          <t>New brands only (not in the original master before this work). Blue = verified-new (all parameters pass), amber = verified-stretch. Source: F1-New-Brands-By-Wave-2026-09.xlsx tab "W3 Health &amp; Wellness".</t>
        </is>
      </c>
    </row>
    <row r="3" ht="30" customHeight="1">
      <c r="A3" s="9" t="inlineStr">
        <is>
          <t>#</t>
        </is>
      </c>
      <c r="B3" s="9" t="inlineStr">
        <is>
          <t>wave</t>
        </is>
      </c>
      <c r="C3" s="9" t="inlineStr">
        <is>
          <t>sector_tab</t>
        </is>
      </c>
      <c r="D3" s="9" t="inlineStr">
        <is>
          <t>priority_score</t>
        </is>
      </c>
      <c r="E3" s="9" t="inlineStr">
        <is>
          <t>company</t>
        </is>
      </c>
      <c r="F3" s="9" t="inlineStr">
        <is>
          <t>domain</t>
        </is>
      </c>
      <c r="G3" s="9" t="inlineStr">
        <is>
          <t>hq_country</t>
        </is>
      </c>
      <c r="H3" s="9" t="inlineStr">
        <is>
          <t>niche</t>
        </is>
      </c>
      <c r="I3" s="9" t="inlineStr">
        <is>
          <t>employees_est</t>
        </is>
      </c>
      <c r="J3" s="9" t="inlineStr">
        <is>
          <t>size_band</t>
        </is>
      </c>
      <c r="K3" s="9" t="inlineStr">
        <is>
          <t>tag</t>
        </is>
      </c>
      <c r="L3" s="9" t="inlineStr">
        <is>
          <t>affordability</t>
        </is>
      </c>
      <c r="M3" s="9" t="inlineStr">
        <is>
          <t>why_f1</t>
        </is>
      </c>
    </row>
    <row r="4">
      <c r="A4" s="10" t="n">
        <v>1</v>
      </c>
      <c r="B4" s="10" t="inlineStr">
        <is>
          <t>W3</t>
        </is>
      </c>
      <c r="C4" s="10" t="inlineStr">
        <is>
          <t>42 Health &amp; Wellness</t>
        </is>
      </c>
      <c r="D4" s="10" t="n">
        <v>92</v>
      </c>
      <c r="E4" s="10" t="inlineStr">
        <is>
          <t>Straumann Holding AG</t>
        </is>
      </c>
      <c r="F4" s="10" t="inlineStr">
        <is>
          <t>straumann.com</t>
        </is>
      </c>
      <c r="G4" s="10" t="inlineStr">
        <is>
          <t>Switzerland</t>
        </is>
      </c>
      <c r="H4" s="10" t="inlineStr">
        <is>
          <t>Dental implants and clear aligners sold to dentists and dental clinics</t>
        </is>
      </c>
      <c r="I4" s="10" t="inlineStr">
        <is>
          <t>10,000-25,000 (~11,000 est)</t>
        </is>
      </c>
      <c r="J4" s="10" t="inlineStr">
        <is>
          <t>10k+</t>
        </is>
      </c>
      <c r="K4" s="10" t="inlineStr">
        <is>
          <t>verified-new</t>
        </is>
      </c>
      <c r="L4" s="10" t="inlineStr">
        <is>
          <t>FY2025 revenue CHF 2.6B (~$2.94B USD), +8.9% organic growth, core EBIT margin 26.5% (WebSearch, company FY2025 report) | ~CHF 14.86B / ~$16.8B USD market cap as of Aug 28, 2026 (marketscreener.com/mlq.ai) | flags: premium/elective dental work could r</t>
        </is>
      </c>
      <c r="M4" s="10" t="inlineStr">
        <is>
          <t>[VERIFIED NEW W3] "Precision smiles, precision engineering" - premium implant/aligner manufacturing tolerances positioned like race-car materials science; global, affluent dental-patient audience. | Mega-cap (~$16.8B), highly profitable (26.5% margin</t>
        </is>
      </c>
    </row>
    <row r="5">
      <c r="A5" s="10" t="n">
        <v>2</v>
      </c>
      <c r="B5" s="10" t="inlineStr">
        <is>
          <t>W3</t>
        </is>
      </c>
      <c r="C5" s="10" t="inlineStr">
        <is>
          <t>42 Health &amp; Wellness</t>
        </is>
      </c>
      <c r="D5" s="10" t="n">
        <v>92</v>
      </c>
      <c r="E5" s="10" t="inlineStr">
        <is>
          <t>Sonova Holding AG</t>
        </is>
      </c>
      <c r="F5" s="10" t="inlineStr">
        <is>
          <t>sonova.com</t>
        </is>
      </c>
      <c r="G5" s="10" t="inlineStr">
        <is>
          <t>Switzerland</t>
        </is>
      </c>
      <c r="H5" s="10" t="inlineStr">
        <is>
          <t>Hearing aids (Phonak, Unitron) sold to audiologists and patients</t>
        </is>
      </c>
      <c r="I5" s="10" t="inlineStr">
        <is>
          <t>10,000-25,000 (~18,000 est)</t>
        </is>
      </c>
      <c r="J5" s="10" t="inlineStr">
        <is>
          <t>10k+</t>
        </is>
      </c>
      <c r="K5" s="10" t="inlineStr">
        <is>
          <t>verified-new</t>
        </is>
      </c>
      <c r="L5" s="10" t="inlineStr">
        <is>
          <t>FY2025/26 group sales CHF 3,605.9M (~$4.08B USD), +5.9% local-currency growth, normalized EBITA +17.3% (WebSearch, sonova.com results release) | ~$17.3B market cap as of Sep 4, 2026 (stockanalysis.com) | flags: dignity framing required - hearing-impa</t>
        </is>
      </c>
      <c r="M5" s="10" t="inlineStr">
        <is>
          <t>[VERIFIED NEW W3] "Hear every millisecond" - acoustic-engineering precision paired with trackside sound/telemetry storytelling; premium senior/affluent hearing-aid buyers. | Mega-cap ($17.3B), improving profitability (EBITA +17.3%), strong senior/aff</t>
        </is>
      </c>
    </row>
    <row r="6">
      <c r="A6" s="10" t="n">
        <v>3</v>
      </c>
      <c r="B6" s="10" t="inlineStr">
        <is>
          <t>W3</t>
        </is>
      </c>
      <c r="C6" s="10" t="inlineStr">
        <is>
          <t>42 Health &amp; Wellness</t>
        </is>
      </c>
      <c r="D6" s="10" t="n">
        <v>92</v>
      </c>
      <c r="E6" s="10" t="inlineStr">
        <is>
          <t>Fisher &amp; Paykel Healthcare</t>
        </is>
      </c>
      <c r="F6" s="10" t="inlineStr">
        <is>
          <t>fphcare.com</t>
        </is>
      </c>
      <c r="G6" s="10" t="inlineStr">
        <is>
          <t>New Zealand</t>
        </is>
      </c>
      <c r="H6" s="10" t="inlineStr">
        <is>
          <t>Respiratory humidification and sleep apnea (OSA) devices sold to hospitals and homecare patients</t>
        </is>
      </c>
      <c r="I6" s="10" t="inlineStr">
        <is>
          <t>5,000-10,000 (~7,000+ est)</t>
        </is>
      </c>
      <c r="J6" s="10" t="inlineStr">
        <is>
          <t>10k+</t>
        </is>
      </c>
      <c r="K6" s="10" t="inlineStr">
        <is>
          <t>verified-new</t>
        </is>
      </c>
      <c r="L6" s="10" t="inlineStr">
        <is>
          <t>FY2025 (year ended Mar 2025) total operating revenue NZD 2.02B (~$1.21B USD), +16% YoY, net profit +43% YoY to NZD 377.2M (WebSearch, fphcare.com record-results release) | ~NZD 22.65-23.34B / ~$13.6-14B USD market cap as of Apr-Jul 2026 (tradingecono</t>
        </is>
      </c>
      <c r="M6" s="10" t="inlineStr">
        <is>
          <t>[VERIFIED NEW W3] "Engineered breath, engineered speed" - humidification/respiratory airflow precision mirrored against race-car cooling/airflow engineering; hospital-grade credibility. | Record revenue (+16%) and profit (+43%) at mega-cap scale (~$1</t>
        </is>
      </c>
    </row>
    <row r="7">
      <c r="A7" s="10" t="n">
        <v>4</v>
      </c>
      <c r="B7" s="10" t="inlineStr">
        <is>
          <t>W3</t>
        </is>
      </c>
      <c r="C7" s="10" t="inlineStr">
        <is>
          <t>42 Health &amp; Wellness</t>
        </is>
      </c>
      <c r="D7" s="10" t="n">
        <v>92</v>
      </c>
      <c r="E7" s="10" t="inlineStr">
        <is>
          <t>Celltrion, Inc.</t>
        </is>
      </c>
      <c r="F7" s="10" t="inlineStr">
        <is>
          <t>celltrion.com</t>
        </is>
      </c>
      <c r="G7" s="10" t="inlineStr">
        <is>
          <t>South Korea</t>
        </is>
      </c>
      <c r="H7" s="10" t="inlineStr">
        <is>
          <t>Biosimilars (Remsima/infliximab, Truxima, Herzuma) sold globally to hospitals and health systems</t>
        </is>
      </c>
      <c r="I7" s="10" t="inlineStr">
        <is>
          <t>~3,500 (est., unverified this pass)</t>
        </is>
      </c>
      <c r="J7" s="10" t="inlineStr">
        <is>
          <t>1k-5k</t>
        </is>
      </c>
      <c r="K7" s="10" t="inlineStr">
        <is>
          <t>verified-new</t>
        </is>
      </c>
      <c r="L7" s="10" t="inlineStr">
        <is>
          <t>FY2025 consolidated revenue KRW4.16 trillion (~$2.84B), up 17% YoY - first time exceeding KRW4T; operating profit KRW1.16 trillion (~$817M), up 137.5% YoY, margin 28.1% - record results - source: Celltrion FY2025 earnings release | Market cap ~KRW42.</t>
        </is>
      </c>
      <c r="M7" s="10" t="inlineStr">
        <is>
          <t>[VERIFIED NEW W3] Global biosimilars-at-scale and precision-manufacturing narrative aimed at healthcare systems and investors across Celltrion's core US/EU/Asia markets | Mega-cap, record profitability, genuine global distribution scale, no F1 tie, a</t>
        </is>
      </c>
    </row>
    <row r="8">
      <c r="A8" s="10" t="n">
        <v>5</v>
      </c>
      <c r="B8" s="10" t="inlineStr">
        <is>
          <t>W3</t>
        </is>
      </c>
      <c r="C8" s="10" t="inlineStr">
        <is>
          <t>42 Health &amp; Wellness</t>
        </is>
      </c>
      <c r="D8" s="10" t="n">
        <v>92</v>
      </c>
      <c r="E8" s="10" t="inlineStr">
        <is>
          <t>Daiichi Sankyo Company, Limited</t>
        </is>
      </c>
      <c r="F8" s="10" t="inlineStr">
        <is>
          <t>daiichisankyo.com</t>
        </is>
      </c>
      <c r="G8" s="10" t="n"/>
      <c r="H8" s="10" t="n"/>
      <c r="I8" s="10" t="n"/>
      <c r="J8" s="10" t="inlineStr">
        <is>
          <t>unknown</t>
        </is>
      </c>
      <c r="K8" s="10" t="inlineStr">
        <is>
          <t>verified-new</t>
        </is>
      </c>
      <c r="L8" s="10" t="inlineStr">
        <is>
          <t xml:space="preserve"> |  | flags: Input's market cap estimate ($88-100B) was materially overstated versus verified ~$30-33B - use corrected figure for outreach sizing</t>
        </is>
      </c>
      <c r="M8" s="10" t="inlineStr">
        <is>
          <t xml:space="preserve">[VERIFIED NEW W3] Lead with Enhertu's global oncology momentum and Daiichi Sankyo's fastest-growing-large-pharma narrative; global reach and consistent double-digit growth make a strong sponsorship growth story. | </t>
        </is>
      </c>
    </row>
    <row r="9">
      <c r="A9" s="10" t="n">
        <v>6</v>
      </c>
      <c r="B9" s="10" t="inlineStr">
        <is>
          <t>W3</t>
        </is>
      </c>
      <c r="C9" s="10" t="inlineStr">
        <is>
          <t>42 Health &amp; Wellness</t>
        </is>
      </c>
      <c r="D9" s="10" t="n">
        <v>92</v>
      </c>
      <c r="E9" s="10" t="inlineStr">
        <is>
          <t>Sun Pharmaceutical Industries Ltd.</t>
        </is>
      </c>
      <c r="F9" s="10" t="inlineStr">
        <is>
          <t>sunpharma.com</t>
        </is>
      </c>
      <c r="G9" s="10" t="n"/>
      <c r="H9" s="10" t="n"/>
      <c r="I9" s="10" t="n"/>
      <c r="J9" s="10" t="inlineStr">
        <is>
          <t>unknown</t>
        </is>
      </c>
      <c r="K9" s="10" t="inlineStr">
        <is>
          <t>verified-new</t>
        </is>
      </c>
      <c r="L9" s="10" t="inlineStr">
        <is>
          <t xml:space="preserve"> |  | flags: No prior global motorsport sponsorship experience (cricket/IPL is its only major sports platform so far) - first F1 activation would be a step-change, not an extension</t>
        </is>
      </c>
      <c r="M9" s="10" t="inlineStr">
        <is>
          <t xml:space="preserve">[VERIFIED NEW W3] Pitch F1 as the natural global-stage extension of Sun Pharma's newly announced IPL/RCB sports sponsorship strategy, translating domestic cricket sponsorship success into international brand-building. | </t>
        </is>
      </c>
    </row>
    <row r="10">
      <c r="A10" s="10" t="n">
        <v>7</v>
      </c>
      <c r="B10" s="10" t="inlineStr">
        <is>
          <t>W3</t>
        </is>
      </c>
      <c r="C10" s="10" t="inlineStr">
        <is>
          <t>42 Health &amp; Wellness</t>
        </is>
      </c>
      <c r="D10" s="10" t="n">
        <v>92</v>
      </c>
      <c r="E10" s="10" t="inlineStr">
        <is>
          <t>Dr. Reddy's Laboratories Ltd.</t>
        </is>
      </c>
      <c r="F10" s="10" t="inlineStr">
        <is>
          <t>drreddys.com</t>
        </is>
      </c>
      <c r="G10" s="10" t="n"/>
      <c r="H10" s="10" t="n"/>
      <c r="I10" s="10" t="n"/>
      <c r="J10" s="10" t="inlineStr">
        <is>
          <t>unknown</t>
        </is>
      </c>
      <c r="K10" s="10" t="inlineStr">
        <is>
          <t>verified-new</t>
        </is>
      </c>
      <c r="L10" s="10" t="inlineStr">
        <is>
          <t xml:space="preserve"> |  | flags: Input's market cap estimate ($12B) was somewhat overstated versus verified ~$9.6-10.4B - use corrected figure</t>
        </is>
      </c>
      <c r="M10" s="10" t="inlineStr">
        <is>
          <t xml:space="preserve">[VERIFIED NEW W3] Position around global manufacturing/export scale and biosimilars growth story; emphasize multi-region revenue diversification as brand-safety rationale for a global platform like F1. | </t>
        </is>
      </c>
    </row>
    <row r="11">
      <c r="A11" s="10" t="n">
        <v>8</v>
      </c>
      <c r="B11" s="10" t="inlineStr">
        <is>
          <t>W3</t>
        </is>
      </c>
      <c r="C11" s="10" t="inlineStr">
        <is>
          <t>42 Health &amp; Wellness</t>
        </is>
      </c>
      <c r="D11" s="10" t="n">
        <v>92</v>
      </c>
      <c r="E11" s="10" t="inlineStr">
        <is>
          <t>Ipsen S.A.</t>
        </is>
      </c>
      <c r="F11" s="10" t="inlineStr">
        <is>
          <t>ipsen.com</t>
        </is>
      </c>
      <c r="G11" s="10" t="n"/>
      <c r="H11" s="10" t="n"/>
      <c r="I11" s="10" t="n"/>
      <c r="J11" s="10" t="inlineStr">
        <is>
          <t>unknown</t>
        </is>
      </c>
      <c r="K11" s="10" t="inlineStr">
        <is>
          <t>verified-new</t>
        </is>
      </c>
      <c r="L11" s="10" t="inlineStr">
        <is>
          <t xml:space="preserve"> |  | flags: Family-controlled (Mayroy) majority ownership - confirm sponsorship decisions can be made without extended family-holding approval chains; Input's market cap estimate ($11-12B) was understated versus verified ~$14.7-15.1B</t>
        </is>
      </c>
      <c r="M11" s="10" t="inlineStr">
        <is>
          <t xml:space="preserve">[VERIFIED NEW W3] Emphasize Ipsen's strong growth trajectory and margin expansion story, and its global specialty-pharma footprint spanning oncology, neuroscience and rare disease. | </t>
        </is>
      </c>
    </row>
    <row r="12">
      <c r="A12" s="10" t="n">
        <v>9</v>
      </c>
      <c r="B12" s="10" t="inlineStr">
        <is>
          <t>W3</t>
        </is>
      </c>
      <c r="C12" s="10" t="inlineStr">
        <is>
          <t>42 Health &amp; Wellness</t>
        </is>
      </c>
      <c r="D12" s="10" t="n">
        <v>92</v>
      </c>
      <c r="E12" s="10" t="inlineStr">
        <is>
          <t>The Cigna Group</t>
        </is>
      </c>
      <c r="F12" s="10" t="inlineStr">
        <is>
          <t>cigna.com</t>
        </is>
      </c>
      <c r="G12" s="10" t="n"/>
      <c r="H12" s="10" t="n"/>
      <c r="I12" s="10" t="n"/>
      <c r="J12" s="10" t="inlineStr">
        <is>
          <t>unknown</t>
        </is>
      </c>
      <c r="K12" s="10" t="inlineStr">
        <is>
          <t>verified-new</t>
        </is>
      </c>
      <c r="L12" s="10" t="inlineStr">
        <is>
          <t>FY2025 total revenue $275B (+11% YoY, includes Evernorth/Express Scripts PBM top line) - company press release |  | flags: dignity framing required - insurance/PBM messaging is sensitive for patients; figures partly estimated for exact Sept 2026 mark</t>
        </is>
      </c>
      <c r="M12" s="10" t="inlineStr">
        <is>
          <t>[VERIFIED NEW W3] Global health-services brand narrative tied to F1's international footprint - employer/traveler wellness programs, global workforce health, or team-logistics-adjacent health services messaging; avoid claims/insurance-specific conten</t>
        </is>
      </c>
    </row>
    <row r="13">
      <c r="A13" s="10" t="n">
        <v>10</v>
      </c>
      <c r="B13" s="10" t="inlineStr">
        <is>
          <t>W3</t>
        </is>
      </c>
      <c r="C13" s="10" t="inlineStr">
        <is>
          <t>42 Health &amp; Wellness</t>
        </is>
      </c>
      <c r="D13" s="10" t="n">
        <v>92</v>
      </c>
      <c r="E13" s="10" t="inlineStr">
        <is>
          <t>Haleon plc</t>
        </is>
      </c>
      <c r="F13" s="10" t="inlineStr">
        <is>
          <t>haleon.com</t>
        </is>
      </c>
      <c r="G13" s="10" t="n"/>
      <c r="H13" s="10" t="inlineStr">
        <is>
          <t>Consumer health (Sensodyne, Panadol, Advil, Centrum, Voltaren), GSK/Pfizer consumer-health spinoff (2022 IPO)</t>
        </is>
      </c>
      <c r="I13" s="10" t="n"/>
      <c r="J13" s="10" t="inlineStr">
        <is>
          <t>unknown</t>
        </is>
      </c>
      <c r="K13" s="10" t="inlineStr">
        <is>
          <t>verified-new</t>
        </is>
      </c>
      <c r="L13" s="10" t="inlineStr">
        <is>
          <t>£11.0B FY2025 (full-year results, reported ~Jan/Feb 2026); organic growth +3.0%, reported revenue down due to divestment of non-US Smokers' Health business and FX |  | flags: dignity framing required - avoid overmedicalized or fear-based OTC health m</t>
        </is>
      </c>
      <c r="M13" s="10" t="inlineStr">
        <is>
          <t>[VERIFIED NEW W3] Multi-brand activation across the F1 calendar - Centrum tied to driver/fan performance &amp; recovery content, Advil/Voltaren pain-relief recovery messaging at trackside, Sensodyne oral-health lifestyle campaigns - leveraging Haleon's b</t>
        </is>
      </c>
    </row>
    <row r="14">
      <c r="A14" s="10" t="n">
        <v>11</v>
      </c>
      <c r="B14" s="10" t="inlineStr">
        <is>
          <t>W3</t>
        </is>
      </c>
      <c r="C14" s="10" t="inlineStr">
        <is>
          <t>42 Health &amp; Wellness</t>
        </is>
      </c>
      <c r="D14" s="10" t="n">
        <v>84</v>
      </c>
      <c r="E14" s="10" t="inlineStr">
        <is>
          <t>Insulet Corporation</t>
        </is>
      </c>
      <c r="F14" s="10" t="inlineStr">
        <is>
          <t>insulet.com</t>
        </is>
      </c>
      <c r="G14" s="10" t="inlineStr">
        <is>
          <t>United States</t>
        </is>
      </c>
      <c r="H14" s="10" t="inlineStr">
        <is>
          <t>Omnipod tubeless insulin pump systems, sold to people with diabetes via endocrinologists/clinics and payers</t>
        </is>
      </c>
      <c r="I14" s="10" t="inlineStr">
        <is>
          <t>5,000-10,000 (~5,400 est)</t>
        </is>
      </c>
      <c r="J14" s="10" t="inlineStr">
        <is>
          <t>10k+</t>
        </is>
      </c>
      <c r="K14" s="10" t="inlineStr">
        <is>
          <t>verified-new</t>
        </is>
      </c>
      <c r="L14" s="10" t="inlineStr">
        <is>
          <t>FY2025 revenue $2.71B, +30.7% YoY; TTM revenue $2.90B (WebSearch, stockanalysis.com, Sep 2026) | ~$9.9B market cap as of Sep 16, 2026 (stockanalysis.com/Yahoo Finance); stock down ~59% from its Sep 2025 all-time high | flags: dignity framing required</t>
        </is>
      </c>
      <c r="M14" s="10" t="inlineStr">
        <is>
          <t>[VERIFIED NEW W3] "Precision under pressure" - Omnipod's real-time, split-second glucose management as a metaphor for race-day precision; patient-empowerment storytelling framed with dignity, not spectacle. | Profitable, fast-growing (+30.7%) precisi</t>
        </is>
      </c>
    </row>
    <row r="15">
      <c r="A15" s="10" t="n">
        <v>12</v>
      </c>
      <c r="B15" s="10" t="inlineStr">
        <is>
          <t>W3</t>
        </is>
      </c>
      <c r="C15" s="10" t="inlineStr">
        <is>
          <t>42 Health &amp; Wellness</t>
        </is>
      </c>
      <c r="D15" s="10" t="n">
        <v>84</v>
      </c>
      <c r="E15" s="10" t="inlineStr">
        <is>
          <t>Medacta Group SA</t>
        </is>
      </c>
      <c r="F15" s="10" t="inlineStr">
        <is>
          <t>medacta.com</t>
        </is>
      </c>
      <c r="G15" s="10" t="inlineStr">
        <is>
          <t>Switzerland</t>
        </is>
      </c>
      <c r="H15" s="10" t="inlineStr">
        <is>
          <t>Orthopedic implants (hip, knee, spine) sold to surgeons and hospitals</t>
        </is>
      </c>
      <c r="I15" s="10" t="inlineStr">
        <is>
          <t>1,000-5,000 (~2,700 est)</t>
        </is>
      </c>
      <c r="J15" s="10" t="inlineStr">
        <is>
          <t>5k-10k</t>
        </is>
      </c>
      <c r="K15" s="10" t="inlineStr">
        <is>
          <t>verified-new</t>
        </is>
      </c>
      <c r="L15" s="10" t="inlineStr">
        <is>
          <t>FY2025 revenue EUR 684M (~$739M USD), +18.5% constant-currency growth, net profit +31% YoY to EUR 95.5M (WebSearch, company press release) | ~$3.47B market cap as of May 2026 (PitchBook-cited) | flags: smaller-cap end of this wave ($3.47B) though com</t>
        </is>
      </c>
      <c r="M15" s="10" t="inlineStr">
        <is>
          <t>[VERIFIED NEW W3] "Engineered for a lifetime of performance" - personalized/robotic-assisted joint-implant precision positioned alongside race-grade materials engineering; premium surgeon-and-patient audience. | Fast-growing (+18.5%), profitable, com</t>
        </is>
      </c>
    </row>
    <row r="16">
      <c r="A16" s="10" t="n">
        <v>13</v>
      </c>
      <c r="B16" s="10" t="inlineStr">
        <is>
          <t>W3</t>
        </is>
      </c>
      <c r="C16" s="10" t="inlineStr">
        <is>
          <t>42 Health &amp; Wellness</t>
        </is>
      </c>
      <c r="D16" s="10" t="n">
        <v>84</v>
      </c>
      <c r="E16" s="10" t="inlineStr">
        <is>
          <t>Cochlear Limited</t>
        </is>
      </c>
      <c r="F16" s="10" t="inlineStr">
        <is>
          <t>cochlear.com</t>
        </is>
      </c>
      <c r="G16" s="10" t="inlineStr">
        <is>
          <t>Australia</t>
        </is>
      </c>
      <c r="H16" s="10" t="inlineStr">
        <is>
          <t>Cochlear implants sold to surgeons/hospitals for hearing-impaired patients</t>
        </is>
      </c>
      <c r="I16" s="10" t="inlineStr">
        <is>
          <t>1,000-5,000 (~4,700 est)</t>
        </is>
      </c>
      <c r="J16" s="10" t="inlineStr">
        <is>
          <t>5k-10k</t>
        </is>
      </c>
      <c r="K16" s="10" t="inlineStr">
        <is>
          <t>verified-new</t>
        </is>
      </c>
      <c r="L16" s="10" t="inlineStr">
        <is>
          <t>FY2025 (year ended Jun 2025) sales revenue AUD 2,355.8M (~$1.54B USD), +4% (+3% cc); implant revenue +11% to AUD 1,470.2M; underlying net profit AUD 392M, low end of guidance (WebSearch, ASX filing/company results) | ~AUD 8.91-8.98B / ~$5.9B USD mark</t>
        </is>
      </c>
      <c r="M16" s="10" t="inlineStr">
        <is>
          <t>[VERIFIED NEW W3] "Restoring performance at the highest level" - precision neural-audio engineering framed around life-restoration and patient dignity, not spectacle; pair with a patient-ambassador story rather than product hero shots. | Profitable g</t>
        </is>
      </c>
    </row>
    <row r="17">
      <c r="A17" s="10" t="n">
        <v>14</v>
      </c>
      <c r="B17" s="10" t="inlineStr">
        <is>
          <t>W3</t>
        </is>
      </c>
      <c r="C17" s="10" t="inlineStr">
        <is>
          <t>42 Health &amp; Wellness</t>
        </is>
      </c>
      <c r="D17" s="10" t="n">
        <v>84</v>
      </c>
      <c r="E17" s="10" t="inlineStr">
        <is>
          <t>Penumbra Inc.</t>
        </is>
      </c>
      <c r="F17" s="10" t="inlineStr">
        <is>
          <t>penumbrainc.com</t>
        </is>
      </c>
      <c r="G17" s="10" t="inlineStr">
        <is>
          <t>United States (Alameda, CA)</t>
        </is>
      </c>
      <c r="H17" s="10" t="inlineStr">
        <is>
          <t>Neurovascular and peripheral vascular thrombectomy devices (stroke/clot removal) sold to hospitals and interventionalist</t>
        </is>
      </c>
      <c r="I17" s="10" t="inlineStr">
        <is>
          <t>~4,000 (est., unverified this pass)</t>
        </is>
      </c>
      <c r="J17" s="10" t="inlineStr">
        <is>
          <t>1k-5k</t>
        </is>
      </c>
      <c r="K17" s="10" t="inlineStr">
        <is>
          <t>verified-new</t>
        </is>
      </c>
      <c r="L17" s="10" t="inlineStr">
        <is>
          <t>FY2025 revenue $1,403.7M (up 17.5% YoY) vs FY2024 $1,194.6M - source: Penumbra Q4/FY2025 earnings release. Above input's ~$1.16B FY2024 estimate | Market cap ~$13.97B as of mid-Sept 2026 (up from ~$12.5B in June 2026) - source: stockanalysis.com/comp</t>
        </is>
      </c>
      <c r="M17" s="10" t="inlineStr">
        <is>
          <t>[VERIFIED NEW W3] Position around F1's own safety-innovation lineage (halo, medical car, rapid-response protocols) paired with Penumbra's speed-to-treatment stroke technology - handled with careful, non-exploitative dignity framing | Mega-cap, high-g</t>
        </is>
      </c>
    </row>
    <row r="18">
      <c r="A18" s="10" t="n">
        <v>15</v>
      </c>
      <c r="B18" s="10" t="inlineStr">
        <is>
          <t>W3</t>
        </is>
      </c>
      <c r="C18" s="10" t="inlineStr">
        <is>
          <t>42 Health &amp; Wellness</t>
        </is>
      </c>
      <c r="D18" s="10" t="n">
        <v>84</v>
      </c>
      <c r="E18" s="10" t="inlineStr">
        <is>
          <t>Innovent Biologics</t>
        </is>
      </c>
      <c r="F18" s="10" t="inlineStr">
        <is>
          <t>innoventbio.com</t>
        </is>
      </c>
      <c r="G18" s="10" t="inlineStr">
        <is>
          <t>China (Suzhou/Hong Kong-listed)</t>
        </is>
      </c>
      <c r="H18" s="10" t="inlineStr">
        <is>
          <t>Oncology and biosimilar/GLP-1 drugs sold to hospitals in China plus global partnerships (Eli Lilly, Roche, Sanofi)</t>
        </is>
      </c>
      <c r="I18" s="10" t="inlineStr">
        <is>
          <t>~5,000+ (est., unverified this pass)</t>
        </is>
      </c>
      <c r="J18" s="10" t="inlineStr">
        <is>
          <t>5k-10k</t>
        </is>
      </c>
      <c r="K18" s="10" t="inlineStr">
        <is>
          <t>verified-new</t>
        </is>
      </c>
      <c r="L18" s="10" t="inlineStr">
        <is>
          <t>FY2025 revenue RMB13.0B (~$1.83B at ~7.1 RMB/USD), up 38.4% YoY (product revenue RMB11.9B, +44.6%); first full-year IFRS net profit of RMB814M (Non-IFRS net profit RMB1.72B) - source: Innovent 2025 Annual Results, March 2026 | Market cap ~HKD176.4B (</t>
        </is>
      </c>
      <c r="M18" s="10" t="inlineStr">
        <is>
          <t xml:space="preserve">[VERIFIED NEW W3] Lead with global partnership network (Lilly/Roche/Sanofi) and newly-achieved profitability as a maturity signal; frame growth story around global expansion rather than domestic-China messaging | Mega-cap, first full year of genuine </t>
        </is>
      </c>
    </row>
    <row r="19">
      <c r="A19" s="10" t="n">
        <v>16</v>
      </c>
      <c r="B19" s="10" t="inlineStr">
        <is>
          <t>W3</t>
        </is>
      </c>
      <c r="C19" s="10" t="inlineStr">
        <is>
          <t>42 Health &amp; Wellness</t>
        </is>
      </c>
      <c r="D19" s="10" t="n">
        <v>84</v>
      </c>
      <c r="E19" s="10" t="inlineStr">
        <is>
          <t>Hanmi Pharmaceutical Co.</t>
        </is>
      </c>
      <c r="F19" s="10" t="inlineStr">
        <is>
          <t>hanmipharm.com</t>
        </is>
      </c>
      <c r="G19" s="10" t="inlineStr">
        <is>
          <t>South Korea</t>
        </is>
      </c>
      <c r="H19" s="10" t="inlineStr">
        <is>
          <t>Oncology/obesity/rare-disease pipeline plus an established branded generics business, sold to hospitals/pharmacies in Ko</t>
        </is>
      </c>
      <c r="I19" s="10" t="inlineStr">
        <is>
          <t>~2,200 (est., unverified this pass)</t>
        </is>
      </c>
      <c r="J19" s="10" t="inlineStr">
        <is>
          <t>1k-5k</t>
        </is>
      </c>
      <c r="K19" s="10" t="inlineStr">
        <is>
          <t>verified-new</t>
        </is>
      </c>
      <c r="L19" s="10" t="inlineStr">
        <is>
          <t>FY2025 consolidated revenue KRW1.54 trillion (~$1.15B), up 3.5% YoY; operating profit KRW257.8B (~$191M, +19.2% YoY) - highest in company history, margin 16.7%; net profit KRW188.1B (+33.9% YoY) - source: Hanmi Pharmaceutical FY2025 results release |</t>
        </is>
      </c>
      <c r="M19" s="10" t="inlineStr">
        <is>
          <t>[VERIFIED NEW W3] Lead with the obesity/metabolic pipeline (a globally relevant, high-interest health story) backed by record profitability of the core generics business as financial proof point | Record profitability, resolved market-cap concern, mu</t>
        </is>
      </c>
    </row>
    <row r="20">
      <c r="A20" s="10" t="n">
        <v>17</v>
      </c>
      <c r="B20" s="10" t="inlineStr">
        <is>
          <t>W3</t>
        </is>
      </c>
      <c r="C20" s="10" t="inlineStr">
        <is>
          <t>42 Health &amp; Wellness</t>
        </is>
      </c>
      <c r="D20" s="10" t="n">
        <v>84</v>
      </c>
      <c r="E20" s="10" t="inlineStr">
        <is>
          <t>Chugai Pharmaceutical Co., Ltd.</t>
        </is>
      </c>
      <c r="F20" s="10" t="inlineStr">
        <is>
          <t>chugai-pharm.co.jp</t>
        </is>
      </c>
      <c r="G20" s="10" t="n"/>
      <c r="H20" s="10" t="n"/>
      <c r="I20" s="10" t="n"/>
      <c r="J20" s="10" t="inlineStr">
        <is>
          <t>unknown</t>
        </is>
      </c>
      <c r="K20" s="10" t="inlineStr">
        <is>
          <t>verified-new</t>
        </is>
      </c>
      <c r="L20" s="10" t="inlineStr">
        <is>
          <t xml:space="preserve"> |  | flags: Majority-owned by Roche (~61%) - confirm Chugai board has independent authority to approve sponsorship spend without Roche sign-off; B2B/institutional biologics business with limited direct consumer marketing history - may affect activat</t>
        </is>
      </c>
      <c r="M20" s="10" t="inlineStr">
        <is>
          <t>[VERIFIED NEW W3] Position around Chugai's global scientific leadership and Roche-partnered biologics royalty growth story; frame F1 as global-visibility platform matching its international (non-Japan) revenue ambitions - loop in confirmation of spon</t>
        </is>
      </c>
    </row>
    <row r="21">
      <c r="A21" s="10" t="n">
        <v>18</v>
      </c>
      <c r="B21" s="10" t="inlineStr">
        <is>
          <t>W3</t>
        </is>
      </c>
      <c r="C21" s="10" t="inlineStr">
        <is>
          <t>42 Health &amp; Wellness</t>
        </is>
      </c>
      <c r="D21" s="10" t="n">
        <v>84</v>
      </c>
      <c r="E21" s="10" t="inlineStr">
        <is>
          <t>Exelixis, Inc.</t>
        </is>
      </c>
      <c r="F21" s="10" t="inlineStr">
        <is>
          <t>exelixis.com</t>
        </is>
      </c>
      <c r="G21" s="10" t="n"/>
      <c r="H21" s="10" t="n"/>
      <c r="I21" s="10" t="n"/>
      <c r="J21" s="10" t="inlineStr">
        <is>
          <t>unknown</t>
        </is>
      </c>
      <c r="K21" s="10" t="inlineStr">
        <is>
          <t>verified-new</t>
        </is>
      </c>
      <c r="L21" s="10" t="inlineStr">
        <is>
          <t xml:space="preserve"> |  | flags: Revenue still concentrated in one drug franchise (Cabometyx) - monitor pipeline diversification (zanzalintinib); Input's market cap estimate ($8-9B) was understated versus verified ~$14.6B</t>
        </is>
      </c>
      <c r="M21" s="10" t="inlineStr">
        <is>
          <t xml:space="preserve">[VERIFIED NEW W3] Frame around Exelixis as a cash-rich, profitable biotech actively diversifying beyond Cabometyx via its pipeline (zanzalintinib) - a growth-and-innovation story. | </t>
        </is>
      </c>
    </row>
    <row r="22">
      <c r="A22" s="10" t="n">
        <v>19</v>
      </c>
      <c r="B22" s="10" t="inlineStr">
        <is>
          <t>W3</t>
        </is>
      </c>
      <c r="C22" s="10" t="inlineStr">
        <is>
          <t>42 Health &amp; Wellness</t>
        </is>
      </c>
      <c r="D22" s="10" t="n">
        <v>84</v>
      </c>
      <c r="E22" s="10" t="inlineStr">
        <is>
          <t>HCA Healthcare, Inc.</t>
        </is>
      </c>
      <c r="F22" s="10" t="inlineStr">
        <is>
          <t>hcahealthcare.com</t>
        </is>
      </c>
      <c r="G22" s="10" t="n"/>
      <c r="H22" s="10" t="n"/>
      <c r="I22" s="10" t="n"/>
      <c r="J22" s="10" t="inlineStr">
        <is>
          <t>unknown</t>
        </is>
      </c>
      <c r="K22" s="10" t="inlineStr">
        <is>
          <t>verified-new</t>
        </is>
      </c>
      <c r="L22" s="10" t="inlineStr">
        <is>
          <t>FY2025 revenue ~$75.6B (+7.08% YoY) - stockanalysis.com/Macrotrends, consistent with SEC 10-K/8-K filings |  | flags: dignity framing required - patient-facing hospital operator; avoid commodifying patient care in messaging; some figures are Sept 202</t>
        </is>
      </c>
      <c r="M22" s="10" t="inlineStr">
        <is>
          <t>[VERIFIED NEW W3] National brand visibility paired with a sports-medicine/trauma-care expertise or workforce-health innovation narrative; keep messaging institutional (care delivery innovation, community health investment) rather than patient-outcome</t>
        </is>
      </c>
    </row>
    <row r="23">
      <c r="A23" s="10" t="n">
        <v>20</v>
      </c>
      <c r="B23" s="10" t="inlineStr">
        <is>
          <t>W3</t>
        </is>
      </c>
      <c r="C23" s="10" t="inlineStr">
        <is>
          <t>42 Health &amp; Wellness</t>
        </is>
      </c>
      <c r="D23" s="10" t="n">
        <v>84</v>
      </c>
      <c r="E23" s="10" t="inlineStr">
        <is>
          <t>Tenet Healthcare Corporation</t>
        </is>
      </c>
      <c r="F23" s="10" t="inlineStr">
        <is>
          <t>tenethealth.com</t>
        </is>
      </c>
      <c r="G23" s="10" t="n"/>
      <c r="H23" s="10" t="n"/>
      <c r="I23" s="10" t="n"/>
      <c r="J23" s="10" t="inlineStr">
        <is>
          <t>unknown</t>
        </is>
      </c>
      <c r="K23" s="10" t="inlineStr">
        <is>
          <t>verified-new</t>
        </is>
      </c>
      <c r="L23" s="10" t="inlineStr">
        <is>
          <t>FY2025 revenue $21.3B, up from $20.7B in FY2024 - Becker's Hospital Review/company press release |  | flags: dignity framing required - patient-facing hospital operator; FY2024 net margin (15.5%) was inflated by a one-time $2.9B divestiture gain; FY2</t>
        </is>
      </c>
      <c r="M23" s="10" t="inlineStr">
        <is>
          <t xml:space="preserve">[VERIFIED NEW W3] Outpatient/ambulatory-surgery innovation and precision-of-care narrative (USPI network) - resonates with F1's efficiency/precision engineering identity; institutional framing, not patient-outcome messaging. | </t>
        </is>
      </c>
    </row>
    <row r="24">
      <c r="A24" s="10" t="n">
        <v>21</v>
      </c>
      <c r="B24" s="10" t="inlineStr">
        <is>
          <t>W3</t>
        </is>
      </c>
      <c r="C24" s="10" t="inlineStr">
        <is>
          <t>42 Health &amp; Wellness</t>
        </is>
      </c>
      <c r="D24" s="10" t="n">
        <v>84</v>
      </c>
      <c r="E24" s="10" t="inlineStr">
        <is>
          <t>Universal Health Services, Inc.</t>
        </is>
      </c>
      <c r="F24" s="10" t="inlineStr">
        <is>
          <t>uhsinc.com</t>
        </is>
      </c>
      <c r="G24" s="10" t="n"/>
      <c r="H24" s="10" t="n"/>
      <c r="I24" s="10" t="n"/>
      <c r="J24" s="10" t="inlineStr">
        <is>
          <t>unknown</t>
        </is>
      </c>
      <c r="K24" s="10" t="inlineStr">
        <is>
          <t>verified-new</t>
        </is>
      </c>
      <c r="L24" s="10" t="inlineStr">
        <is>
          <t>FY2025 revenue $17.4B (+9.7% YoY, up from $15.82B in FY2024) - company press release/2025 Annual Report |  | flags: dignity framing required - behavioral health is an especially sensitive patient population; messaging must avoid commodifying care; fi</t>
        </is>
      </c>
      <c r="M24" s="10" t="inlineStr">
        <is>
          <t>[VERIFIED NEW W3] Workforce/employee wellbeing and mental-health-aware framing (avoiding direct behavioral-health patient messaging) - could align with driver/team wellness or paddock mental-health initiatives, handled with strict dignity-first guard</t>
        </is>
      </c>
    </row>
    <row r="25">
      <c r="A25" s="10" t="n">
        <v>22</v>
      </c>
      <c r="B25" s="10" t="inlineStr">
        <is>
          <t>W3</t>
        </is>
      </c>
      <c r="C25" s="10" t="inlineStr">
        <is>
          <t>42 Health &amp; Wellness</t>
        </is>
      </c>
      <c r="D25" s="10" t="n">
        <v>84</v>
      </c>
      <c r="E25" s="10" t="inlineStr">
        <is>
          <t>Elevance Health, Inc.</t>
        </is>
      </c>
      <c r="F25" s="10" t="inlineStr">
        <is>
          <t>elevancehealth.com</t>
        </is>
      </c>
      <c r="G25" s="10" t="n"/>
      <c r="H25" s="10" t="n"/>
      <c r="I25" s="10" t="n"/>
      <c r="J25" s="10" t="inlineStr">
        <is>
          <t>unknown</t>
        </is>
      </c>
      <c r="K25" s="10" t="inlineStr">
        <is>
          <t>verified-new</t>
        </is>
      </c>
      <c r="L25" s="10" t="inlineStr">
        <is>
          <t xml:space="preserve">FY2025 revenue $199.1B (+13% YoY); TTM revenue as of Sept 2026 ~$201.1B - stockanalysis.com/company earnings releases |  | flags: dignity framing required - insurance/claims messaging is sensitive for patients; figures are largely confirmed but some </t>
        </is>
      </c>
      <c r="M25" s="10" t="inlineStr">
        <is>
          <t xml:space="preserve">[VERIFIED NEW W3] Population-health/wellness-technology innovation narrative rather than insurance-specific messaging - frame around preventive health, employer partnerships, and performance-oriented wellness programs that echo F1's high-performance </t>
        </is>
      </c>
    </row>
    <row r="26">
      <c r="A26" s="10" t="n">
        <v>23</v>
      </c>
      <c r="B26" s="10" t="inlineStr">
        <is>
          <t>W3</t>
        </is>
      </c>
      <c r="C26" s="10" t="inlineStr">
        <is>
          <t>42 Health &amp; Wellness</t>
        </is>
      </c>
      <c r="D26" s="10" t="n">
        <v>76</v>
      </c>
      <c r="E26" s="10" t="inlineStr">
        <is>
          <t>Coloplast A/S</t>
        </is>
      </c>
      <c r="F26" s="10" t="inlineStr">
        <is>
          <t>coloplast.com</t>
        </is>
      </c>
      <c r="G26" s="10" t="inlineStr">
        <is>
          <t>Denmark</t>
        </is>
      </c>
      <c r="H26" s="10" t="inlineStr">
        <is>
          <t>Ostomy, continence, wound and skin care products sold to hospitals and directly to patients</t>
        </is>
      </c>
      <c r="I26" s="10" t="inlineStr">
        <is>
          <t>10,000-25,000 (~15,000+ est)</t>
        </is>
      </c>
      <c r="J26" s="10" t="inlineStr">
        <is>
          <t>10k+</t>
        </is>
      </c>
      <c r="K26" s="10" t="inlineStr">
        <is>
          <t>verified-new</t>
        </is>
      </c>
      <c r="L26" s="10" t="inlineStr">
        <is>
          <t>TTM revenue $4.21B USD as of Dec 2025; FY2024/25 organic growth +7%, EBIT margin 28% (up from 27%) (WebSearch, coloplast.com FY2024/25 results) | ~$15.05B market cap as of May 7, 2026 (stockanalysis.com) | flags: dignity framing required - the highes</t>
        </is>
      </c>
      <c r="M26" s="10" t="inlineStr">
        <is>
          <t>[VERIFIED NEW W3] "Living without limits" - quiet-confidence, recovery-to-performance framing (never literal device imagery) aimed at care-partner/family audiences rather than spectacle. | Mega-cap ($15.05B), highly profitable and improving (28% marg</t>
        </is>
      </c>
    </row>
    <row r="27">
      <c r="A27" s="11" t="n">
        <v>24</v>
      </c>
      <c r="B27" s="11" t="inlineStr">
        <is>
          <t>W3</t>
        </is>
      </c>
      <c r="C27" s="11" t="inlineStr">
        <is>
          <t>42 Health &amp; Wellness</t>
        </is>
      </c>
      <c r="D27" s="11" t="n">
        <v>58</v>
      </c>
      <c r="E27" s="11" t="inlineStr">
        <is>
          <t>Sysmex Corporation</t>
        </is>
      </c>
      <c r="F27" s="11" t="inlineStr">
        <is>
          <t>sysmex.com</t>
        </is>
      </c>
      <c r="G27" s="11" t="inlineStr">
        <is>
          <t>Japan</t>
        </is>
      </c>
      <c r="H27" s="11" t="inlineStr">
        <is>
          <t>Hematology and diagnostic instruments/reagents sold to clinical laboratories</t>
        </is>
      </c>
      <c r="I27" s="11" t="inlineStr">
        <is>
          <t>10,000-25,000 (~10,000+ est)</t>
        </is>
      </c>
      <c r="J27" s="11" t="inlineStr">
        <is>
          <t>10k+</t>
        </is>
      </c>
      <c r="K27" s="11" t="inlineStr">
        <is>
          <t>verified-stretch</t>
        </is>
      </c>
      <c r="L27" s="11" t="inlineStr">
        <is>
          <t>FY2025 net sales JPY 508.6B (~$3.39B USD), operating margin 17.2%, overseas sales ratio 86.7% (WebSearch, investing.com earnings call transcript) | ~$6.2-7.2B market cap as of Aug 19, 2026 (sources diverge: stockanalysis.com $7.16B vs companiesmarket</t>
        </is>
      </c>
      <c r="M27" s="11" t="inlineStr">
        <is>
          <t>[VERIFIED NEW W3] "Laboratory-grade precision, race-grade stakes" - hematology/diagnostic analytical accuracy mirrored against F1 telemetry precision; hold for a quarter to confirm the restructuring has stabilized before committing spend. | Strong gl</t>
        </is>
      </c>
    </row>
    <row r="28">
      <c r="A28" s="11" t="n">
        <v>25</v>
      </c>
      <c r="B28" s="11" t="inlineStr">
        <is>
          <t>W3</t>
        </is>
      </c>
      <c r="C28" s="11" t="inlineStr">
        <is>
          <t>42 Health &amp; Wellness</t>
        </is>
      </c>
      <c r="D28" s="11" t="n">
        <v>58</v>
      </c>
      <c r="E28" s="11" t="inlineStr">
        <is>
          <t>Eisai Co., Ltd.</t>
        </is>
      </c>
      <c r="F28" s="11" t="inlineStr">
        <is>
          <t>eisai.com</t>
        </is>
      </c>
      <c r="G28" s="11" t="n"/>
      <c r="H28" s="11" t="n"/>
      <c r="I28" s="11" t="n"/>
      <c r="J28" s="11" t="inlineStr">
        <is>
          <t>unknown</t>
        </is>
      </c>
      <c r="K28" s="11" t="inlineStr">
        <is>
          <t>verified-stretch</t>
        </is>
      </c>
      <c r="L28" s="11" t="inlineStr">
        <is>
          <t xml:space="preserve"> |  | flags: Operating profit declined 18.8% YoY in FY2025 - monitor before committing multi-year sponsorship spend; Leqembi segment still loss-making despite revenue growth; Input's market cap estimate ($19-22B) was materially overstated versus veri</t>
        </is>
      </c>
      <c r="M28" s="11" t="inlineStr">
        <is>
          <t xml:space="preserve">[VERIFIED NEW W3] If pursued, frame around Leqembi's first-in-category Alzheimer's story and FY2026 recovery guidance (+63% Leqembi growth projected) rather than current-year financial strength. | </t>
        </is>
      </c>
    </row>
    <row r="29">
      <c r="A29" s="11" t="n">
        <v>26</v>
      </c>
      <c r="B29" s="11" t="inlineStr">
        <is>
          <t>W3</t>
        </is>
      </c>
      <c r="C29" s="11" t="inlineStr">
        <is>
          <t>42 Health &amp; Wellness</t>
        </is>
      </c>
      <c r="D29" s="11" t="n">
        <v>58</v>
      </c>
      <c r="E29" s="11" t="inlineStr">
        <is>
          <t>Divi's Laboratories Limited</t>
        </is>
      </c>
      <c r="F29" s="11" t="inlineStr">
        <is>
          <t>divislabs.com</t>
        </is>
      </c>
      <c r="G29" s="11" t="n"/>
      <c r="H29" s="11" t="n"/>
      <c r="I29" s="11" t="n"/>
      <c r="J29" s="11" t="inlineStr">
        <is>
          <t>unknown</t>
        </is>
      </c>
      <c r="K29" s="11" t="inlineStr">
        <is>
          <t>verified-stretch</t>
        </is>
      </c>
      <c r="L29" s="11" t="inlineStr">
        <is>
          <t xml:space="preserve"> |  | flags: Pure B2B/API manufacturer with no consumer-facing product or brand story - weakens the marketing rationale for a fan-facing platform like F1; Input's market cap estimate ($13B) was significantly understated versus verified ~$18.5B - use </t>
        </is>
      </c>
      <c r="M29" s="11" t="inlineStr">
        <is>
          <t xml:space="preserve">[VERIFIED NEW W3] If pursued, angle would need to be corporate/employer-brand and global quality-leadership positioning (attracting scientific talent, signaling manufacturing excellence to pharma partners) rather than a consumer product story. | </t>
        </is>
      </c>
    </row>
    <row r="30">
      <c r="A30" s="11" t="n">
        <v>27</v>
      </c>
      <c r="B30" s="11" t="inlineStr">
        <is>
          <t>W3</t>
        </is>
      </c>
      <c r="C30" s="11" t="inlineStr">
        <is>
          <t>42 Health &amp; Wellness</t>
        </is>
      </c>
      <c r="D30" s="11" t="n">
        <v>58</v>
      </c>
      <c r="E30" s="11" t="inlineStr">
        <is>
          <t>Krka, d.d.</t>
        </is>
      </c>
      <c r="F30" s="11" t="inlineStr">
        <is>
          <t>krka.biz</t>
        </is>
      </c>
      <c r="G30" s="11" t="n"/>
      <c r="H30" s="11" t="n"/>
      <c r="I30" s="11" t="n"/>
      <c r="J30" s="11" t="inlineStr">
        <is>
          <t>unknown</t>
        </is>
      </c>
      <c r="K30" s="11" t="inlineStr">
        <is>
          <t>verified-stretch</t>
        </is>
      </c>
      <c r="L30" s="11" t="inlineStr">
        <is>
          <t xml:space="preserve"> |  | flags: Minority Slovenian state ownership (~27% aggregate, higher than input's ~20% estimate) - confirm against state-owned exclusion policy before outreach; Input's market cap estimate ($4.9-5.4B) was understated versus verified ~$9.2B</t>
        </is>
      </c>
      <c r="M30" s="11" t="inlineStr">
        <is>
          <t xml:space="preserve">[VERIFIED NEW W3] If cleared on ownership, position around Krka's steady Central European generics leadership and brand-reach expansion ambitions; hold outreach pending state-ownership compliance confirmation. | </t>
        </is>
      </c>
    </row>
    <row r="31">
      <c r="A31" s="11" t="n">
        <v>28</v>
      </c>
      <c r="B31" s="11" t="inlineStr">
        <is>
          <t>W3</t>
        </is>
      </c>
      <c r="C31" s="11" t="inlineStr">
        <is>
          <t>42 Health &amp; Wellness</t>
        </is>
      </c>
      <c r="D31" s="11" t="n">
        <v>58</v>
      </c>
      <c r="E31" s="11" t="inlineStr">
        <is>
          <t>Insmed Incorporated</t>
        </is>
      </c>
      <c r="F31" s="11" t="inlineStr">
        <is>
          <t>insmed.com</t>
        </is>
      </c>
      <c r="G31" s="11" t="n"/>
      <c r="H31" s="11" t="n"/>
      <c r="I31" s="11" t="n"/>
      <c r="J31" s="11" t="inlineStr">
        <is>
          <t>unknown</t>
        </is>
      </c>
      <c r="K31" s="11" t="inlineStr">
        <is>
          <t>verified-stretch</t>
        </is>
      </c>
      <c r="L31" s="11" t="inlineStr">
        <is>
          <t>FY2025 Arikayce revenue exceeded guidance at &gt;$430M (+19% YoY); Brinsupri (launched Aug 2025) FY2026 revenue guidance raised to $1.25-1.4B with peak sales estimated &gt;$7B; Q2 2026 Brinsupri revenue alone was $309.2M - company press releases (prnewswir</t>
        </is>
      </c>
      <c r="M31" s="11" t="inlineStr">
        <is>
          <t xml:space="preserve">[VERIFIED NEW W3] High-growth biotech innovation story tied to a breakthrough drug launch - pairs well with F1's precision/performance narrative; any patient-facing content on rare respiratory disease should use dignity-first framing. | </t>
        </is>
      </c>
    </row>
    <row r="32">
      <c r="A32" s="11" t="n">
        <v>29</v>
      </c>
      <c r="B32" s="11" t="inlineStr">
        <is>
          <t>W3</t>
        </is>
      </c>
      <c r="C32" s="11" t="inlineStr">
        <is>
          <t>42 Health &amp; Wellness</t>
        </is>
      </c>
      <c r="D32" s="11" t="n">
        <v>52</v>
      </c>
      <c r="E32" s="11" t="inlineStr">
        <is>
          <t>Ambu A/S</t>
        </is>
      </c>
      <c r="F32" s="11" t="inlineStr">
        <is>
          <t>ambu.com</t>
        </is>
      </c>
      <c r="G32" s="11" t="inlineStr">
        <is>
          <t>Denmark</t>
        </is>
      </c>
      <c r="H32" s="11" t="inlineStr">
        <is>
          <t>Single-use endoscopes and diagnostic equipment sold to hospitals</t>
        </is>
      </c>
      <c r="I32" s="11" t="inlineStr">
        <is>
          <t>1,000-5,000 (~4,500 est)</t>
        </is>
      </c>
      <c r="J32" s="11" t="inlineStr">
        <is>
          <t>5k-10k</t>
        </is>
      </c>
      <c r="K32" s="11" t="inlineStr">
        <is>
          <t>verified-stretch</t>
        </is>
      </c>
      <c r="L32" s="11" t="inlineStr">
        <is>
          <t>TTM revenue $947M as of Mar 2026; FY2024/25 organic growth +13.1%, EBIT margin 13.0% (WebSearch, stockanalysis.com/ambu.com) | ~$2.9B-$3.6B market cap as of Aug 28, 2026 (sources diverge: stockanalysis.com ~$2.9B vs TradingView ~$3.62B) | flags: bord</t>
        </is>
      </c>
      <c r="M32" s="11" t="inlineStr">
        <is>
          <t>[VERIFIED NEW W3] "Get it right, every time" - single-use endoscopy precision (zero cross-contamination risk) as a parallel to zero-margin-for-error pit-stop execution; best pitched as a medical/technical partner tier, not a fan-facing brand campaign</t>
        </is>
      </c>
    </row>
    <row r="33">
      <c r="A33" s="11" t="n">
        <v>30</v>
      </c>
      <c r="B33" s="11" t="inlineStr">
        <is>
          <t>W3</t>
        </is>
      </c>
      <c r="C33" s="11" t="inlineStr">
        <is>
          <t>42 Health &amp; Wellness</t>
        </is>
      </c>
      <c r="D33" s="11" t="n">
        <v>52</v>
      </c>
      <c r="E33" s="11" t="inlineStr">
        <is>
          <t>Integer Holdings Corporation</t>
        </is>
      </c>
      <c r="F33" s="11" t="inlineStr">
        <is>
          <t>integer.net</t>
        </is>
      </c>
      <c r="G33" s="11" t="inlineStr">
        <is>
          <t>United States (Plano, TX)</t>
        </is>
      </c>
      <c r="H33" s="11" t="inlineStr">
        <is>
          <t>Contract design/manufacturing of medical device components (cardiac, neuromodulation, vascular) sold B2B to medtech OEMs</t>
        </is>
      </c>
      <c r="I33" s="11" t="inlineStr">
        <is>
          <t>~11,000 (est., unverified this pass)</t>
        </is>
      </c>
      <c r="J33" s="11" t="inlineStr">
        <is>
          <t>10k+</t>
        </is>
      </c>
      <c r="K33" s="11" t="inlineStr">
        <is>
          <t>verified-stretch</t>
        </is>
      </c>
      <c r="L33" s="11" t="inlineStr">
        <is>
          <t xml:space="preserve">FY2025 revenue $1.854B (up 8% YoY); FY2024 revenue $1,716.6M (up 10% YoY) - source: company FY2025 earnings release / SEC 10-K filings. Both figures above input's ~$1.7B FY2024 estimate | Market cap ~$4.3B (ITGR at ~$126/share) as of Sept 17, 2026 - </t>
        </is>
      </c>
      <c r="M33" s="11" t="inlineStr">
        <is>
          <t>[VERIFIED NEW W3] If pursued, frame around precision-engineering/reliability-under-stress parallels for a trade/B2B audience (medtech OEM customers, investors) rather than a consumer campaign | Financially solid and profitable with a workable precisi</t>
        </is>
      </c>
    </row>
    <row r="34">
      <c r="A34" s="11" t="n">
        <v>31</v>
      </c>
      <c r="B34" s="11" t="inlineStr">
        <is>
          <t>W3</t>
        </is>
      </c>
      <c r="C34" s="11" t="inlineStr">
        <is>
          <t>42 Health &amp; Wellness</t>
        </is>
      </c>
      <c r="D34" s="11" t="n">
        <v>52</v>
      </c>
      <c r="E34" s="11" t="inlineStr">
        <is>
          <t>M3, Inc.</t>
        </is>
      </c>
      <c r="F34" s="11" t="inlineStr">
        <is>
          <t>corporate.m3.com</t>
        </is>
      </c>
      <c r="G34" s="11" t="inlineStr">
        <is>
          <t>Japan</t>
        </is>
      </c>
      <c r="H34" s="11" t="inlineStr">
        <is>
          <t>Digital platform for physicians (medical information, pharma marketing, telemedicine, clinical trial support) sold to ph</t>
        </is>
      </c>
      <c r="I34" s="11" t="inlineStr">
        <is>
          <t>~7,000 (group, est., unverified this pass)</t>
        </is>
      </c>
      <c r="J34" s="11" t="inlineStr">
        <is>
          <t>5k-10k</t>
        </is>
      </c>
      <c r="K34" s="11" t="inlineStr">
        <is>
          <t>verified-stretch</t>
        </is>
      </c>
      <c r="L34" s="11" t="inlineStr">
        <is>
          <t>FY ended March 2025 (FY24) group revenue JPY 284.9B (~$1.9B at ~150 JPY/USD), up 19.3% YoY; operating profit JPY63.0B (down 2.2% YoY), net profit JPY44.3B (down 8.7% YoY) - source: M3 FY24Q4 tanshin filing. Revenue well above input's ~$1.2B estimate;</t>
        </is>
      </c>
      <c r="M34" s="11" t="inlineStr">
        <is>
          <t>[VERIFIED NEW W3] If pursued, position as a data/precision-in-medicine story targeting pharma industry decision-makers rather than a consumer campaign; Japan GP (Suzuka) hometown angle available | Profitable and global in reach but a B2B digital-heal</t>
        </is>
      </c>
    </row>
    <row r="35">
      <c r="A35" s="11" t="n">
        <v>32</v>
      </c>
      <c r="B35" s="11" t="inlineStr">
        <is>
          <t>W3</t>
        </is>
      </c>
      <c r="C35" s="11" t="inlineStr">
        <is>
          <t>42 Health &amp; Wellness</t>
        </is>
      </c>
      <c r="D35" s="11" t="n">
        <v>52</v>
      </c>
      <c r="E35" s="11" t="inlineStr">
        <is>
          <t>Legend Biotech Corporation</t>
        </is>
      </c>
      <c r="F35" s="11" t="inlineStr">
        <is>
          <t>legendbiotech.com</t>
        </is>
      </c>
      <c r="G35" s="11" t="inlineStr">
        <is>
          <t>United States (Somerset, NJ) / founded and majority-linked to China via GenScript</t>
        </is>
      </c>
      <c r="H35" s="11" t="inlineStr">
        <is>
          <t>Carvykti CAR-T cell therapy for multiple myeloma, co-commercialized globally with Johnson &amp; Johnson (Janssen) to hospita</t>
        </is>
      </c>
      <c r="I35" s="11" t="inlineStr">
        <is>
          <t>~3,000 (est., unverified this pass)</t>
        </is>
      </c>
      <c r="J35" s="11" t="inlineStr">
        <is>
          <t>1k-5k</t>
        </is>
      </c>
      <c r="K35" s="11" t="inlineStr">
        <is>
          <t>verified-stretch</t>
        </is>
      </c>
      <c r="L35" s="11" t="inlineStr">
        <is>
          <t>FY2025 CARVYKTI net trade sales ~$1.9B (up strongly YoY, Q4 2025 $555M, +66% YoY); CARVYKTI franchise achieved full-year profitability in 2025 (operating margin improved from -142% in Q2 2023 to -6% in Q4 2025); company-wide profitability targeted fo</t>
        </is>
      </c>
      <c r="M35" s="11" t="inlineStr">
        <is>
          <t>[VERIFIED NEW W3] If pursued, lead with the J&amp;J/Janssen global commercial partnership and innovation-in-cancer-treatment story rather than the GenScript/China angle, with dignity-first creative | Genuinely innovative, franchise-profitable cell-therap</t>
        </is>
      </c>
    </row>
    <row r="36">
      <c r="A36" s="11" t="n">
        <v>33</v>
      </c>
      <c r="B36" s="11" t="inlineStr">
        <is>
          <t>W3</t>
        </is>
      </c>
      <c r="C36" s="11" t="inlineStr">
        <is>
          <t>42 Health &amp; Wellness</t>
        </is>
      </c>
      <c r="D36" s="11" t="n">
        <v>52</v>
      </c>
      <c r="E36" s="11" t="inlineStr">
        <is>
          <t>Sichuan Kelun-Biotech Biopharmaceutical (Kelun-Biotech)</t>
        </is>
      </c>
      <c r="F36" s="11" t="inlineStr">
        <is>
          <t>kelun-biotech.com</t>
        </is>
      </c>
      <c r="G36" s="11" t="inlineStr">
        <is>
          <t>China (subsidiary of Sichuan Kelun Pharmaceutical Group, Hong Kong-listed)</t>
        </is>
      </c>
      <c r="H36" s="11" t="inlineStr">
        <is>
          <t>Antibody-drug conjugate (ADC) oncology pipeline, globally licensed to Merck &amp; Co. (MSD)</t>
        </is>
      </c>
      <c r="I36" s="11" t="inlineStr">
        <is>
          <t>~1,500 (est., unverified this pass)</t>
        </is>
      </c>
      <c r="J36" s="11" t="inlineStr">
        <is>
          <t>1k-5k</t>
        </is>
      </c>
      <c r="K36" s="11" t="inlineStr">
        <is>
          <t>verified-stretch</t>
        </is>
      </c>
      <c r="L36" s="11" t="inlineStr">
        <is>
          <t>FY2025 revenue RMB2,057.92M (~$290M at ~7.1 RMB/USD), driven mainly by Merck upfront/milestone payments ($175M upfront plus milestone payments); net loss RMB381.97M (wider than FY2024's RMB267M on an unadjusted basis), though adjusted loss narrowed f</t>
        </is>
      </c>
      <c r="M36" s="11" t="inlineStr">
        <is>
          <t>[VERIFIED NEW W3] If pursued, lead with the marquee Merck global partnership as third-party validation rather than standalone financials; low priority until revenue diversifies or profitability trend clarifies | Mega-cap by market size and a credible</t>
        </is>
      </c>
    </row>
    <row r="37">
      <c r="A37" s="11" t="n">
        <v>34</v>
      </c>
      <c r="B37" s="11" t="inlineStr">
        <is>
          <t>W3</t>
        </is>
      </c>
      <c r="C37" s="11" t="inlineStr">
        <is>
          <t>42 Health &amp; Wellness</t>
        </is>
      </c>
      <c r="D37" s="11" t="n">
        <v>52</v>
      </c>
      <c r="E37" s="11" t="inlineStr">
        <is>
          <t>Madrigal Pharmaceuticals, Inc.</t>
        </is>
      </c>
      <c r="F37" s="11" t="inlineStr">
        <is>
          <t>madrigalpharma.com</t>
        </is>
      </c>
      <c r="G37" s="11" t="n"/>
      <c r="H37" s="11" t="n"/>
      <c r="I37" s="11" t="n"/>
      <c r="J37" s="11" t="inlineStr">
        <is>
          <t>unknown</t>
        </is>
      </c>
      <c r="K37" s="11" t="inlineStr">
        <is>
          <t>verified-stretch</t>
        </is>
      </c>
      <c r="L37" s="11" t="inlineStr">
        <is>
          <t xml:space="preserve"> |  | flags: Company is not yet profitable despite fast-growing revenue - sponsorship spend capacity is a real near-term constraint; Single-product commercial-stage biotech (Rezdiffra) - revenue concentration risk</t>
        </is>
      </c>
      <c r="M37" s="11" t="inlineStr">
        <is>
          <t xml:space="preserve">[VERIFIED NEW W3] If pursued, position as the first-mover in the large new MASH/NASH category with a rapid revenue ramp story; best held for a later wave once profitability trends improve. | </t>
        </is>
      </c>
    </row>
    <row r="38">
      <c r="A38" s="11" t="n">
        <v>35</v>
      </c>
      <c r="B38" s="11" t="inlineStr">
        <is>
          <t>W3</t>
        </is>
      </c>
      <c r="C38" s="11" t="inlineStr">
        <is>
          <t>42 Health &amp; Wellness</t>
        </is>
      </c>
      <c r="D38" s="11" t="n">
        <v>52</v>
      </c>
      <c r="E38" s="11" t="inlineStr">
        <is>
          <t>Arrowhead Pharmaceuticals, Inc.</t>
        </is>
      </c>
      <c r="F38" s="11" t="inlineStr">
        <is>
          <t>arrowheadpharma.com</t>
        </is>
      </c>
      <c r="G38" s="11" t="n"/>
      <c r="H38" s="11" t="n"/>
      <c r="I38" s="11" t="n"/>
      <c r="J38" s="11" t="inlineStr">
        <is>
          <t>unknown</t>
        </is>
      </c>
      <c r="K38" s="11" t="inlineStr">
        <is>
          <t>verified-stretch</t>
        </is>
      </c>
      <c r="L38" s="11" t="inlineStr">
        <is>
          <t>FY2025 (ended Sept 30, 2025) revenue $829.45M, up from $3.55M prior year, driven substantially by a Novartis licensing/collaboration deal ($200M upfront) plus other partner milestones (Takeda, GSK); FY2026 Q1 net income $30.8M on the back of REDEMPLO</t>
        </is>
      </c>
      <c r="M38" s="11" t="inlineStr">
        <is>
          <t>[VERIFIED NEW W3] Precision RNAi science-meets-engineering narrative - frame around innovation velocity from lab discovery to first FDA-approved therapy, echoing F1's performance-engineering identity; content could spotlight R&amp;D/manufacturing precisi</t>
        </is>
      </c>
    </row>
    <row r="39">
      <c r="A39" s="11" t="n">
        <v>36</v>
      </c>
      <c r="B39" s="11" t="inlineStr">
        <is>
          <t>W3</t>
        </is>
      </c>
      <c r="C39" s="11" t="inlineStr">
        <is>
          <t>42 Health &amp; Wellness</t>
        </is>
      </c>
      <c r="D39" s="11" t="n">
        <v>52</v>
      </c>
      <c r="E39" s="11" t="inlineStr">
        <is>
          <t>Humana Inc.</t>
        </is>
      </c>
      <c r="F39" s="11" t="inlineStr">
        <is>
          <t>humana.com</t>
        </is>
      </c>
      <c r="G39" s="11" t="n"/>
      <c r="H39" s="11" t="inlineStr">
        <is>
          <t>Medicare Advantage-focused health insurer</t>
        </is>
      </c>
      <c r="I39" s="11" t="n"/>
      <c r="J39" s="11" t="inlineStr">
        <is>
          <t>unknown</t>
        </is>
      </c>
      <c r="K39" s="11" t="inlineStr">
        <is>
          <t>verified-stretch</t>
        </is>
      </c>
      <c r="L39" s="11" t="inlineStr">
        <is>
          <t>$129.66B FY2025 (10-K/Q4 2025 earnings release, filed ~Feb 2026) |  | flags: dignity framing required - senior/patient population; Medicare Advantage reimbursement/star-rating margin pressure - monitor; narrow demographic overlap between Medicare-age</t>
        </is>
      </c>
      <c r="M39" s="11" t="inlineStr">
        <is>
          <t>[VERIFIED NEW W3] Position around healthy-aging/longevity science content and CenterWell (primary care/pharmacy) rather than the insurance brand itself; consider a B2B employer-wellness or driver-longevity content partnership instead of consumer trac</t>
        </is>
      </c>
    </row>
    <row r="40">
      <c r="A40" s="11" t="n">
        <v>37</v>
      </c>
      <c r="B40" s="11" t="inlineStr">
        <is>
          <t>W3</t>
        </is>
      </c>
      <c r="C40" s="11" t="inlineStr">
        <is>
          <t>42 Health &amp; Wellness</t>
        </is>
      </c>
      <c r="D40" s="11" t="n">
        <v>52</v>
      </c>
      <c r="E40" s="11" t="inlineStr">
        <is>
          <t>IHH Healthcare Berhad</t>
        </is>
      </c>
      <c r="F40" s="11" t="inlineStr">
        <is>
          <t>ihhhealthcare.com</t>
        </is>
      </c>
      <c r="G40" s="11" t="n"/>
      <c r="H40" s="11" t="inlineStr">
        <is>
          <t>Asia's largest private hospital group (Gleneagles, Parkway, Fortis stake)</t>
        </is>
      </c>
      <c r="I40" s="11" t="n"/>
      <c r="J40" s="11" t="inlineStr">
        <is>
          <t>unknown</t>
        </is>
      </c>
      <c r="K40" s="11" t="inlineStr">
        <is>
          <t>verified-stretch</t>
        </is>
      </c>
      <c r="L40" s="11" t="inlineStr">
        <is>
          <t>RM25.74B FY2025 (~$5.6B est, company results reported ~March 2026) |  | flags: dignity framing required - patient-facing hospital group; minority state ownership (Khazanah Nasional ~26%, EPF ~13%) - flag, not majority; FX-driven profit volatility (ri</t>
        </is>
      </c>
      <c r="M40" s="11" t="inlineStr">
        <is>
          <t xml:space="preserve">[VERIFIED NEW W3] Singapore GP hospitality/medical-tourism tie-in, premium executive health-screening packaging for F1's affluent travelling fanbase, or a 'peak performance &amp; recovery' content partnership with F1 paddock sports-medicine angle. | </t>
        </is>
      </c>
    </row>
    <row r="41">
      <c r="A41" s="11" t="n">
        <v>38</v>
      </c>
      <c r="B41" s="11" t="inlineStr">
        <is>
          <t>W3</t>
        </is>
      </c>
      <c r="C41" s="11" t="inlineStr">
        <is>
          <t>42 Health &amp; Wellness</t>
        </is>
      </c>
      <c r="D41" s="11" t="n">
        <v>52</v>
      </c>
      <c r="E41" s="11" t="inlineStr">
        <is>
          <t>Apollo Hospitals Enterprise Limited</t>
        </is>
      </c>
      <c r="F41" s="11" t="inlineStr">
        <is>
          <t>apollohospitals.com</t>
        </is>
      </c>
      <c r="G41" s="11" t="n"/>
      <c r="H41" s="11" t="inlineStr">
        <is>
          <t>Largest India hospital chain, plus pharmacy retail (Apollo Pharmacy) and digital health (Apollo 24/7)</t>
        </is>
      </c>
      <c r="I41" s="11" t="n"/>
      <c r="J41" s="11" t="inlineStr">
        <is>
          <t>unknown</t>
        </is>
      </c>
      <c r="K41" s="11" t="inlineStr">
        <is>
          <t>verified-stretch</t>
        </is>
      </c>
      <c r="L41" s="11" t="inlineStr">
        <is>
          <t>₹25,228.5 crore FY2026 (year ended March 2026, ~$2.85B est, company results) |  | flags: dignity framing required - patient-facing hospital/pharmacy group; pending demerger of pharmacy distribution, Apollo 24/7 and telehealth into a new entity (Apoll</t>
        </is>
      </c>
      <c r="M41" s="11" t="inlineStr">
        <is>
          <t xml:space="preserve">[VERIFIED NEW W3] India market-growth story via Apollo 24/7 digital wellness content and Apollo Pharmacy consumer touchpoints rather than hospital-centric messaging; wait for demerger clarity before structuring a multi-year deal. | </t>
        </is>
      </c>
    </row>
    <row r="42">
      <c r="A42" s="11" t="n">
        <v>39</v>
      </c>
      <c r="B42" s="11" t="inlineStr">
        <is>
          <t>W3</t>
        </is>
      </c>
      <c r="C42" s="11" t="inlineStr">
        <is>
          <t>42 Health &amp; Wellness</t>
        </is>
      </c>
      <c r="D42" s="11" t="n">
        <v>52</v>
      </c>
      <c r="E42" s="11" t="inlineStr">
        <is>
          <t>Ramsay Health Care Limited</t>
        </is>
      </c>
      <c r="F42" s="11" t="inlineStr">
        <is>
          <t>ramsayhealth.com</t>
        </is>
      </c>
      <c r="G42" s="11" t="n"/>
      <c r="H42" s="11" t="inlineStr">
        <is>
          <t>Private hospital operator across Australia, UK, Europe and Asia</t>
        </is>
      </c>
      <c r="I42" s="11" t="n"/>
      <c r="J42" s="11" t="inlineStr">
        <is>
          <t>unknown</t>
        </is>
      </c>
      <c r="K42" s="11" t="inlineStr">
        <is>
          <t>verified-stretch</t>
        </is>
      </c>
      <c r="L42" s="11" t="inlineStr">
        <is>
          <t>A$17.8B FY2025 (year ended June 2025, ~$11.5B est, company results, 28 Aug 2025) |  | flags: post-COVID labor-cost pressure on margins - monitor; statutory net profit collapsed 82.4% FY2025 (financing costs/tax) even as underlying profit rose modestl</t>
        </is>
      </c>
      <c r="M42" s="11" t="inlineStr">
        <is>
          <t xml:space="preserve">[VERIFIED NEW W3] Melbourne GP home-market hospitality/community tie-in, or a paddock sports-medicine/recovery content partnership; avoid framing that reads as consumer entertainment given the patient-care core business. | </t>
        </is>
      </c>
    </row>
    <row r="43">
      <c r="A43" s="11" t="n">
        <v>40</v>
      </c>
      <c r="B43" s="11" t="inlineStr">
        <is>
          <t>W3</t>
        </is>
      </c>
      <c r="C43" s="11" t="inlineStr">
        <is>
          <t>42 Health &amp; Wellness</t>
        </is>
      </c>
      <c r="D43" s="11" t="n">
        <v>46</v>
      </c>
      <c r="E43" s="11" t="inlineStr">
        <is>
          <t>Akeso, Inc.</t>
        </is>
      </c>
      <c r="F43" s="11" t="inlineStr">
        <is>
          <t>akesobio.com</t>
        </is>
      </c>
      <c r="G43" s="11" t="inlineStr">
        <is>
          <t>China (Zhongshan/Hong Kong-listed)</t>
        </is>
      </c>
      <c r="H43" s="11" t="inlineStr">
        <is>
          <t>Bispecific antibody oncology (ivonescimab, partnered globally with Summit Therapeutics), sold to hospitals in China plus</t>
        </is>
      </c>
      <c r="I43" s="11" t="inlineStr">
        <is>
          <t>~2,000+ (est., unverified this pass)</t>
        </is>
      </c>
      <c r="J43" s="11" t="inlineStr">
        <is>
          <t>1k-5k</t>
        </is>
      </c>
      <c r="K43" s="11" t="inlineStr">
        <is>
          <t>verified-stretch</t>
        </is>
      </c>
      <c r="L43" s="11" t="inlineStr">
        <is>
          <t>FY2025 revenue RMB3,056.3M (~$430M at ~7.1 RMB/USD), up 43.9% YoY (commercial sales specifically up 51.5%); however net loss widened to RMB1,113.0M (~$155M) from RMB514.5M in 2024 - loss nearly doubled despite revenue growth, driven by R&amp;D/commercial</t>
        </is>
      </c>
      <c r="M43" s="11" t="inlineStr">
        <is>
          <t>[VERIFIED NEW W3] Low priority unless a future quarter shows loss narrowing; if pursued, frame around global licensing/Summit Therapeutics partnership rather than standalone China narrative | High-profile and mega-cap by size, but financials show a w</t>
        </is>
      </c>
    </row>
    <row r="44">
      <c r="A44" s="11" t="n">
        <v>41</v>
      </c>
      <c r="B44" s="11" t="inlineStr">
        <is>
          <t>W3</t>
        </is>
      </c>
      <c r="C44" s="11" t="inlineStr">
        <is>
          <t>42 Health &amp; Wellness</t>
        </is>
      </c>
      <c r="D44" s="11" t="n">
        <v>46</v>
      </c>
      <c r="E44" s="11" t="inlineStr">
        <is>
          <t>Zealand Pharma A/S</t>
        </is>
      </c>
      <c r="F44" s="11" t="inlineStr">
        <is>
          <t>zealandpharma.com</t>
        </is>
      </c>
      <c r="G44" s="11" t="inlineStr">
        <is>
          <t>Denmark</t>
        </is>
      </c>
      <c r="H44" s="11" t="inlineStr">
        <is>
          <t>Peptide-based biotech (obesity/GI pipeline - glepaglutide, dasiglucagon/Zegalogue via partners); Novo Nordisk partnershi</t>
        </is>
      </c>
      <c r="I44" s="11" t="inlineStr">
        <is>
          <t>~500 (est., unverified this pass)</t>
        </is>
      </c>
      <c r="J44" s="11" t="inlineStr">
        <is>
          <t>250-1k</t>
        </is>
      </c>
      <c r="K44" s="11" t="inlineStr">
        <is>
          <t>verified-stretch</t>
        </is>
      </c>
      <c r="L44" s="11" t="inlineStr">
        <is>
          <t xml:space="preserve">2024 revenue was DKK63M (Zegalogue license/development fees only). First nine months of 2025 revenue jumped to DKK9,145.9M, but this was overwhelmingly driven by a one-time Roche partnership upfront payment (signed March 2025), not recurring product </t>
        </is>
      </c>
      <c r="M44" s="11" t="inlineStr">
        <is>
          <t>[VERIFIED NEW W3] Low priority; if pursued, wait for clarity on Roche partnership economics and evidence of recurring revenue before framing an obesity/metabolic-health story | Borderline market cap, thin recurring revenue reliant on one-time partner</t>
        </is>
      </c>
    </row>
  </sheetData>
  <autoFilter ref="A3:M4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1"/>
  <sheetViews>
    <sheetView workbookViewId="0">
      <pane ySplit="3" topLeftCell="A4" activePane="bottomLeft" state="frozen"/>
      <selection pane="bottomLeft" activeCell="A1" sqref="A1"/>
    </sheetView>
  </sheetViews>
  <sheetFormatPr baseColWidth="8" defaultRowHeight="15"/>
  <cols>
    <col width="5" customWidth="1" min="1" max="1"/>
    <col width="7" customWidth="1" min="2" max="2"/>
    <col width="24" customWidth="1" min="3" max="3"/>
    <col width="9" customWidth="1" min="4" max="4"/>
    <col width="30" customWidth="1" min="5" max="5"/>
    <col width="22" customWidth="1" min="6" max="6"/>
    <col width="20" customWidth="1" min="7" max="7"/>
    <col width="40" customWidth="1" min="8" max="8"/>
    <col width="16" customWidth="1" min="9" max="9"/>
    <col width="10" customWidth="1" min="10" max="10"/>
    <col width="14" customWidth="1" min="11" max="11"/>
    <col width="60" customWidth="1" min="12" max="12"/>
    <col width="70" customWidth="1" min="13" max="13"/>
  </cols>
  <sheetData>
    <row r="1">
      <c r="A1" s="1" t="inlineStr">
        <is>
          <t>Wave 4 - Tech hardware / telecom - 18 brands</t>
        </is>
      </c>
    </row>
    <row r="2">
      <c r="A2" s="8" t="inlineStr">
        <is>
          <t>New brands only (not in the original master before this work). Blue = verified-new (all parameters pass), amber = verified-stretch. Source: F1-New-Brands-By-Wave-2026-09.xlsx tab "W4 Tech HW &amp; Telecom".</t>
        </is>
      </c>
    </row>
    <row r="3" ht="30" customHeight="1">
      <c r="A3" s="9" t="inlineStr">
        <is>
          <t>#</t>
        </is>
      </c>
      <c r="B3" s="9" t="inlineStr">
        <is>
          <t>wave</t>
        </is>
      </c>
      <c r="C3" s="9" t="inlineStr">
        <is>
          <t>sector_tab</t>
        </is>
      </c>
      <c r="D3" s="9" t="inlineStr">
        <is>
          <t>priority_score</t>
        </is>
      </c>
      <c r="E3" s="9" t="inlineStr">
        <is>
          <t>company</t>
        </is>
      </c>
      <c r="F3" s="9" t="inlineStr">
        <is>
          <t>domain</t>
        </is>
      </c>
      <c r="G3" s="9" t="inlineStr">
        <is>
          <t>hq_country</t>
        </is>
      </c>
      <c r="H3" s="9" t="inlineStr">
        <is>
          <t>niche</t>
        </is>
      </c>
      <c r="I3" s="9" t="inlineStr">
        <is>
          <t>employees_est</t>
        </is>
      </c>
      <c r="J3" s="9" t="inlineStr">
        <is>
          <t>size_band</t>
        </is>
      </c>
      <c r="K3" s="9" t="inlineStr">
        <is>
          <t>tag</t>
        </is>
      </c>
      <c r="L3" s="9" t="inlineStr">
        <is>
          <t>affordability</t>
        </is>
      </c>
      <c r="M3" s="9" t="inlineStr">
        <is>
          <t>why_f1</t>
        </is>
      </c>
    </row>
    <row r="4">
      <c r="A4" s="10" t="n">
        <v>1</v>
      </c>
      <c r="B4" s="10" t="inlineStr">
        <is>
          <t>W4</t>
        </is>
      </c>
      <c r="C4" s="10" t="inlineStr">
        <is>
          <t>05 HPC &amp; Supercomputing</t>
        </is>
      </c>
      <c r="D4" s="10" t="n">
        <v>92</v>
      </c>
      <c r="E4" s="10" t="inlineStr">
        <is>
          <t>GIGABYTE Technology Co., Ltd.</t>
        </is>
      </c>
      <c r="F4" s="10" t="inlineStr">
        <is>
          <t>gigabyte.com</t>
        </is>
      </c>
      <c r="G4" s="10" t="n"/>
      <c r="H4" s="10" t="inlineStr">
        <is>
          <t>PC motherboards, graphics cards and gaming laptops for consumers (AORUS brand); fast-growing AI/HPC server line for data</t>
        </is>
      </c>
      <c r="I4" s="10" t="n"/>
      <c r="J4" s="10" t="inlineStr">
        <is>
          <t>unknown</t>
        </is>
      </c>
      <c r="K4" s="10" t="inlineStr">
        <is>
          <t>verified-new</t>
        </is>
      </c>
      <c r="L4" s="10" t="inlineStr">
        <is>
          <t xml:space="preserve"> |  | flags: AI-server revenue is increasingly concentrated on Nvidia GPU allocation and a handful of hyperscaler customers -- a cyclical/customer-concentration risk typical of Taiwan AI-infrastructure suppliers if AI capex growth slows; Current spor</t>
        </is>
      </c>
      <c r="M4" s="10" t="inlineStr">
        <is>
          <t xml:space="preserve">[VERIFIED NEW W4] Pitch AORUS as an F1 team's official gaming-hardware/gaming-PC partner (natural sim-racing/gaming-audience crossover), paired with a 'power behind the data' angle tying in GIGABYTE's AI-server business for team engineering/strategy </t>
        </is>
      </c>
    </row>
    <row r="5">
      <c r="A5" s="10" t="n">
        <v>2</v>
      </c>
      <c r="B5" s="10" t="inlineStr">
        <is>
          <t>W4</t>
        </is>
      </c>
      <c r="C5" s="10" t="inlineStr">
        <is>
          <t>05 HPC &amp; Supercomputing</t>
        </is>
      </c>
      <c r="D5" s="10" t="n">
        <v>92</v>
      </c>
      <c r="E5" s="10" t="inlineStr">
        <is>
          <t>Accton Technology Corporation</t>
        </is>
      </c>
      <c r="F5" s="10" t="inlineStr">
        <is>
          <t>accton.com</t>
        </is>
      </c>
      <c r="G5" s="10" t="n"/>
      <c r="H5" s="10" t="inlineStr">
        <is>
          <t>Designs and manufactures high-speed Ethernet/white-box networking switches for hyperscale AI and cloud data centers</t>
        </is>
      </c>
      <c r="I5" s="10" t="n"/>
      <c r="J5" s="10" t="inlineStr">
        <is>
          <t>unknown</t>
        </is>
      </c>
      <c r="K5" s="10" t="inlineStr">
        <is>
          <t>verified-new</t>
        </is>
      </c>
      <c r="L5" s="10" t="inlineStr">
        <is>
          <t xml:space="preserve"> | ~NT$1.19T (~$37-40B, sources range $36.7-45.9B across 2026) market cap (TPE:2345), Aug-Sep 2026 -- up from $17.5B est Aug 2025 on explosive AI-networking demand | flags: No marketing/sponsorship track record found to date -- would be a first-time </t>
        </is>
      </c>
      <c r="M5" s="10" t="inlineStr">
        <is>
          <t>[VERIFIED NEW W4] AI-infrastructure/networking-backbone story -- "the switches behind the AI that powers race strategy" -- pitched as a technology partner riding the same AI-compute narrative that has already brought networking and server brands into</t>
        </is>
      </c>
    </row>
    <row r="6">
      <c r="A6" s="10" t="n">
        <v>3</v>
      </c>
      <c r="B6" s="10" t="inlineStr">
        <is>
          <t>W4</t>
        </is>
      </c>
      <c r="C6" s="10" t="inlineStr">
        <is>
          <t>25 IT Services &amp; Consulting</t>
        </is>
      </c>
      <c r="D6" s="10" t="n">
        <v>92</v>
      </c>
      <c r="E6" s="10" t="inlineStr">
        <is>
          <t>HCL Technologies Limited</t>
        </is>
      </c>
      <c r="F6" s="10" t="inlineStr">
        <is>
          <t>hcltech.com</t>
        </is>
      </c>
      <c r="G6" s="10" t="n"/>
      <c r="H6" s="10" t="inlineStr">
        <is>
          <t>IT services, engineering R&amp;D and enterprise software (HCLSoftware) for cloud/AI transformation, sold to global enterpris</t>
        </is>
      </c>
      <c r="I6" s="10" t="n"/>
      <c r="J6" s="10" t="inlineStr">
        <is>
          <t>unknown</t>
        </is>
      </c>
      <c r="K6" s="10" t="inlineStr">
        <is>
          <t>verified-new</t>
        </is>
      </c>
      <c r="L6" s="10" t="inlineStr">
        <is>
          <t xml:space="preserve"> | ~INR 3.6T (~$40B) market cap (NSE:HCLTECH), 18 Sep 2026 | flags: Needs confirmation of exact Ferrari deal end date and whether any exclusivity/non-compete lingers; As a former F1 sponsor, HCL already has internal buy-in and a proven willingness to</t>
        </is>
      </c>
      <c r="M6" s="10" t="inlineStr">
        <is>
          <t>[VERIFIED NEW W4] Win-back/re-engagement angle: HCL already knows the F1 sponsorship playbook and ROI from its Ferrari run -- pitch a fresh team partnership (framed around HCLSoftware's AI/cloud stack) as the next chapter, explicitly distinct from th</t>
        </is>
      </c>
    </row>
    <row r="7">
      <c r="A7" s="10" t="n">
        <v>4</v>
      </c>
      <c r="B7" s="10" t="inlineStr">
        <is>
          <t>W4</t>
        </is>
      </c>
      <c r="C7" s="10" t="inlineStr">
        <is>
          <t>34 DC Power &amp; Cooling</t>
        </is>
      </c>
      <c r="D7" s="10" t="n">
        <v>92</v>
      </c>
      <c r="E7" s="10" t="inlineStr">
        <is>
          <t>Asia Vital Components Co., Ltd. (AVC)</t>
        </is>
      </c>
      <c r="F7" s="10" t="inlineStr">
        <is>
          <t>avc.com.tw</t>
        </is>
      </c>
      <c r="G7" s="10" t="n"/>
      <c r="H7" s="10" t="inlineStr">
        <is>
          <t>Thermal management systems (fans, heat pipes, liquid cooling) for AI servers, GPUs and consumer electronics, sold to ser</t>
        </is>
      </c>
      <c r="I7" s="10" t="n"/>
      <c r="J7" s="10" t="inlineStr">
        <is>
          <t>unknown</t>
        </is>
      </c>
      <c r="K7" s="10" t="inlineStr">
        <is>
          <t>verified-new</t>
        </is>
      </c>
      <c r="L7" s="10" t="inlineStr">
        <is>
          <t xml:space="preserve"> | ~NT$1.16T (~$36B) market cap (TPE:3017), late Aug 2026 -- up sharply from $5.7B est Aug 2025 on AI-liquid-cooling demand | flags: No marketing/sponsorship history found -- first-time sponsor; High valuation re-rating tied to AI-cooling cycle -- du</t>
        </is>
      </c>
      <c r="M7" s="10" t="inlineStr">
        <is>
          <t xml:space="preserve">[VERIFIED NEW W4] "Precision thermal management" story -- same cooling discipline that keeps AI-GPU racks running at the edge applied to race-car and power-unit thermal performance; strong creative parallel for trackside/technical-partner content. | </t>
        </is>
      </c>
    </row>
    <row r="8">
      <c r="A8" s="10" t="n">
        <v>5</v>
      </c>
      <c r="B8" s="10" t="inlineStr">
        <is>
          <t>W4</t>
        </is>
      </c>
      <c r="C8" s="10" t="inlineStr">
        <is>
          <t>25 IT Services &amp; Consulting</t>
        </is>
      </c>
      <c r="D8" s="10" t="n">
        <v>84</v>
      </c>
      <c r="E8" s="10" t="inlineStr">
        <is>
          <t>Mphasis Limited</t>
        </is>
      </c>
      <c r="F8" s="10" t="inlineStr">
        <is>
          <t>mphasis.com</t>
        </is>
      </c>
      <c r="G8" s="10" t="n"/>
      <c r="H8" s="10" t="inlineStr">
        <is>
          <t>IT services and BPO with AI-led 'Front2Back' transformation offerings, mainly for banking/financial-services clients glo</t>
        </is>
      </c>
      <c r="I8" s="10" t="n"/>
      <c r="J8" s="10" t="inlineStr">
        <is>
          <t>unknown</t>
        </is>
      </c>
      <c r="K8" s="10" t="inlineStr">
        <is>
          <t>verified-new</t>
        </is>
      </c>
      <c r="L8" s="10" t="inlineStr">
        <is>
          <t xml:space="preserve"> | ~INR 43,900-44,300 crore (~$5.0B) market cap (NSE/BSE), 18 Sep 2026 | flags: PE (Blackstone) majority ownership may mean sponsorship budget decisions run through the financial sponsor, slowing approval; No sponsorship/marketing history found to da</t>
        </is>
      </c>
      <c r="M8" s="10" t="inlineStr">
        <is>
          <t>[VERIFIED NEW W4] B2B/client-hospitality angle for a global bank-facing brand -- position an F1 partnership as a trackside client-entertainment and brand-elevation platform to help win the large enterprise deals Mphasis is actively chasing (record $2</t>
        </is>
      </c>
    </row>
    <row r="9">
      <c r="A9" s="10" t="n">
        <v>6</v>
      </c>
      <c r="B9" s="10" t="inlineStr">
        <is>
          <t>W4</t>
        </is>
      </c>
      <c r="C9" s="10" t="inlineStr">
        <is>
          <t>48 Telecom &amp; Space</t>
        </is>
      </c>
      <c r="D9" s="10" t="n">
        <v>84</v>
      </c>
      <c r="E9" s="10" t="inlineStr">
        <is>
          <t>Koninklijke KPN N.V.</t>
        </is>
      </c>
      <c r="F9" s="10" t="inlineStr">
        <is>
          <t>kpn.com</t>
        </is>
      </c>
      <c r="G9" s="10" t="inlineStr">
        <is>
          <t>Rotterdam/The Hague, Netherlands</t>
        </is>
      </c>
      <c r="H9" s="10" t="inlineStr">
        <is>
          <t>Fixed and mobile telecom, fibre broadband and business connectivity in the Netherlands</t>
        </is>
      </c>
      <c r="I9" s="10" t="inlineStr">
        <is>
          <t>~10,600 (Mid-Enterprise)</t>
        </is>
      </c>
      <c r="J9" s="10" t="inlineStr">
        <is>
          <t>10k+</t>
        </is>
      </c>
      <c r="K9" s="10" t="inlineStr">
        <is>
          <t>verified-new</t>
        </is>
      </c>
      <c r="L9" s="10" t="inlineStr">
        <is>
          <t>€5.6B FY2024 (company reports); FY2025 service revenue +2.7% YoY, adj. EBITDAaL €2,636M (+5.1% YoY) (est) - search budget for exact FY2025 top-line figure | €15.09B market cap (~$17.3B) as of 18 Sep 2026 (stockanalysis.com) | flags: existing F1 broad</t>
        </is>
      </c>
      <c r="M9" s="10" t="inlineStr">
        <is>
          <t>[VERIFIED NEW W4] Dutch-market activation tying into Max Verstappen/Dutch GP fandom, building on KPN's existing F1-viewing promotions with customers - a natural bridge from content distributor to on-track partner. | No direct F1 sponsorship, no state</t>
        </is>
      </c>
    </row>
    <row r="10">
      <c r="A10" s="10" t="n">
        <v>7</v>
      </c>
      <c r="B10" s="10" t="inlineStr">
        <is>
          <t>W4</t>
        </is>
      </c>
      <c r="C10" s="10" t="inlineStr">
        <is>
          <t>48 Telecom &amp; Space</t>
        </is>
      </c>
      <c r="D10" s="10" t="n">
        <v>84</v>
      </c>
      <c r="E10" s="10" t="inlineStr">
        <is>
          <t>Tele2 AB</t>
        </is>
      </c>
      <c r="F10" s="10" t="inlineStr">
        <is>
          <t>tele2.com</t>
        </is>
      </c>
      <c r="G10" s="10" t="inlineStr">
        <is>
          <t>Stockholm, Sweden</t>
        </is>
      </c>
      <c r="H10" s="10" t="inlineStr">
        <is>
          <t>Mobile and broadband telecom services in Sweden and the Baltics</t>
        </is>
      </c>
      <c r="I10" s="10" t="inlineStr">
        <is>
          <t>~4,500 (Mid-Market)</t>
        </is>
      </c>
      <c r="J10" s="10" t="inlineStr">
        <is>
          <t>1k-5k</t>
        </is>
      </c>
      <c r="K10" s="10" t="inlineStr">
        <is>
          <t>verified-new</t>
        </is>
      </c>
      <c r="L10" s="10" t="inlineStr">
        <is>
          <t>SEK 29.89B (~$2.9B), FY2025, +1.0% YoY (macrotrends/company reports) | $12.26B market cap as of Aug 2026 (companiesmarketcap.com) - flagged as high relative to revenue scale vs. sector peers; verify against primary filings before use | flags: market-</t>
        </is>
      </c>
      <c r="M10" s="10" t="inlineStr">
        <is>
          <t>[VERIFIED NEW W4] Position as a challenger-brand telecom modernizing the Baltic/Nordic market - use F1's tech/precision positioning to reinforce a value-for-money, high-performance network story. | No F1 exposure, no state ownership, improving margin</t>
        </is>
      </c>
    </row>
    <row r="11">
      <c r="A11" s="10" t="n">
        <v>8</v>
      </c>
      <c r="B11" s="10" t="inlineStr">
        <is>
          <t>W4</t>
        </is>
      </c>
      <c r="C11" s="10" t="inlineStr">
        <is>
          <t>48 Telecom &amp; Space</t>
        </is>
      </c>
      <c r="D11" s="10" t="n">
        <v>84</v>
      </c>
      <c r="E11" s="10" t="inlineStr">
        <is>
          <t>PLDT Inc.</t>
        </is>
      </c>
      <c r="F11" s="10" t="inlineStr">
        <is>
          <t>pldt.com</t>
        </is>
      </c>
      <c r="G11" s="10" t="inlineStr">
        <is>
          <t>Makati, Philippines</t>
        </is>
      </c>
      <c r="H11" s="10" t="inlineStr">
        <is>
          <t>Mobile (Smart), broadband and enterprise telecom services in the Philippines</t>
        </is>
      </c>
      <c r="I11" s="10" t="inlineStr">
        <is>
          <t>~17,000 (parent) (Mid-Enterprise)</t>
        </is>
      </c>
      <c r="J11" s="10" t="inlineStr">
        <is>
          <t>10k+</t>
        </is>
      </c>
      <c r="K11" s="10" t="inlineStr">
        <is>
          <t>verified-new</t>
        </is>
      </c>
      <c r="L11" s="10" t="inlineStr">
        <is>
          <t>PHP 208B (~$3.7B), FY2024; TTM ~$3.8B through mid-2026 (company reports) | $3.97B market cap as of Sep 2026 (companiesmarketcap.com) | flags: indirect minority state-linkage via NTT DoCoMo/Communications (Japan's government owns ~1/3 of NTT's parent)</t>
        </is>
      </c>
      <c r="M11" s="10" t="inlineStr">
        <is>
          <t>[VERIFIED NEW W4] Southeast Asia growth-market activation - large latent F1 fanbase in the Philippines with no local team/driver tie yet; pair with Smart's 5G/digital-services push. | No direct F1 exposure, no material state ownership at the PLDT lev</t>
        </is>
      </c>
    </row>
    <row r="12">
      <c r="A12" s="10" t="n">
        <v>9</v>
      </c>
      <c r="B12" s="10" t="inlineStr">
        <is>
          <t>W4</t>
        </is>
      </c>
      <c r="C12" s="10" t="inlineStr">
        <is>
          <t>48 Telecom &amp; Space</t>
        </is>
      </c>
      <c r="D12" s="10" t="n">
        <v>84</v>
      </c>
      <c r="E12" s="10" t="inlineStr">
        <is>
          <t>SK Telecom Co., Ltd.</t>
        </is>
      </c>
      <c r="F12" s="10" t="inlineStr">
        <is>
          <t>sktelecom.com</t>
        </is>
      </c>
      <c r="G12" s="10" t="inlineStr">
        <is>
          <t>Seoul, South Korea</t>
        </is>
      </c>
      <c r="H12" s="10" t="inlineStr">
        <is>
          <t>Mobile telecom in South Korea plus AI services (A.) and data-center build-out</t>
        </is>
      </c>
      <c r="I12" s="10" t="inlineStr">
        <is>
          <t>~5,400 (parent) (Mid-Enterprise)</t>
        </is>
      </c>
      <c r="J12" s="10" t="inlineStr">
        <is>
          <t>5k-10k</t>
        </is>
      </c>
      <c r="K12" s="10" t="inlineStr">
        <is>
          <t>verified-new</t>
        </is>
      </c>
      <c r="L12" s="10" t="inlineStr">
        <is>
          <t>KRW 17.9T (~$13B) FY2024; KRW 17.10T (~$12B), FY2025, -4.7% YoY (stockanalysis.com/company reports) | $13.33B market cap as of 7 Aug 2026 (stockanalysis.com) | flags: FY2025 revenue down ~4.7% YoY; 2024 SIM-data breach (reputational/operational, reso</t>
        </is>
      </c>
      <c r="M12" s="10" t="inlineStr">
        <is>
          <t>[VERIFIED NEW W4] AI + telecom convergence story, plus a natural crossover from its T1 esports fanbase into motorsport/F1 audiences - APAC growth narrative. | Clean of F1 exposure and state ownership; revenue dip is a minor watch item against an othe</t>
        </is>
      </c>
    </row>
    <row r="13">
      <c r="A13" s="10" t="n">
        <v>10</v>
      </c>
      <c r="B13" s="10" t="inlineStr">
        <is>
          <t>W4</t>
        </is>
      </c>
      <c r="C13" s="10" t="inlineStr">
        <is>
          <t>48 Telecom &amp; Space</t>
        </is>
      </c>
      <c r="D13" s="10" t="n">
        <v>84</v>
      </c>
      <c r="E13" s="10" t="inlineStr">
        <is>
          <t>MTN Group Limited</t>
        </is>
      </c>
      <c r="F13" s="10" t="inlineStr">
        <is>
          <t>mtn.com</t>
        </is>
      </c>
      <c r="G13" s="10" t="inlineStr">
        <is>
          <t>Johannesburg, South Africa</t>
        </is>
      </c>
      <c r="H13" s="10" t="inlineStr">
        <is>
          <t>Mobile telecom and mobile-money (MoMo) services across ~19 African and Middle Eastern markets</t>
        </is>
      </c>
      <c r="I13" s="10" t="inlineStr">
        <is>
          <t>~19,000+ (Mid-Enterprise)</t>
        </is>
      </c>
      <c r="J13" s="10" t="inlineStr">
        <is>
          <t>10k+</t>
        </is>
      </c>
      <c r="K13" s="10" t="inlineStr">
        <is>
          <t>verified-new</t>
        </is>
      </c>
      <c r="L13" s="10" t="inlineStr">
        <is>
          <t>$13.66B, FY2025 (company reports); ZAR ~220B FY2024 (est) | $22-25.5B market cap, Jun-Aug 2026 range (companiesmarketcap.com/stockanalysis.com) | flags: state-minority: Public Investment Corporation (South African state pension manager) ~15-20% stake</t>
        </is>
      </c>
      <c r="M13" s="10" t="inlineStr">
        <is>
          <t xml:space="preserve">[VERIFIED NEW W4] Pan-African growth and MoMo digital-finance story; tie into F1's African market expansion push (South African GP/Kyalami revival talk) as a first-mover regional partner. | No F1 exposure, only minority (not majority) state linkage, </t>
        </is>
      </c>
    </row>
    <row r="14">
      <c r="A14" s="11" t="n">
        <v>11</v>
      </c>
      <c r="B14" s="11" t="inlineStr">
        <is>
          <t>W4</t>
        </is>
      </c>
      <c r="C14" s="11" t="inlineStr">
        <is>
          <t>25 IT Services &amp; Consulting</t>
        </is>
      </c>
      <c r="D14" s="11" t="n">
        <v>58</v>
      </c>
      <c r="E14" s="11" t="inlineStr">
        <is>
          <t>FPT Corporation</t>
        </is>
      </c>
      <c r="F14" s="11" t="inlineStr">
        <is>
          <t>fpt.com</t>
        </is>
      </c>
      <c r="G14" s="11" t="n"/>
      <c r="H14" s="11" t="inlineStr">
        <is>
          <t>Global IT/software outsourcing, domestic telecom/ISP, and AI infrastructure (built Vietnam's first Nvidia-powered AI Fac</t>
        </is>
      </c>
      <c r="I14" s="11" t="n"/>
      <c r="J14" s="11" t="inlineStr">
        <is>
          <t>unknown</t>
        </is>
      </c>
      <c r="K14" s="11" t="inlineStr">
        <is>
          <t>verified-stretch</t>
        </is>
      </c>
      <c r="L14" s="11" t="inlineStr">
        <is>
          <t xml:space="preserve"> |  | flags: Subsidiary FPT Telecom is majority (50.17%) owned by Vietnam's Ministry of Public Security -- political/optics sensitivity if activation routes through the telecom arm; parent FPT Corp itself is only minority (5.67%) state-held; Primaril</t>
        </is>
      </c>
      <c r="M14" s="11" t="inlineStr">
        <is>
          <t xml:space="preserve">[VERIFIED NEW W4] Lead with FPT's Nvidia-powered AI Factory / AI-infrastructure story (data &amp; analytics technology partner) rather than the telecom/ISP business, avoiding the state-owned subsidiary optics. | </t>
        </is>
      </c>
    </row>
    <row r="15">
      <c r="A15" s="11" t="n">
        <v>12</v>
      </c>
      <c r="B15" s="11" t="inlineStr">
        <is>
          <t>W4</t>
        </is>
      </c>
      <c r="C15" s="11" t="inlineStr">
        <is>
          <t>45 Electronic Parts</t>
        </is>
      </c>
      <c r="D15" s="11" t="n">
        <v>58</v>
      </c>
      <c r="E15" s="11" t="inlineStr">
        <is>
          <t>Omron Corporation</t>
        </is>
      </c>
      <c r="F15" s="11" t="inlineStr">
        <is>
          <t>omron.com</t>
        </is>
      </c>
      <c r="G15" s="11" t="n"/>
      <c r="H15" s="11" t="inlineStr">
        <is>
          <t>Industrial automation controllers/sensors, electronic components and health devices (blood-pressure monitors) sold to ma</t>
        </is>
      </c>
      <c r="I15" s="11" t="n"/>
      <c r="J15" s="11" t="inlineStr">
        <is>
          <t>unknown</t>
        </is>
      </c>
      <c r="K15" s="11" t="inlineStr">
        <is>
          <t>verified-stretch</t>
        </is>
      </c>
      <c r="L15" s="11" t="inlineStr">
        <is>
          <t xml:space="preserve"> |  | flags: Restructuring completed only recently (2023-25); monitor for any renewed cost-cutting given weak factory-automation demand cycles; Core brand is B2B industrial automation, which has less direct F1 marketing relevance than the health-devi</t>
        </is>
      </c>
      <c r="M15" s="11" t="inlineStr">
        <is>
          <t xml:space="preserve">[VERIFIED NEW W4] Lead with OMRON's consumer health-tech brand (blood-pressure/heart-health monitors) for a global awareness campaign tied to driver health/performance-monitoring storylines, sidestepping the industrial-automation image. | </t>
        </is>
      </c>
    </row>
    <row r="16">
      <c r="A16" s="11" t="n">
        <v>13</v>
      </c>
      <c r="B16" s="11" t="inlineStr">
        <is>
          <t>W4</t>
        </is>
      </c>
      <c r="C16" s="11" t="inlineStr">
        <is>
          <t>05 HPC &amp; Supercomputing</t>
        </is>
      </c>
      <c r="D16" s="11" t="n">
        <v>52</v>
      </c>
      <c r="E16" s="11" t="inlineStr">
        <is>
          <t>King Slide Works Co., Ltd.</t>
        </is>
      </c>
      <c r="F16" s="11" t="inlineStr">
        <is>
          <t>kingslide.com.tw</t>
        </is>
      </c>
      <c r="G16" s="11" t="n"/>
      <c r="H16" s="11" t="inlineStr">
        <is>
          <t>World-leading precision slide-rail systems for server racks and storage, sold to server ODMs (Dell, HPE, Foxconn, Quanta</t>
        </is>
      </c>
      <c r="I16" s="11" t="n"/>
      <c r="J16" s="11" t="inlineStr">
        <is>
          <t>unknown</t>
        </is>
      </c>
      <c r="K16" s="11" t="inlineStr">
        <is>
          <t>verified-stretch</t>
        </is>
      </c>
      <c r="L16" s="11" t="inlineStr">
        <is>
          <t xml:space="preserve"> | ~NT$1.12-1.15T (~$35B) market cap (TPE:2059, stockanalysis.com/TradingView, mid-Sep 2026) -- up sharply (~+250% YoY) from $7B est Aug 2025 on AI-server rack re-rating | flags: Extremely high market-cap-to-revenue multiple (bubble risk) -- durabili</t>
        </is>
      </c>
      <c r="M16" s="11" t="inlineStr">
        <is>
          <t>[VERIFIED NEW W4] Position as part of the AI-datacenter supply-chain story alongside networking/cooling partners (rack infrastructure powering the compute behind team simulation/strategy tools) -- a co-branded technical-supplier narrative rather than</t>
        </is>
      </c>
    </row>
    <row r="17">
      <c r="A17" s="11" t="n">
        <v>14</v>
      </c>
      <c r="B17" s="11" t="inlineStr">
        <is>
          <t>W4</t>
        </is>
      </c>
      <c r="C17" s="11" t="inlineStr">
        <is>
          <t>27 Chip Makers</t>
        </is>
      </c>
      <c r="D17" s="11" t="n">
        <v>52</v>
      </c>
      <c r="E17" s="11" t="inlineStr">
        <is>
          <t>SK Square Co., Ltd.</t>
        </is>
      </c>
      <c r="F17" s="11" t="inlineStr">
        <is>
          <t>sksquare.com</t>
        </is>
      </c>
      <c r="G17" s="11" t="n"/>
      <c r="H17" s="11" t="inlineStr">
        <is>
          <t xml:space="preserve">Investment holding company spun off from SK Telecom; holds ~20% of SK Hynix (AI memory chips) plus stakes in e-commerce </t>
        </is>
      </c>
      <c r="I17" s="11" t="n"/>
      <c r="J17" s="11" t="inlineStr">
        <is>
          <t>unknown</t>
        </is>
      </c>
      <c r="K17" s="11" t="inlineStr">
        <is>
          <t>verified-stretch</t>
        </is>
      </c>
      <c r="L17" s="11" t="inlineStr">
        <is>
          <t xml:space="preserve"> |  | flags: Pure holding-company structure -- value is driven almost entirely by the SK Hynix stake, not an operating business, so marketing/sponsorship budget authority likely sits with subsidiary brands (SK hynix, SK Telecom) rather than the paren</t>
        </is>
      </c>
      <c r="M17" s="11" t="inlineStr">
        <is>
          <t>[VERIFIED NEW W4] Redirect the pitch to SK hynix (the actual operating semiconductor brand riding the AI-memory wave) rather than the holding company; alternatively, position SK Square/T1 for an F1 esports/sim-racing crossover activation leveraging i</t>
        </is>
      </c>
    </row>
    <row r="18">
      <c r="A18" s="11" t="n">
        <v>15</v>
      </c>
      <c r="B18" s="11" t="inlineStr">
        <is>
          <t>W4</t>
        </is>
      </c>
      <c r="C18" s="11" t="inlineStr">
        <is>
          <t>29 Tech Media &amp; Gaming</t>
        </is>
      </c>
      <c r="D18" s="11" t="n">
        <v>52</v>
      </c>
      <c r="E18" s="11" t="inlineStr">
        <is>
          <t>Prosus N.V.</t>
        </is>
      </c>
      <c r="F18" s="11" t="inlineStr">
        <is>
          <t>prosus.com</t>
        </is>
      </c>
      <c r="G18" s="11" t="n"/>
      <c r="H18" s="11" t="inlineStr">
        <is>
          <t xml:space="preserve">Global internet/technology investment holding operating and investing in classifieds, food delivery (iFood), edtech and </t>
        </is>
      </c>
      <c r="I18" s="11" t="n"/>
      <c r="J18" s="11" t="inlineStr">
        <is>
          <t>unknown</t>
        </is>
      </c>
      <c r="K18" s="11" t="inlineStr">
        <is>
          <t>verified-stretch</t>
        </is>
      </c>
      <c r="L18" s="11" t="inlineStr">
        <is>
          <t xml:space="preserve"> | ~EUR77B (~$83B) market cap on its primary Amsterdam listing (PRX.AS), mid-Sep 2026; some data aggregators show figures as high as ~$194B where Naspers/Prosus cross-holdings are double-counted -- mega-cap either way | flags: Corporate holding-compa</t>
        </is>
      </c>
      <c r="M18" s="11" t="inlineStr">
        <is>
          <t>[VERIFIED NEW W4] Do not pitch the Prosus corporate name directly -- instead approach a flagship, newly-profitable portfolio brand (e.g., iFood in Brazil/LatAm, or a classifieds/fintech asset in an F1-relevant market) for a regional sponsorship, with</t>
        </is>
      </c>
    </row>
    <row r="19">
      <c r="A19" s="11" t="n">
        <v>16</v>
      </c>
      <c r="B19" s="11" t="inlineStr">
        <is>
          <t>W4</t>
        </is>
      </c>
      <c r="C19" s="11" t="inlineStr">
        <is>
          <t>45 Electronic Parts</t>
        </is>
      </c>
      <c r="D19" s="11" t="n">
        <v>52</v>
      </c>
      <c r="E19" s="11" t="inlineStr">
        <is>
          <t>Johnson Electric Holdings Limited</t>
        </is>
      </c>
      <c r="F19" s="11" t="inlineStr">
        <is>
          <t>johnsonelectric.com</t>
        </is>
      </c>
      <c r="G19" s="11" t="n"/>
      <c r="H19" s="11" t="inlineStr">
        <is>
          <t>World's largest maker of micro electric motors and motion subsystems for automotive, industrial and consumer-electronics</t>
        </is>
      </c>
      <c r="I19" s="11" t="n"/>
      <c r="J19" s="11" t="inlineStr">
        <is>
          <t>unknown</t>
        </is>
      </c>
      <c r="K19" s="11" t="inlineStr">
        <is>
          <t>verified-stretch</t>
        </is>
      </c>
      <c r="L19" s="11" t="inlineStr">
        <is>
          <t xml:space="preserve"> | ~HK$19.4B / ~$2.5B market cap (0179.HK, Investing.com, 20 Sep 2026) -- down from $4.1B est Aug 2025 | flags: Below $3B market-cap floor at current pricing -- reverify closer to outreach; Zero brand-marketing/sponsorship history of any kind (pure O</t>
        </is>
      </c>
      <c r="M19" s="11" t="inlineStr">
        <is>
          <t>[VERIFIED NEW W4] If pursued, angle as a precision-motion/automotive-technology partner story (motors/actuators powering EV and industrial systems) rather than a brand-marketing sponsorship; better suited to a technical partner tier than a primary sp</t>
        </is>
      </c>
    </row>
    <row r="20">
      <c r="A20" s="11" t="n">
        <v>17</v>
      </c>
      <c r="B20" s="11" t="inlineStr">
        <is>
          <t>W4</t>
        </is>
      </c>
      <c r="C20" s="11" t="inlineStr">
        <is>
          <t>48 Telecom &amp; Space</t>
        </is>
      </c>
      <c r="D20" s="11" t="n">
        <v>52</v>
      </c>
      <c r="E20" s="11" t="inlineStr">
        <is>
          <t>BT Group plc</t>
        </is>
      </c>
      <c r="F20" s="11" t="inlineStr">
        <is>
          <t>bt.com</t>
        </is>
      </c>
      <c r="G20" s="11" t="inlineStr">
        <is>
          <t>London, United Kingdom</t>
        </is>
      </c>
      <c r="H20" s="11" t="inlineStr">
        <is>
          <t>Fixed broadband, mobile (EE), and enterprise/wholesale telecom (Openreach) to UK consumers and businesses</t>
        </is>
      </c>
      <c r="I20" s="11" t="inlineStr">
        <is>
          <t>~130,000 (Enterprise; falling under restructuring)</t>
        </is>
      </c>
      <c r="J20" s="11" t="inlineStr">
        <is>
          <t>10k+</t>
        </is>
      </c>
      <c r="K20" s="11" t="inlineStr">
        <is>
          <t>verified-stretch</t>
        </is>
      </c>
      <c r="L20" s="11" t="inlineStr">
        <is>
          <t>£20.8B, FY2024/25 (company annual report) | £20.75B market cap (~$27B) as of 20 Sep 2026 (London Stock Exchange) | flags: cost-cutting watch: ~55,000 net job cuts targeted by 2030; lapsed F1 tie could read as 'been there, didn't renew'</t>
        </is>
      </c>
      <c r="M20" s="11" t="inlineStr">
        <is>
          <t>[VERIFIED NEW W4] Revive the BT-Williams F1 precedent (2015-2018 connectivity/data partnership) as proof of category fit; pitch Openreach/EE 5G and network-reliability story rather than a straight brand sponsorship, sized to fit restructuring-constra</t>
        </is>
      </c>
    </row>
    <row r="21">
      <c r="A21" s="11" t="n">
        <v>18</v>
      </c>
      <c r="B21" s="11" t="inlineStr">
        <is>
          <t>W4</t>
        </is>
      </c>
      <c r="C21" s="11" t="inlineStr">
        <is>
          <t>48 Telecom &amp; Space</t>
        </is>
      </c>
      <c r="D21" s="11" t="n">
        <v>52</v>
      </c>
      <c r="E21" s="11" t="inlineStr">
        <is>
          <t>Telia Company AB</t>
        </is>
      </c>
      <c r="F21" s="11" t="inlineStr">
        <is>
          <t>teliacompany.com</t>
        </is>
      </c>
      <c r="G21" s="11" t="inlineStr">
        <is>
          <t>Solna, Sweden</t>
        </is>
      </c>
      <c r="H21" s="11" t="inlineStr">
        <is>
          <t>Mobile and fixed telecom across Sweden, Finland and the Baltics</t>
        </is>
      </c>
      <c r="I21" s="11" t="inlineStr">
        <is>
          <t>~11,500 (Mid-Enterprise)</t>
        </is>
      </c>
      <c r="J21" s="11" t="inlineStr">
        <is>
          <t>10k+</t>
        </is>
      </c>
      <c r="K21" s="11" t="inlineStr">
        <is>
          <t>verified-stretch</t>
        </is>
      </c>
      <c r="L21" s="11" t="inlineStr">
        <is>
          <t>SEK 88B (~$8.4B), FY2024 (company reports) | $19.5B market cap (SEK 175.29B) as of Feb 2026 (stockanalysis.com / tradingeconomics) | flags: state-minority: Swedish government ~37-39% stake (largest shareholder); legacy Eurasia corruption settlement (</t>
        </is>
      </c>
      <c r="M21" s="11" t="inlineStr">
        <is>
          <t>[VERIFIED NEW W4] Nordic/Baltic 5G and network-reliability narrative; frame the state stake as a governance strength (post-settlement compliance overhaul) rather than a liability. | Clean of F1 conflicts and not majority state-owned, but the large mi</t>
        </is>
      </c>
    </row>
  </sheetData>
  <autoFilter ref="A3:M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3"/>
  <sheetViews>
    <sheetView workbookViewId="0">
      <pane ySplit="3" topLeftCell="A4" activePane="bottomLeft" state="frozen"/>
      <selection pane="bottomLeft" activeCell="A1" sqref="A1"/>
    </sheetView>
  </sheetViews>
  <sheetFormatPr baseColWidth="8" defaultRowHeight="15"/>
  <cols>
    <col width="5" customWidth="1" min="1" max="1"/>
    <col width="7" customWidth="1" min="2" max="2"/>
    <col width="24" customWidth="1" min="3" max="3"/>
    <col width="9" customWidth="1" min="4" max="4"/>
    <col width="30" customWidth="1" min="5" max="5"/>
    <col width="22" customWidth="1" min="6" max="6"/>
    <col width="20" customWidth="1" min="7" max="7"/>
    <col width="40" customWidth="1" min="8" max="8"/>
    <col width="16" customWidth="1" min="9" max="9"/>
    <col width="10" customWidth="1" min="10" max="10"/>
    <col width="14" customWidth="1" min="11" max="11"/>
    <col width="60" customWidth="1" min="12" max="12"/>
    <col width="70" customWidth="1" min="13" max="13"/>
  </cols>
  <sheetData>
    <row r="1">
      <c r="A1" s="1" t="inlineStr">
        <is>
          <t>Wave 5 - Software residue - 10 brands</t>
        </is>
      </c>
    </row>
    <row r="2">
      <c r="A2" s="8" t="inlineStr">
        <is>
          <t>New brands only (not in the original master before this work). Blue = verified-new (all parameters pass), amber = verified-stretch. Source: F1-New-Brands-By-Wave-2026-09.xlsx tab "W5 Software".</t>
        </is>
      </c>
    </row>
    <row r="3" ht="30" customHeight="1">
      <c r="A3" s="9" t="inlineStr">
        <is>
          <t>#</t>
        </is>
      </c>
      <c r="B3" s="9" t="inlineStr">
        <is>
          <t>wave</t>
        </is>
      </c>
      <c r="C3" s="9" t="inlineStr">
        <is>
          <t>sector_tab</t>
        </is>
      </c>
      <c r="D3" s="9" t="inlineStr">
        <is>
          <t>priority_score</t>
        </is>
      </c>
      <c r="E3" s="9" t="inlineStr">
        <is>
          <t>company</t>
        </is>
      </c>
      <c r="F3" s="9" t="inlineStr">
        <is>
          <t>domain</t>
        </is>
      </c>
      <c r="G3" s="9" t="inlineStr">
        <is>
          <t>hq_country</t>
        </is>
      </c>
      <c r="H3" s="9" t="inlineStr">
        <is>
          <t>niche</t>
        </is>
      </c>
      <c r="I3" s="9" t="inlineStr">
        <is>
          <t>employees_est</t>
        </is>
      </c>
      <c r="J3" s="9" t="inlineStr">
        <is>
          <t>size_band</t>
        </is>
      </c>
      <c r="K3" s="9" t="inlineStr">
        <is>
          <t>tag</t>
        </is>
      </c>
      <c r="L3" s="9" t="inlineStr">
        <is>
          <t>affordability</t>
        </is>
      </c>
      <c r="M3" s="9" t="inlineStr">
        <is>
          <t>why_f1</t>
        </is>
      </c>
    </row>
    <row r="4">
      <c r="A4" s="10" t="n">
        <v>1</v>
      </c>
      <c r="B4" s="10" t="inlineStr">
        <is>
          <t>W5</t>
        </is>
      </c>
      <c r="C4" s="10" t="inlineStr">
        <is>
          <t>47 Vertical SaaS</t>
        </is>
      </c>
      <c r="D4" s="10" t="n">
        <v>84</v>
      </c>
      <c r="E4" s="10" t="inlineStr">
        <is>
          <t>Zelis</t>
        </is>
      </c>
      <c r="F4" s="10" t="inlineStr">
        <is>
          <t>zelis.com</t>
        </is>
      </c>
      <c r="G4" s="10" t="inlineStr">
        <is>
          <t>Bedminster, NJ, USA</t>
        </is>
      </c>
      <c r="H4" s="10" t="inlineStr">
        <is>
          <t>Healthcare claims cost management and payments optimization platform</t>
        </is>
      </c>
      <c r="I4" s="10" t="inlineStr">
        <is>
          <t>~5,000 (estimates vary widely across sources)</t>
        </is>
      </c>
      <c r="J4" s="10" t="inlineStr">
        <is>
          <t>5k-10k</t>
        </is>
      </c>
      <c r="K4" s="10" t="inlineStr">
        <is>
          <t>verified-new</t>
        </is>
      </c>
      <c r="L4" s="10" t="inlineStr">
        <is>
          <t>~$1.5-2B (est., FY2024/2025; S&amp;P/Moody's carry ratings on Zelis debt but detailed figures are paywalled; a single aggregator's $306.8M figure is not credible given $17B valuation and 700+ payer/millions-of-provider scale, so disregarded) | ~$17B impl</t>
        </is>
      </c>
      <c r="M4" s="10" t="inlineStr">
        <is>
          <t>[VERIFIED NEW W5] Global payments/fintech-in-healthcare narrative; position around trust, precision and scale messaging that mirrors F1's operational-excellence brand story. | Revenue and valuation both clear the bar with real transaction evidence, b</t>
        </is>
      </c>
    </row>
    <row r="5">
      <c r="A5" s="10" t="n">
        <v>2</v>
      </c>
      <c r="B5" s="10" t="inlineStr">
        <is>
          <t>W5</t>
        </is>
      </c>
      <c r="C5" s="10" t="inlineStr">
        <is>
          <t>47 Vertical SaaS</t>
        </is>
      </c>
      <c r="D5" s="10" t="n">
        <v>84</v>
      </c>
      <c r="E5" s="10" t="inlineStr">
        <is>
          <t>R1 RCM</t>
        </is>
      </c>
      <c r="F5" s="10" t="inlineStr">
        <is>
          <t>r1rcm.com</t>
        </is>
      </c>
      <c r="G5" s="10" t="inlineStr">
        <is>
          <t>Chicago, IL, USA</t>
        </is>
      </c>
      <c r="H5" s="10" t="inlineStr">
        <is>
          <t>Healthcare revenue cycle management software and outsourced services</t>
        </is>
      </c>
      <c r="I5" s="10" t="inlineStr">
        <is>
          <t>~30,000 (large onshore/offshore RCM workforce, est.)</t>
        </is>
      </c>
      <c r="J5" s="10" t="inlineStr">
        <is>
          <t>10k+</t>
        </is>
      </c>
      <c r="K5" s="10" t="inlineStr">
        <is>
          <t>verified-new</t>
        </is>
      </c>
      <c r="L5" s="10" t="inlineStr">
        <is>
          <t>$2.25B FY2023 (confirmed, SEC 10-K - last public full year); Q1 pre-close run-rate ~$603.9M/quarter (~11% YoY growth); FY2025 figures undisclosed post-LBO (est. continuation ~$2.3-2.5B) | $8.9B (2024 TowerBrook/CD&amp;R take-private at $14.30/share, mult</t>
        </is>
      </c>
      <c r="M5" s="10" t="inlineStr">
        <is>
          <t>[VERIFIED NEW W5] Turnaround/growth story under new PE ownership seeking brand elevation; healthcare-tech innovation and reliability-under-pressure narrative. | Confirmed $2.25B+ revenue and $8.9B transaction value with no F1 exposure; post-LBO healt</t>
        </is>
      </c>
    </row>
    <row r="6">
      <c r="A6" s="10" t="n">
        <v>3</v>
      </c>
      <c r="B6" s="10" t="inlineStr">
        <is>
          <t>W5</t>
        </is>
      </c>
      <c r="C6" s="10" t="inlineStr">
        <is>
          <t>47 Vertical SaaS</t>
        </is>
      </c>
      <c r="D6" s="10" t="n">
        <v>84</v>
      </c>
      <c r="E6" s="10" t="inlineStr">
        <is>
          <t>Inovalon</t>
        </is>
      </c>
      <c r="F6" s="10" t="inlineStr">
        <is>
          <t>inovalon.com</t>
        </is>
      </c>
      <c r="G6" s="10" t="inlineStr">
        <is>
          <t>Bowie, MD, USA</t>
        </is>
      </c>
      <c r="H6" s="10" t="inlineStr">
        <is>
          <t>Cloud-based healthcare data analytics and value-based care platform</t>
        </is>
      </c>
      <c r="I6" s="10" t="inlineStr">
        <is>
          <t>~3,000 (est.)</t>
        </is>
      </c>
      <c r="J6" s="10" t="inlineStr">
        <is>
          <t>1k-5k</t>
        </is>
      </c>
      <c r="K6" s="10" t="inlineStr">
        <is>
          <t>verified-new</t>
        </is>
      </c>
      <c r="L6" s="10" t="inlineStr">
        <is>
          <t>~$750-800M (est.); last public FY2020 revenue was $667.5M (confirmed), with TTM revenue near $734M disclosed around the 2021 deal; post take-private figures undisclosed | $7.3B enterprise value (Nov 2021 Nordic Capital-led consortium take-private, mu</t>
        </is>
      </c>
      <c r="M6" s="10" t="inlineStr">
        <is>
          <t>[VERIFIED NEW W5] Data/analytics-driven healthcare narrative pairs naturally with F1's data-and-telemetry-heavy brand story. | Large, evidenced valuation and healthy revenue scale with broad customer base and no F1 conflict.</t>
        </is>
      </c>
    </row>
    <row r="7">
      <c r="A7" s="10" t="n">
        <v>4</v>
      </c>
      <c r="B7" s="10" t="inlineStr">
        <is>
          <t>W5</t>
        </is>
      </c>
      <c r="C7" s="10" t="inlineStr">
        <is>
          <t>47 Vertical SaaS</t>
        </is>
      </c>
      <c r="D7" s="10" t="n">
        <v>84</v>
      </c>
      <c r="E7" s="10" t="inlineStr">
        <is>
          <t>EngageSmart</t>
        </is>
      </c>
      <c r="F7" s="10" t="inlineStr">
        <is>
          <t>engagesmart.com</t>
        </is>
      </c>
      <c r="G7" s="10" t="inlineStr">
        <is>
          <t>Braintree, MA, USA</t>
        </is>
      </c>
      <c r="H7" s="10" t="inlineStr">
        <is>
          <t>Customer engagement, billing and payments software (SimplePractice, InvoiceCloud, DonorDrive brands)</t>
        </is>
      </c>
      <c r="I7" s="10" t="inlineStr">
        <is>
          <t>~1,800 (est.)</t>
        </is>
      </c>
      <c r="J7" s="10" t="inlineStr">
        <is>
          <t>1k-5k</t>
        </is>
      </c>
      <c r="K7" s="10" t="inlineStr">
        <is>
          <t>verified-new</t>
        </is>
      </c>
      <c r="L7" s="10" t="inlineStr">
        <is>
          <t xml:space="preserve">~$430-450M (est., last disclosed public trailing revenue pre-take-private, FY2023) | $4.0B (2024 Vista/General Atlantic take-private, multi-source confirmed) | flags: Taken private &lt;2 years ago - no post-close financials disclosed; Historic reliance </t>
        </is>
      </c>
      <c r="M7" s="10" t="inlineStr">
        <is>
          <t>[VERIFIED NEW W5] Customer-engagement/billing platform across healthcare, government and nonprofit verticals - broad SMB base offers co-marketing/activation potential tied to F1 fan engagement themes. | Solid revenue, confirmed $1B+ valuation, very l</t>
        </is>
      </c>
    </row>
    <row r="8">
      <c r="A8" s="10" t="n">
        <v>5</v>
      </c>
      <c r="B8" s="10" t="inlineStr">
        <is>
          <t>W5</t>
        </is>
      </c>
      <c r="C8" s="10" t="inlineStr">
        <is>
          <t>47 Vertical SaaS</t>
        </is>
      </c>
      <c r="D8" s="10" t="n">
        <v>84</v>
      </c>
      <c r="E8" s="10" t="inlineStr">
        <is>
          <t>IBS Software</t>
        </is>
      </c>
      <c r="F8" s="10" t="inlineStr">
        <is>
          <t>ibsplc.com</t>
        </is>
      </c>
      <c r="G8" s="10" t="inlineStr">
        <is>
          <t>Kerala, India (Trivandrum)</t>
        </is>
      </c>
      <c r="H8" s="10" t="inlineStr">
        <is>
          <t>SaaS platforms for airlines, cruise lines, tour operators and energy/logistics (crew, cargo, loyalty, fleet ops)</t>
        </is>
      </c>
      <c r="I8" s="10" t="inlineStr">
        <is>
          <t>~4,000-5,300 (est.; sources conflict)</t>
        </is>
      </c>
      <c r="J8" s="10" t="inlineStr">
        <is>
          <t>5k-10k</t>
        </is>
      </c>
      <c r="K8" s="10" t="inlineStr">
        <is>
          <t>verified-new</t>
        </is>
      </c>
      <c r="L8" s="10" t="inlineStr">
        <is>
          <t>RESOLVED: ~$300-350M is the more credible consolidated global figure (matches original estimate); the $819M figure appears to be an aggregator overstatement. Supporting data points: IBS Software Services (India entity) revenue was $188.1M in 2023, up</t>
        </is>
      </c>
      <c r="M8" s="10" t="inlineStr">
        <is>
          <t>[VERIFIED NEW W5] Aviation/cruise/travel-tech vertical has a natural affinity with F1's global travel and logistics operation - position around paddock/team travel-ops efficiency. | Resolved revenue clears the bar, strong blue-chip travel-industry cu</t>
        </is>
      </c>
    </row>
    <row r="9">
      <c r="A9" s="10" t="n">
        <v>6</v>
      </c>
      <c r="B9" s="10" t="inlineStr">
        <is>
          <t>W5</t>
        </is>
      </c>
      <c r="C9" s="10" t="inlineStr">
        <is>
          <t>47 Vertical SaaS</t>
        </is>
      </c>
      <c r="D9" s="10" t="n">
        <v>76</v>
      </c>
      <c r="E9" s="10" t="inlineStr">
        <is>
          <t>MEDITECH</t>
        </is>
      </c>
      <c r="F9" s="10" t="inlineStr">
        <is>
          <t>meditech.com</t>
        </is>
      </c>
      <c r="G9" s="10" t="inlineStr">
        <is>
          <t>Westwood, MA, USA</t>
        </is>
      </c>
      <c r="H9" s="10" t="inlineStr">
        <is>
          <t>Electronic health record (EHR) and hospital information systems</t>
        </is>
      </c>
      <c r="I9" s="10" t="inlineStr">
        <is>
          <t>~5,500 (est.)</t>
        </is>
      </c>
      <c r="J9" s="10" t="inlineStr">
        <is>
          <t>5k-10k</t>
        </is>
      </c>
      <c r="K9" s="10" t="inlineStr">
        <is>
          <t>verified-new</t>
        </is>
      </c>
      <c r="L9" s="10" t="inlineStr">
        <is>
          <t xml:space="preserve">~$400-600M (est.); confirmed historical: $493.8M in FY2019 (Fierce Healthcare); a 2025 aggregator estimate of $376-393M ARR is lower than the FY2019 figure and likely understates true scale for a legacy EHR vendor with thousands of hospital renewals </t>
        </is>
      </c>
      <c r="M9" s="10" t="inlineStr">
        <is>
          <t>[VERIFIED NEW W5] Long-shot, relationship-led approach through new post-Pappalardo leadership rather than a cold outreach; unlikely quick win. | Clears the revenue bar on the family-ownership exemption with no F1 conflict, but flagged heavily for low</t>
        </is>
      </c>
    </row>
    <row r="10">
      <c r="A10" s="11" t="n">
        <v>7</v>
      </c>
      <c r="B10" s="11" t="inlineStr">
        <is>
          <t>W5</t>
        </is>
      </c>
      <c r="C10" s="11" t="inlineStr">
        <is>
          <t>47 Vertical SaaS</t>
        </is>
      </c>
      <c r="D10" s="11" t="n">
        <v>52</v>
      </c>
      <c r="E10" s="11" t="inlineStr">
        <is>
          <t>Cast &amp; Crew</t>
        </is>
      </c>
      <c r="F10" s="11" t="inlineStr">
        <is>
          <t>castandcrew.com</t>
        </is>
      </c>
      <c r="G10" s="11" t="inlineStr">
        <is>
          <t>Burbank, CA, USA</t>
        </is>
      </c>
      <c r="H10" s="11" t="inlineStr">
        <is>
          <t>Entertainment production payroll, accounting and workflow software for film/TV/streaming</t>
        </is>
      </c>
      <c r="I10" s="11" t="inlineStr">
        <is>
          <t>~3,000 (est.; range cited 1,000-5,000 across 75 locations)</t>
        </is>
      </c>
      <c r="J10" s="11" t="inlineStr">
        <is>
          <t>5k-10k</t>
        </is>
      </c>
      <c r="K10" s="11" t="inlineStr">
        <is>
          <t>verified-stretch</t>
        </is>
      </c>
      <c r="L10" s="11" t="inlineStr">
        <is>
          <t>~$700M-1B (est.); sources conflict sharply - a single ZoomInfo estimate shows only $160.7M (likely a single-entity/legacy figure, inconsistent with a multi-billion valuation at typical services-software multiples), so treat the higher band as more cr</t>
        </is>
      </c>
      <c r="M10" s="11" t="inlineStr">
        <is>
          <t>[VERIFIED NEW W5] Entertainment-industry crossover angle (F1 in scripted/doc content, e.g. Drive to Survive-style productions) rather than a classic brand-visibility sponsorship. | Likely clears revenue/valuation bars but is a low-visibility B2B back</t>
        </is>
      </c>
    </row>
    <row r="11">
      <c r="A11" s="11" t="n">
        <v>8</v>
      </c>
      <c r="B11" s="11" t="inlineStr">
        <is>
          <t>W5</t>
        </is>
      </c>
      <c r="C11" s="11" t="inlineStr">
        <is>
          <t>47 Vertical SaaS</t>
        </is>
      </c>
      <c r="D11" s="11" t="n">
        <v>52</v>
      </c>
      <c r="E11" s="11" t="inlineStr">
        <is>
          <t>PDI Technologies</t>
        </is>
      </c>
      <c r="F11" s="11" t="inlineStr">
        <is>
          <t>pditechnologies.com</t>
        </is>
      </c>
      <c r="G11" s="11" t="inlineStr">
        <is>
          <t>Alpharetta, GA, USA</t>
        </is>
      </c>
      <c r="H11" s="11" t="inlineStr">
        <is>
          <t>Convenience retail and petroleum wholesale software (ERP, fuel pricing, loyalty, payments)</t>
        </is>
      </c>
      <c r="I11" s="11" t="inlineStr">
        <is>
          <t>~1,300-2,400 (conflicting sources: CBInsights cites 1,300 total; third-party aggregator cites 2,372)</t>
        </is>
      </c>
      <c r="J11" s="11" t="inlineStr">
        <is>
          <t>1k-5k</t>
        </is>
      </c>
      <c r="K11" s="11" t="inlineStr">
        <is>
          <t>verified-stretch</t>
        </is>
      </c>
      <c r="L11" s="11" t="inlineStr">
        <is>
          <t>~$273M-750M (est.; sources conflict widely: one aggregator cites $273M, another cites $750M as of July 2025, Owler's $25-100M range is clearly too low given 200,000+ site footprint - all exceed the $100M bar regardless) | Not disclosed; no $1B+ trans</t>
        </is>
      </c>
      <c r="M11" s="11" t="inlineStr">
        <is>
          <t>[VERIFIED NEW W5] Global fuel/travel-retail footprint (60+ countries) pairs naturally with F1's travel/logistics and energy-transition storylines. | Revenue and scale look real, but PE ownership lacks any confirmed $1B+ valuation evidence, capping th</t>
        </is>
      </c>
    </row>
    <row r="12">
      <c r="A12" s="11" t="n">
        <v>9</v>
      </c>
      <c r="B12" s="11" t="inlineStr">
        <is>
          <t>W5</t>
        </is>
      </c>
      <c r="C12" s="11" t="inlineStr">
        <is>
          <t>07 Marketing &amp; Sales</t>
        </is>
      </c>
      <c r="D12" s="11" t="n">
        <v>46</v>
      </c>
      <c r="E12" s="11" t="inlineStr">
        <is>
          <t>Xactly</t>
        </is>
      </c>
      <c r="F12" s="11" t="inlineStr">
        <is>
          <t>xactlycorp.com</t>
        </is>
      </c>
      <c r="G12" s="11" t="inlineStr">
        <is>
          <t>San Jose, CA, USA</t>
        </is>
      </c>
      <c r="H12" s="11" t="inlineStr">
        <is>
          <t>Sales performance management and incentive compensation software</t>
        </is>
      </c>
      <c r="I12" s="11" t="inlineStr">
        <is>
          <t>~900-1,000 (est.)</t>
        </is>
      </c>
      <c r="J12" s="11" t="inlineStr">
        <is>
          <t>1k-5k</t>
        </is>
      </c>
      <c r="K12" s="11" t="inlineStr">
        <is>
          <t>verified-stretch</t>
        </is>
      </c>
      <c r="L12" s="11" t="inlineStr">
        <is>
          <t>~$180-220M (est.; no corroborating source found this round - carries forward from input estimate) | $564M (2017 Vista Equity acquisition price, confirmed) - no updated valuation evidence found in 9 years since | flags: PE-owned 9 years with no confir</t>
        </is>
      </c>
      <c r="M12" s="11" t="inlineStr">
        <is>
          <t>[VERIFIED NEW W5] Sales-performance/incentive-comp narrative could tie into a team-performance/driver-incentive content angle rather than a large-budget sponsorship. | No $1B+ valuation evidence despite a 9-year PE hold, plus borderline customer scal</t>
        </is>
      </c>
    </row>
    <row r="13">
      <c r="A13" s="11" t="n">
        <v>10</v>
      </c>
      <c r="B13" s="11" t="inlineStr">
        <is>
          <t>W5</t>
        </is>
      </c>
      <c r="C13" s="11" t="inlineStr">
        <is>
          <t>10 ERP &amp; Finance Procurement</t>
        </is>
      </c>
      <c r="D13" s="11" t="n">
        <v>46</v>
      </c>
      <c r="E13" s="11" t="inlineStr">
        <is>
          <t>TaxAct</t>
        </is>
      </c>
      <c r="F13" s="11" t="inlineStr">
        <is>
          <t>taxact.com</t>
        </is>
      </c>
      <c r="G13" s="11" t="inlineStr">
        <is>
          <t>Cedar Rapids, IA, USA</t>
        </is>
      </c>
      <c r="H13" s="11" t="inlineStr">
        <is>
          <t>Consumer and small-business DIY tax preparation software</t>
        </is>
      </c>
      <c r="I13" s="11" t="inlineStr">
        <is>
          <t>~400-500 (standalone TaxAct entity; larger under combined Taxwell parent with Drake Software, which serves 70,000+ tax/accounting firms)</t>
        </is>
      </c>
      <c r="J13" s="11" t="inlineStr">
        <is>
          <t>10k+</t>
        </is>
      </c>
      <c r="K13" s="11" t="inlineStr">
        <is>
          <t>verified-stretch</t>
        </is>
      </c>
      <c r="L13" s="11" t="inlineStr">
        <is>
          <t>~$200-250M (est., standalone entity) | $720M (2022 Cinven acquisition price, confirmed) - no $1B+ evidence for the combined Taxwell entity found | flags: Primarily B2C DIY tax software rather than enterprise SaaS - weak category fit; No $1B+ valuatio</t>
        </is>
      </c>
      <c r="M13" s="11" t="inlineStr">
        <is>
          <t>[VERIFIED NEW W5] If pursued, a consumer-facing tax-season promotional tie-in rather than a B2B enterprise pitch; low priority relative to other names in this batch. | Passes revenue but capped by valuation-evidence rule and a weak B2C/enterprise-Saa</t>
        </is>
      </c>
    </row>
  </sheetData>
  <autoFilter ref="A3:M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30"/>
  <sheetViews>
    <sheetView workbookViewId="0">
      <pane ySplit="3" topLeftCell="A4" activePane="bottomLeft" state="frozen"/>
      <selection pane="bottomLeft" activeCell="A1" sqref="A1"/>
    </sheetView>
  </sheetViews>
  <sheetFormatPr baseColWidth="8" defaultRowHeight="15"/>
  <cols>
    <col width="5" customWidth="1" min="1" max="1"/>
    <col width="7" customWidth="1" min="2" max="2"/>
    <col width="24" customWidth="1" min="3" max="3"/>
    <col width="9" customWidth="1" min="4" max="4"/>
    <col width="30" customWidth="1" min="5" max="5"/>
    <col width="22" customWidth="1" min="6" max="6"/>
    <col width="20" customWidth="1" min="7" max="7"/>
    <col width="40" customWidth="1" min="8" max="8"/>
    <col width="16" customWidth="1" min="9" max="9"/>
    <col width="10" customWidth="1" min="10" max="10"/>
    <col width="14" customWidth="1" min="11" max="11"/>
    <col width="60" customWidth="1" min="12" max="12"/>
    <col width="70" customWidth="1" min="13" max="13"/>
  </cols>
  <sheetData>
    <row r="1">
      <c r="A1" s="1" t="inlineStr">
        <is>
          <t>Wave 6 - Industrial / Logistics / Mobility - 27 brands</t>
        </is>
      </c>
    </row>
    <row r="2">
      <c r="A2" s="8" t="inlineStr">
        <is>
          <t>New brands only (not in the original master before this work). Blue = verified-new (all parameters pass), amber = verified-stretch. Source: F1-New-Brands-By-Wave-2026-09.xlsx tab "W6 Industrial".</t>
        </is>
      </c>
    </row>
    <row r="3" ht="30" customHeight="1">
      <c r="A3" s="9" t="inlineStr">
        <is>
          <t>#</t>
        </is>
      </c>
      <c r="B3" s="9" t="inlineStr">
        <is>
          <t>wave</t>
        </is>
      </c>
      <c r="C3" s="9" t="inlineStr">
        <is>
          <t>sector_tab</t>
        </is>
      </c>
      <c r="D3" s="9" t="inlineStr">
        <is>
          <t>priority_score</t>
        </is>
      </c>
      <c r="E3" s="9" t="inlineStr">
        <is>
          <t>company</t>
        </is>
      </c>
      <c r="F3" s="9" t="inlineStr">
        <is>
          <t>domain</t>
        </is>
      </c>
      <c r="G3" s="9" t="inlineStr">
        <is>
          <t>hq_country</t>
        </is>
      </c>
      <c r="H3" s="9" t="inlineStr">
        <is>
          <t>niche</t>
        </is>
      </c>
      <c r="I3" s="9" t="inlineStr">
        <is>
          <t>employees_est</t>
        </is>
      </c>
      <c r="J3" s="9" t="inlineStr">
        <is>
          <t>size_band</t>
        </is>
      </c>
      <c r="K3" s="9" t="inlineStr">
        <is>
          <t>tag</t>
        </is>
      </c>
      <c r="L3" s="9" t="inlineStr">
        <is>
          <t>affordability</t>
        </is>
      </c>
      <c r="M3" s="9" t="inlineStr">
        <is>
          <t>why_f1</t>
        </is>
      </c>
    </row>
    <row r="4">
      <c r="A4" s="10" t="n">
        <v>1</v>
      </c>
      <c r="B4" s="10" t="inlineStr">
        <is>
          <t>W6</t>
        </is>
      </c>
      <c r="C4" s="10" t="inlineStr">
        <is>
          <t>43 Mobility &amp; Automotive</t>
        </is>
      </c>
      <c r="D4" s="10" t="n">
        <v>92</v>
      </c>
      <c r="E4" s="10" t="inlineStr">
        <is>
          <t>Samvardhana Motherson International Limited</t>
        </is>
      </c>
      <c r="F4" s="10" t="inlineStr">
        <is>
          <t>motherson.com</t>
        </is>
      </c>
      <c r="G4" s="10" t="inlineStr">
        <is>
          <t>Noida, India</t>
        </is>
      </c>
      <c r="H4" s="10" t="inlineStr">
        <is>
          <t>Auto components - mirrors, wiring harnesses, modules and interiors for global OEMs</t>
        </is>
      </c>
      <c r="I4" s="10" t="inlineStr">
        <is>
          <t>~190,000</t>
        </is>
      </c>
      <c r="J4" s="10" t="inlineStr">
        <is>
          <t>10k+</t>
        </is>
      </c>
      <c r="K4" s="10" t="inlineStr">
        <is>
          <t>verified-new</t>
        </is>
      </c>
      <c r="L4" s="10" t="inlineStr">
        <is>
          <t>~$13.4B FY2025 (ended Mar 2025), up from ~$11.8B FY2024 (company/press reporting); figures vary $12-13.4B across sources depending on currency/FY convention | ~$18.1B market cap as of 11-18 Sep 2026 (PitchBook; screener.in shows ~₹1.71-1.79T) | flags</t>
        </is>
      </c>
      <c r="M4" s="10" t="inlineStr">
        <is>
          <t>[VERIFIED NEW W6] Global engineering-partner narrative: wiring-harness, mirror and camera-module technology ties to F1 telemetry and driver-vision systems; India-based HQ dovetails with F1's growing Indian fan base and any future India-market activat</t>
        </is>
      </c>
    </row>
    <row r="5">
      <c r="A5" s="10" t="n">
        <v>2</v>
      </c>
      <c r="B5" s="10" t="inlineStr">
        <is>
          <t>W6</t>
        </is>
      </c>
      <c r="C5" s="10" t="inlineStr">
        <is>
          <t>43 Mobility &amp; Automotive</t>
        </is>
      </c>
      <c r="D5" s="10" t="n">
        <v>92</v>
      </c>
      <c r="E5" s="10" t="inlineStr">
        <is>
          <t>XPO Inc</t>
        </is>
      </c>
      <c r="F5" s="10" t="inlineStr">
        <is>
          <t>xpo.com</t>
        </is>
      </c>
      <c r="G5" s="10" t="n"/>
      <c r="H5" s="10" t="n"/>
      <c r="I5" s="10" t="n"/>
      <c r="J5" s="10" t="inlineStr">
        <is>
          <t>unknown</t>
        </is>
      </c>
      <c r="K5" s="10" t="inlineStr">
        <is>
          <t>verified-new</t>
        </is>
      </c>
      <c r="L5" s="10" t="inlineStr">
        <is>
          <t>{'value': '$8.16B FY2025, up 1.05% YoY; Adjusted EBITDA $1.27B; LTL adjusted operating ratio improved ~80bps', 'source': 'XPO Reports Fourth Quarter 2025 Results, investors.xpo.com'} |  | flags: DHL holds F1's series-level 'Official Logistics Partner</t>
        </is>
      </c>
      <c r="M5" s="10" t="inlineStr">
        <is>
          <t xml:space="preserve">[VERIFIED NEW W6] North American team logistics/freight partner (parts, chassis and equipment transport) leaning on operational-precision parallels with F1, explicitly positioned below/around DHL's series-level category. | </t>
        </is>
      </c>
    </row>
    <row r="6">
      <c r="A6" s="10" t="n">
        <v>3</v>
      </c>
      <c r="B6" s="10" t="inlineStr">
        <is>
          <t>W6</t>
        </is>
      </c>
      <c r="C6" s="10" t="inlineStr">
        <is>
          <t>43 Mobility &amp; Automotive</t>
        </is>
      </c>
      <c r="D6" s="10" t="n">
        <v>92</v>
      </c>
      <c r="E6" s="10" t="inlineStr">
        <is>
          <t>Knight-Swift Transportation Holdings</t>
        </is>
      </c>
      <c r="F6" s="10" t="inlineStr">
        <is>
          <t>knight-swift.com</t>
        </is>
      </c>
      <c r="G6" s="10" t="n"/>
      <c r="H6" s="10" t="n"/>
      <c r="I6" s="10" t="n"/>
      <c r="J6" s="10" t="inlineStr">
        <is>
          <t>unknown</t>
        </is>
      </c>
      <c r="K6" s="10" t="inlineStr">
        <is>
          <t>verified-new</t>
        </is>
      </c>
      <c r="L6" s="10" t="inlineStr">
        <is>
          <t>{'value': '$7.47B FY2025, up 0.8% YoY; Adjusted Operating Ratio improved to 94.1% (from 94.7%); net income down 43.9% YoY to $65.9M but Adjusted EPS up to $1.26 (from $1.06)', 'source': 'Knight-Swift 10-K / Q4 2025 earnings (SEC filings, TradingView)</t>
        </is>
      </c>
      <c r="M6" s="10" t="inlineStr">
        <is>
          <t xml:space="preserve">[VERIFIED NEW W6] 'Largest US trucking company' domestic logistics/fleet partner story, ideally for a team with strong US fan-base ties, framed at team/regional level given DHL's series category. | </t>
        </is>
      </c>
    </row>
    <row r="7">
      <c r="A7" s="10" t="n">
        <v>4</v>
      </c>
      <c r="B7" s="10" t="inlineStr">
        <is>
          <t>W6</t>
        </is>
      </c>
      <c r="C7" s="10" t="inlineStr">
        <is>
          <t>43 Mobility &amp; Automotive</t>
        </is>
      </c>
      <c r="D7" s="10" t="n">
        <v>92</v>
      </c>
      <c r="E7" s="10" t="inlineStr">
        <is>
          <t>GMR Airports Limited</t>
        </is>
      </c>
      <c r="F7" s="10" t="inlineStr">
        <is>
          <t>gmrgroup.in</t>
        </is>
      </c>
      <c r="G7" s="10" t="n"/>
      <c r="H7" s="10" t="inlineStr">
        <is>
          <t>Airport development and operations (Delhi and Hyderabad airports, plus international airport stakes)</t>
        </is>
      </c>
      <c r="I7" s="10" t="n"/>
      <c r="J7" s="10" t="inlineStr">
        <is>
          <t>unknown</t>
        </is>
      </c>
      <c r="K7" s="10" t="inlineStr">
        <is>
          <t>verified-new</t>
        </is>
      </c>
      <c r="L7" s="10" t="inlineStr">
        <is>
          <t xml:space="preserve"> |  | flags: Aéroports de Paris (part of the promoter group, ~49% stake since 2020) is itself ~50.6% owned by the French state - indirect/foreign governance note, not disqualifying since GMR is private-sector and the lead promoter.; FY26 profitabilit</t>
        </is>
      </c>
      <c r="M7" s="10" t="inlineStr">
        <is>
          <t xml:space="preserve">[VERIFIED NEW W6] Aviation-hub/mobility-infrastructure turnaround story tied to India's growing F1 fanbase and race-freight/fan-travel logistics into India - distinct from the already-crowded airline sponsor category (Emirates/Qatar/Etihad/Singapore </t>
        </is>
      </c>
    </row>
    <row r="8">
      <c r="A8" s="10" t="n">
        <v>5</v>
      </c>
      <c r="B8" s="10" t="inlineStr">
        <is>
          <t>W6</t>
        </is>
      </c>
      <c r="C8" s="10" t="inlineStr">
        <is>
          <t>43 Mobility &amp; Automotive</t>
        </is>
      </c>
      <c r="D8" s="10" t="n">
        <v>92</v>
      </c>
      <c r="E8" s="10" t="inlineStr">
        <is>
          <t>Teledyne Technologies Incorporated</t>
        </is>
      </c>
      <c r="F8" s="10" t="inlineStr">
        <is>
          <t>teledyne.com</t>
        </is>
      </c>
      <c r="G8" s="10" t="n"/>
      <c r="H8" s="10" t="inlineStr">
        <is>
          <t>Sensors, digital-imaging systems, instrumentation and aerospace/defense electronics (non-prime component/technology supp</t>
        </is>
      </c>
      <c r="I8" s="10" t="n"/>
      <c r="J8" s="10" t="inlineStr">
        <is>
          <t>unknown</t>
        </is>
      </c>
      <c r="K8" s="10" t="inlineStr">
        <is>
          <t>verified-new</t>
        </is>
      </c>
      <c r="L8" s="10" t="inlineStr">
        <is>
          <t xml:space="preserve"> |  | flags: Market cap ($27.9B) and revenue ($6.1B) both came in well above the input's estimates - larger, more resourced prospect than originally scoped.; Low public-brand recognition despite scale (pure B2B technical supplier) - narrative needs t</t>
        </is>
      </c>
      <c r="M8" s="10" t="inlineStr">
        <is>
          <t xml:space="preserve">[VERIFIED NEW W6] 'Technology behind the data' story - Teledyne's precision imaging, sensing and instrumentation portfolio maps directly onto F1's telemetry, broadcast-camera and data-capture narrative. | </t>
        </is>
      </c>
    </row>
    <row r="9">
      <c r="A9" s="10" t="n">
        <v>6</v>
      </c>
      <c r="B9" s="10" t="inlineStr">
        <is>
          <t>W6</t>
        </is>
      </c>
      <c r="C9" s="10" t="inlineStr">
        <is>
          <t>43 Mobility &amp; Automotive</t>
        </is>
      </c>
      <c r="D9" s="10" t="n">
        <v>92</v>
      </c>
      <c r="E9" s="10" t="inlineStr">
        <is>
          <t>Allegheny Technologies Incorporated (ATI)</t>
        </is>
      </c>
      <c r="F9" s="10" t="inlineStr">
        <is>
          <t>atimaterials.com</t>
        </is>
      </c>
      <c r="G9" s="10" t="n"/>
      <c r="H9" s="10" t="inlineStr">
        <is>
          <t>Specialty metals (titanium, nickel alloys) for aerospace, defense and industrial customers (non-prime materials supplier</t>
        </is>
      </c>
      <c r="I9" s="10" t="n"/>
      <c r="J9" s="10" t="inlineStr">
        <is>
          <t>unknown</t>
        </is>
      </c>
      <c r="K9" s="10" t="inlineStr">
        <is>
          <t>verified-new</t>
        </is>
      </c>
      <c r="L9" s="10" t="inlineStr">
        <is>
          <t xml:space="preserve"> |  | flags: Market cap ($26.1B) came in more than 2.5x the input's ~$10B estimate on a strong 2026 rally (stock ~$190 vs. 52-week low of $75) - budget/scale expectations should be reset upward.; Customer base is aerospace/defense-concentrated, not m</t>
        </is>
      </c>
      <c r="M9" s="10" t="inlineStr">
        <is>
          <t xml:space="preserve">[VERIFIED NEW W6] 'Materials that push performance limits' story - ATI's titanium/superalloy leadership in aerospace (68% of revenue) translates naturally into an F1 chassis/suspension/engine-component materials-science narrative, an open lane since </t>
        </is>
      </c>
    </row>
    <row r="10">
      <c r="A10" s="10" t="n">
        <v>7</v>
      </c>
      <c r="B10" s="10" t="inlineStr">
        <is>
          <t>W6</t>
        </is>
      </c>
      <c r="C10" s="10" t="inlineStr">
        <is>
          <t>33 Automation &amp; Robotics</t>
        </is>
      </c>
      <c r="D10" s="10" t="n">
        <v>84</v>
      </c>
      <c r="E10" s="10" t="inlineStr">
        <is>
          <t>Omron Corporation</t>
        </is>
      </c>
      <c r="F10" s="10" t="inlineStr">
        <is>
          <t>omron.com</t>
        </is>
      </c>
      <c r="G10" s="10" t="inlineStr">
        <is>
          <t>Kyoto, Japan</t>
        </is>
      </c>
      <c r="H10" s="10" t="inlineStr">
        <is>
          <t>Industrial automation controllers, sensors, machine vision and robotics for factory customers</t>
        </is>
      </c>
      <c r="I10" s="10" t="inlineStr">
        <is>
          <t>~28,000</t>
        </is>
      </c>
      <c r="J10" s="10" t="inlineStr">
        <is>
          <t>10k+</t>
        </is>
      </c>
      <c r="K10" s="10" t="inlineStr">
        <is>
          <t>verified-new</t>
        </is>
      </c>
      <c r="L10" s="10" t="inlineStr">
        <is>
          <t xml:space="preserve">FY2025 (year ended Mar 2026) net revenue ¥767.4B (~$5.2B), up 7.3%; operating income +12.1%, net income from continuing ops +116% (source: Omron FY2025 results, May 13 2026, omron.com) | ~$8.7B market cap (Sep 2026, CNBC), up from ~$6.3B in Apr 2026 </t>
        </is>
      </c>
      <c r="M10" s="10" t="inlineStr">
        <is>
          <t>[VERIFIED NEW W6] Factory automation, machine vision and robotics partner - precision manufacturing/quality-inspection story tied to team production and pit-equipment reliability. | Growing, profitable factory-automation/robotics leader with technica</t>
        </is>
      </c>
    </row>
    <row r="11">
      <c r="A11" s="10" t="n">
        <v>8</v>
      </c>
      <c r="B11" s="10" t="inlineStr">
        <is>
          <t>W6</t>
        </is>
      </c>
      <c r="C11" s="10" t="inlineStr">
        <is>
          <t>34 DC Power &amp; Cooling</t>
        </is>
      </c>
      <c r="D11" s="10" t="n">
        <v>84</v>
      </c>
      <c r="E11" s="10" t="inlineStr">
        <is>
          <t>AAON Inc</t>
        </is>
      </c>
      <c r="F11" s="10" t="inlineStr">
        <is>
          <t>aaon.com</t>
        </is>
      </c>
      <c r="G11" s="10" t="inlineStr">
        <is>
          <t>Tulsa, Oklahoma, USA</t>
        </is>
      </c>
      <c r="H11" s="10" t="inlineStr">
        <is>
          <t>Commercial/industrial HVAC and, via BASX, custom data-center air-side and liquid cooling systems</t>
        </is>
      </c>
      <c r="I11" s="10" t="inlineStr">
        <is>
          <t>~4,500</t>
        </is>
      </c>
      <c r="J11" s="10" t="inlineStr">
        <is>
          <t>1k-5k</t>
        </is>
      </c>
      <c r="K11" s="10" t="inlineStr">
        <is>
          <t>verified-new</t>
        </is>
      </c>
      <c r="L11" s="10" t="inlineStr">
        <is>
          <t>FY2025 revenue $1.44B, +20.1% YoY; Q4 revenue +43% on data-center demand, BASX segment revenue more than doubled, backlog +141% (source: AAON FY2025 results/8-K, stockanalysis.com, investors.aaon.com) | ~$6.6B market cap (Sep 11 2026, stockanalysis.c</t>
        </is>
      </c>
      <c r="M11" s="10" t="inlineStr">
        <is>
          <t>[VERIFIED NEW W6] AI/data-center cooling innovation leader - position thermal-management engineering (liquid cooling, free-cooling chillers) as a parallel to F1 power-unit and brake cooling challenges. | Explosive data-center cooling growth (BASX) gi</t>
        </is>
      </c>
    </row>
    <row r="12">
      <c r="A12" s="10" t="n">
        <v>9</v>
      </c>
      <c r="B12" s="10" t="inlineStr">
        <is>
          <t>W6</t>
        </is>
      </c>
      <c r="C12" s="10" t="inlineStr">
        <is>
          <t>41 OT &amp; Physical Security</t>
        </is>
      </c>
      <c r="D12" s="10" t="n">
        <v>84</v>
      </c>
      <c r="E12" s="10" t="inlineStr">
        <is>
          <t>Smiths Group plc</t>
        </is>
      </c>
      <c r="F12" s="10" t="inlineStr">
        <is>
          <t>smithsgroup.com</t>
        </is>
      </c>
      <c r="G12" s="10" t="inlineStr">
        <is>
          <t>London, UK</t>
        </is>
      </c>
      <c r="H12" s="10" t="inlineStr">
        <is>
          <t>Detection/security screening (Smiths Detection), medical devices, energy equipment and specialty engineering (John Crane</t>
        </is>
      </c>
      <c r="I12" s="10" t="inlineStr">
        <is>
          <t>~14,500</t>
        </is>
      </c>
      <c r="J12" s="10" t="inlineStr">
        <is>
          <t>10k+</t>
        </is>
      </c>
      <c r="K12" s="10" t="inlineStr">
        <is>
          <t>verified-new</t>
        </is>
      </c>
      <c r="L12" s="10" t="inlineStr">
        <is>
          <t>FY2025 (year ended Jul 31 2025) revenue £2.92B (~$3.7B), organic growth +8.9%, 4th consecutive year of growth, margin +60bps (source: Smiths Group FY2025 results, smiths.com/stockanalysis.com) | ~$9.9B market cap (Sep 2026, companiesmarketcap.com/sto</t>
        </is>
      </c>
      <c r="M12" s="10" t="inlineStr">
        <is>
          <t xml:space="preserve">[VERIFIED NEW W6] Smiths Detection precision sensing/scanning technology positioned as an official circuit/paddock security and screening technology partner. | Consistently profitable detection/security technology with credible engineering story and </t>
        </is>
      </c>
    </row>
    <row r="13">
      <c r="A13" s="10" t="n">
        <v>10</v>
      </c>
      <c r="B13" s="10" t="inlineStr">
        <is>
          <t>W6</t>
        </is>
      </c>
      <c r="C13" s="10" t="inlineStr">
        <is>
          <t>43 Mobility &amp; Automotive</t>
        </is>
      </c>
      <c r="D13" s="10" t="n">
        <v>84</v>
      </c>
      <c r="E13" s="10" t="inlineStr">
        <is>
          <t>Autoliv Inc</t>
        </is>
      </c>
      <c r="F13" s="10" t="inlineStr">
        <is>
          <t>autoliv.com</t>
        </is>
      </c>
      <c r="G13" s="10" t="inlineStr">
        <is>
          <t>Stockholm, Sweden / Auburn Hills, Michigan, USA (dual HQ)</t>
        </is>
      </c>
      <c r="H13" s="10" t="inlineStr">
        <is>
          <t>Automotive safety systems - airbags, seatbelts - to global OEMs</t>
        </is>
      </c>
      <c r="I13" s="10" t="inlineStr">
        <is>
          <t>~66,000</t>
        </is>
      </c>
      <c r="J13" s="10" t="inlineStr">
        <is>
          <t>10k+</t>
        </is>
      </c>
      <c r="K13" s="10" t="inlineStr">
        <is>
          <t>verified-new</t>
        </is>
      </c>
      <c r="L13" s="10" t="inlineStr">
        <is>
          <t>$10.815B FY2025, +4% YoY (company full-year results) | $8.51B market cap as of 16 Sep 2026 (stockanalysis.com) - matches the input's estimate almost exactly | flags: tariff-related cost headwinds flagged in 2025/26 outlook commentary - monitor but no</t>
        </is>
      </c>
      <c r="M13" s="10" t="inlineStr">
        <is>
          <t>[VERIFIED NEW W6] Safety-innovation narrative - crash protection, biomechanics and restraint R&amp;D map directly onto F1's halo/safety-cell and driver-protection storyline, positioning Autoliv as the safety-technology partner behind the scenes. | Financ</t>
        </is>
      </c>
    </row>
    <row r="14">
      <c r="A14" s="10" t="n">
        <v>11</v>
      </c>
      <c r="B14" s="10" t="inlineStr">
        <is>
          <t>W6</t>
        </is>
      </c>
      <c r="C14" s="10" t="inlineStr">
        <is>
          <t>43 Mobility &amp; Automotive</t>
        </is>
      </c>
      <c r="D14" s="10" t="n">
        <v>84</v>
      </c>
      <c r="E14" s="10" t="inlineStr">
        <is>
          <t>Lear Corporation</t>
        </is>
      </c>
      <c r="F14" s="10" t="inlineStr">
        <is>
          <t>lear.com</t>
        </is>
      </c>
      <c r="G14" s="10" t="inlineStr">
        <is>
          <t>Southfield, Michigan, USA</t>
        </is>
      </c>
      <c r="H14" s="10" t="inlineStr">
        <is>
          <t>Automotive seating and electrical distribution systems (E-Systems)</t>
        </is>
      </c>
      <c r="I14" s="10" t="inlineStr">
        <is>
          <t>~165,000</t>
        </is>
      </c>
      <c r="J14" s="10" t="inlineStr">
        <is>
          <t>10k+</t>
        </is>
      </c>
      <c r="K14" s="10" t="inlineStr">
        <is>
          <t>verified-new</t>
        </is>
      </c>
      <c r="L14" s="10" t="inlineStr">
        <is>
          <t>$23.3B FY2025, roughly flat YoY (company full-year results) | $8.70B market cap as of Sep 2026 (stockanalysis.com) - above the input's $6.5B estimate | flags: restructuring flag from the input is resolved - profitability is now clearly improving, but</t>
        </is>
      </c>
      <c r="M14" s="10" t="inlineStr">
        <is>
          <t>[VERIFIED NEW W6] "Engineering the driver experience" - lightweight seating and EV electrical-architecture technology pairs naturally with F1's driver-ergonomics, cockpit-comfort and lightweighting storylines. | The input's cost-cutting/restructuring</t>
        </is>
      </c>
    </row>
    <row r="15">
      <c r="A15" s="10" t="n">
        <v>12</v>
      </c>
      <c r="B15" s="10" t="inlineStr">
        <is>
          <t>W6</t>
        </is>
      </c>
      <c r="C15" s="10" t="inlineStr">
        <is>
          <t>43 Mobility &amp; Automotive</t>
        </is>
      </c>
      <c r="D15" s="10" t="n">
        <v>84</v>
      </c>
      <c r="E15" s="10" t="inlineStr">
        <is>
          <t>Iveco Group N.V.</t>
        </is>
      </c>
      <c r="F15" s="10" t="inlineStr">
        <is>
          <t>ivecogroup.com</t>
        </is>
      </c>
      <c r="G15" s="10" t="n"/>
      <c r="H15" s="10" t="n"/>
      <c r="I15" s="10" t="n"/>
      <c r="J15" s="10" t="inlineStr">
        <is>
          <t>unknown</t>
        </is>
      </c>
      <c r="K15" s="10" t="inlineStr">
        <is>
          <t>verified-new</t>
        </is>
      </c>
      <c r="L15" s="10" t="inlineStr">
        <is>
          <t xml:space="preserve">{'value': 'Consolidated net revenues €13.4B (~$14.5B) FY2025, down 7% YoY (Industrial Activities €13.1B, Adjusted EBIT €528M, ~4% margin)', 'source': 'Iveco Group 2025 Full Year and Fourth Quarter Results, Feb 2026 (ivecogroup.com / GlobeNewswire)'} </t>
        </is>
      </c>
      <c r="M15" s="10" t="inlineStr">
        <is>
          <t xml:space="preserve">[VERIFIED NEW W6] Team transporter/paddock logistics-vehicle partner or 'official truck partner' tied to Iveco's electrification push — team-level, not series-level, given DHL's existing F1 logistics category. | </t>
        </is>
      </c>
    </row>
    <row r="16">
      <c r="A16" s="10" t="n">
        <v>13</v>
      </c>
      <c r="B16" s="10" t="inlineStr">
        <is>
          <t>W6</t>
        </is>
      </c>
      <c r="C16" s="10" t="inlineStr">
        <is>
          <t>43 Mobility &amp; Automotive</t>
        </is>
      </c>
      <c r="D16" s="10" t="n">
        <v>84</v>
      </c>
      <c r="E16" s="10" t="inlineStr">
        <is>
          <t>Schneider National Inc</t>
        </is>
      </c>
      <c r="F16" s="10" t="inlineStr">
        <is>
          <t>schneider.com</t>
        </is>
      </c>
      <c r="G16" s="10" t="n"/>
      <c r="H16" s="10" t="n"/>
      <c r="I16" s="10" t="n"/>
      <c r="J16" s="10" t="inlineStr">
        <is>
          <t>unknown</t>
        </is>
      </c>
      <c r="K16" s="10" t="inlineStr">
        <is>
          <t>verified-new</t>
        </is>
      </c>
      <c r="L16" s="10" t="inlineStr">
        <is>
          <t>{'value': '$5.67B FY2025, up ~7% YoY; net income $104M; income from operations ~$169M', 'source': 'Schneider National Announces Fourth Quarter 2025 Results, Jan 2026 (investors.schneider.com)'} |  | flags: Distinct from Schneider Electric — must be u</t>
        </is>
      </c>
      <c r="M16" s="10" t="inlineStr">
        <is>
          <t xml:space="preserve">[VERIFIED NEW W6] US logistics/intermodal partner story built around the freight-market recovery, framed as team-level North America partner given DHL's series-level exclusivity. | </t>
        </is>
      </c>
    </row>
    <row r="17">
      <c r="A17" s="10" t="n">
        <v>14</v>
      </c>
      <c r="B17" s="10" t="inlineStr">
        <is>
          <t>W6</t>
        </is>
      </c>
      <c r="C17" s="10" t="inlineStr">
        <is>
          <t>43 Mobility &amp; Automotive</t>
        </is>
      </c>
      <c r="D17" s="10" t="n">
        <v>84</v>
      </c>
      <c r="E17" s="10" t="inlineStr">
        <is>
          <t>SG Holdings Co Ltd (Sagawa Express)</t>
        </is>
      </c>
      <c r="F17" s="10" t="inlineStr">
        <is>
          <t>sg-hldgs.co.jp</t>
        </is>
      </c>
      <c r="G17" s="10" t="n"/>
      <c r="H17" s="10" t="n"/>
      <c r="I17" s="10" t="n"/>
      <c r="J17" s="10" t="inlineStr">
        <is>
          <t>unknown</t>
        </is>
      </c>
      <c r="K17" s="10" t="inlineStr">
        <is>
          <t>verified-new</t>
        </is>
      </c>
      <c r="L17" s="10" t="inlineStr">
        <is>
          <t>{'value': '¥1.48T (~$10.2B at ~¥145/$1) for FY ended March 31, 2025, up 12.32% YoY — a strong rebound after an 8.2% decline the prior year', 'source': 'SG Holdings FY2025/3 results presentation (magicalir.net / stockanalysis.com)'} |  | flags: Prior-</t>
        </is>
      </c>
      <c r="M17" s="10" t="inlineStr">
        <is>
          <t xml:space="preserve">[VERIFIED NEW W6] Japan Grand Prix regional logistics/express-delivery partner, leaning on Sagawa Express's precision-timing delivery network as a natural parallel to F1 logistics operations. | </t>
        </is>
      </c>
    </row>
    <row r="18">
      <c r="A18" s="10" t="n">
        <v>15</v>
      </c>
      <c r="B18" s="10" t="inlineStr">
        <is>
          <t>W6</t>
        </is>
      </c>
      <c r="C18" s="10" t="inlineStr">
        <is>
          <t>43 Mobility &amp; Automotive</t>
        </is>
      </c>
      <c r="D18" s="10" t="n">
        <v>84</v>
      </c>
      <c r="E18" s="10" t="inlineStr">
        <is>
          <t>Agility Global PLC (aviation/logistics arm of Agility group; formerly filed under "Agility Public Warehousing Company KSCP")</t>
        </is>
      </c>
      <c r="F18" s="10" t="n"/>
      <c r="G18" s="10" t="n"/>
      <c r="H18" s="10" t="inlineStr">
        <is>
          <t>Aviation ground handling &amp; air cargo services (Menzies Aviation, world's largest ground/cargo handler by country count),</t>
        </is>
      </c>
      <c r="I18" s="10" t="n"/>
      <c r="J18" s="10" t="inlineStr">
        <is>
          <t>unknown</t>
        </is>
      </c>
      <c r="K18" s="10" t="inlineStr">
        <is>
          <t>verified-new</t>
        </is>
      </c>
      <c r="L18" s="10" t="inlineStr">
        <is>
          <t xml:space="preserve"> |  | flags: ENTITY MISMATCH: the input's financial/business description (revenue, GAC, Menzies Aviation) belongs to 'Agility Global PLC' (ADX: AGILITY), NOT the Kuwait-listed 'Agility Public Warehousing Company KSCP', which rebranded to 'Makhazen' (</t>
        </is>
      </c>
      <c r="M18" s="10" t="inlineStr">
        <is>
          <t>[VERIFIED NEW W6] Ground-handling/air-cargo logistics precision story via Menzies Aviation's 60-country network - position around 'the infrastructure that keeps world aviation (and race freight) moving,' distinct from the already-crowded airline spon</t>
        </is>
      </c>
    </row>
    <row r="19">
      <c r="A19" s="10" t="n">
        <v>16</v>
      </c>
      <c r="B19" s="10" t="inlineStr">
        <is>
          <t>W6</t>
        </is>
      </c>
      <c r="C19" s="10" t="inlineStr">
        <is>
          <t>43 Mobility &amp; Automotive</t>
        </is>
      </c>
      <c r="D19" s="10" t="n">
        <v>84</v>
      </c>
      <c r="E19" s="10" t="inlineStr">
        <is>
          <t>Saia Inc</t>
        </is>
      </c>
      <c r="F19" s="10" t="inlineStr">
        <is>
          <t>saia.com</t>
        </is>
      </c>
      <c r="G19" s="10" t="n"/>
      <c r="H19" s="10" t="inlineStr">
        <is>
          <t>Less-than-truckload (LTL) freight transportation, expanding US terminal network</t>
        </is>
      </c>
      <c r="I19" s="10" t="n"/>
      <c r="J19" s="10" t="inlineStr">
        <is>
          <t>unknown</t>
        </is>
      </c>
      <c r="K19" s="10" t="inlineStr">
        <is>
          <t>verified-new</t>
        </is>
      </c>
      <c r="L19" s="10" t="inlineStr">
        <is>
          <t xml:space="preserve"> |  | flags: FY2025 operating income declined ~27% YoY and revenue growth was flat (+0.8%) - profitability trend is softening, not clearly improving, this year.; Already a primary NASCAR sponsor (Joe Gibbs Racing) - proven motorsport marketing budget</t>
        </is>
      </c>
      <c r="M19" s="10" t="inlineStr">
        <is>
          <t xml:space="preserve">[VERIFIED NEW W6] Operational-precision/reliability story (LTL network expansion, on-time performance) framed like a pit-stop-efficiency analogy; useful entry point for a US-based F1 team given Saia's existing motorsport-sponsorship comfort level. | </t>
        </is>
      </c>
    </row>
    <row r="20">
      <c r="A20" s="10" t="n">
        <v>17</v>
      </c>
      <c r="B20" s="10" t="inlineStr">
        <is>
          <t>W6</t>
        </is>
      </c>
      <c r="C20" s="10" t="inlineStr">
        <is>
          <t>46 Tools &amp; Industrial Supply</t>
        </is>
      </c>
      <c r="D20" s="10" t="n">
        <v>84</v>
      </c>
      <c r="E20" s="10" t="inlineStr">
        <is>
          <t>Diploma PLC</t>
        </is>
      </c>
      <c r="F20" s="10" t="inlineStr">
        <is>
          <t>diplomaplc.com</t>
        </is>
      </c>
      <c r="G20" s="10" t="inlineStr">
        <is>
          <t>London, United Kingdom</t>
        </is>
      </c>
      <c r="H20" s="10" t="inlineStr">
        <is>
          <t>Specialty technical products distribution (seals, controls, life sciences)</t>
        </is>
      </c>
      <c r="I20" s="10" t="inlineStr">
        <is>
          <t>~3,000</t>
        </is>
      </c>
      <c r="J20" s="10" t="inlineStr">
        <is>
          <t>1k-5k</t>
        </is>
      </c>
      <c r="K20" s="10" t="inlineStr">
        <is>
          <t>verified-new</t>
        </is>
      </c>
      <c r="L20" s="10" t="inlineStr">
        <is>
          <t>£1,524.5M (~$2.05B), FY2025 (year ended Sep 2025), +12% YoY (Diploma FY25 full-year results, Nov 2025) | £9.75B market cap (~$13.1B) as of Sep 2026 (stockanalysis.com/companiesmarketcap) | flags: decentralized multi-business model means low single-br</t>
        </is>
      </c>
      <c r="M20" s="10" t="inlineStr">
        <is>
          <t>[VERIFIED NEW W6] "Trusted for critical systems" precision-engineering narrative - seals/controls reliability under extreme conditions maps naturally to F1's safety-critical component supply chain; life-sciences arm could alternatively support a driv</t>
        </is>
      </c>
    </row>
    <row r="21">
      <c r="A21" s="11" t="n">
        <v>18</v>
      </c>
      <c r="B21" s="11" t="inlineStr">
        <is>
          <t>W6</t>
        </is>
      </c>
      <c r="C21" s="11" t="inlineStr">
        <is>
          <t>43 Mobility &amp; Automotive</t>
        </is>
      </c>
      <c r="D21" s="11" t="n">
        <v>58</v>
      </c>
      <c r="E21" s="11" t="inlineStr">
        <is>
          <t>InterGlobe Aviation Limited (IndiGo)</t>
        </is>
      </c>
      <c r="F21" s="11" t="inlineStr">
        <is>
          <t>goindigo.in</t>
        </is>
      </c>
      <c r="G21" s="11" t="n"/>
      <c r="H21" s="11" t="inlineStr">
        <is>
          <t>Passenger airline services (India's largest carrier by market share)</t>
        </is>
      </c>
      <c r="I21" s="11" t="n"/>
      <c r="J21" s="11" t="inlineStr">
        <is>
          <t>unknown</t>
        </is>
      </c>
      <c r="K21" s="11" t="inlineStr">
        <is>
          <t>verified-stretch</t>
        </is>
      </c>
      <c r="L21" s="11" t="inlineStr">
        <is>
          <t xml:space="preserve"> |  | flags: Airline sponsor category at F1 is already crowded with four major Gulf/Asian carriers holding title-level deals - a fifth airline logo (even from an uncontested market like India) adds category clutter.; Mega-brand scale (~$18-19B market</t>
        </is>
      </c>
      <c r="M21" s="11" t="inlineStr">
        <is>
          <t>[VERIFIED NEW W6] India-market-growth and fan-travel narrative - position around India's expanding F1 fanbase and IndiGo's dominant domestic network, but expect this to be treated as a premium/aspirational logo rather than a quick-close gap-fill give</t>
        </is>
      </c>
    </row>
    <row r="22">
      <c r="A22" s="11" t="n">
        <v>19</v>
      </c>
      <c r="B22" s="11" t="inlineStr">
        <is>
          <t>W6</t>
        </is>
      </c>
      <c r="C22" s="11" t="inlineStr">
        <is>
          <t>21 Materials &amp; Mech Parts</t>
        </is>
      </c>
      <c r="D22" s="11" t="n">
        <v>52</v>
      </c>
      <c r="E22" s="11" t="inlineStr">
        <is>
          <t>Pentair plc</t>
        </is>
      </c>
      <c r="F22" s="11" t="inlineStr">
        <is>
          <t>pentair.com</t>
        </is>
      </c>
      <c r="G22" s="11" t="inlineStr">
        <is>
          <t>London, UK (Ireland-domiciled; US operating HQ)</t>
        </is>
      </c>
      <c r="H22" s="11" t="inlineStr">
        <is>
          <t>Water treatment, pool equipment and flow-control/pump systems for residential, commercial and industrial customers</t>
        </is>
      </c>
      <c r="I22" s="11" t="inlineStr">
        <is>
          <t>~10,500</t>
        </is>
      </c>
      <c r="J22" s="11" t="inlineStr">
        <is>
          <t>10k+</t>
        </is>
      </c>
      <c r="K22" s="11" t="inlineStr">
        <is>
          <t>verified-stretch</t>
        </is>
      </c>
      <c r="L22" s="11" t="inlineStr">
        <is>
          <t xml:space="preserve">FY2025 sales $4.2B, up 2% YoY; operating income $858M (20.5% margin, +80bps) (source: Pentair Q4/FY2025 results, Feb 3 2026, investors.pentair.com) | ~$9.0-9.6B market cap (Sep 2026, stockanalysis.com/companiesmarketcap.com) - materially below prior </t>
        </is>
      </c>
      <c r="M22" s="11" t="inlineStr">
        <is>
          <t xml:space="preserve">[VERIFIED NEW W6] Premium consumer water/pool brand seeking global lifestyle visibility, secondarily framed via flow-control/pump engineering precision. | Solid profitable margin expansion but consumer pool/water-treatment positioning lacks a strong </t>
        </is>
      </c>
    </row>
    <row r="23">
      <c r="A23" s="11" t="n">
        <v>20</v>
      </c>
      <c r="B23" s="11" t="inlineStr">
        <is>
          <t>W6</t>
        </is>
      </c>
      <c r="C23" s="11" t="inlineStr">
        <is>
          <t>21 Materials &amp; Mech Parts</t>
        </is>
      </c>
      <c r="D23" s="11" t="n">
        <v>52</v>
      </c>
      <c r="E23" s="11" t="inlineStr">
        <is>
          <t>Mueller Industries Inc</t>
        </is>
      </c>
      <c r="F23" s="11" t="inlineStr">
        <is>
          <t>muellerindustries.com</t>
        </is>
      </c>
      <c r="G23" s="11" t="inlineStr">
        <is>
          <t>Memphis, Tennessee, USA</t>
        </is>
      </c>
      <c r="H23" s="11" t="inlineStr">
        <is>
          <t xml:space="preserve">Copper, brass and plastic tube/fittings and piping systems for HVAC, plumbing, refrigeration, automotive and industrial </t>
        </is>
      </c>
      <c r="I23" s="11" t="inlineStr">
        <is>
          <t>~6,500</t>
        </is>
      </c>
      <c r="J23" s="11" t="inlineStr">
        <is>
          <t>5k-10k</t>
        </is>
      </c>
      <c r="K23" s="11" t="inlineStr">
        <is>
          <t>verified-stretch</t>
        </is>
      </c>
      <c r="L23" s="11" t="inlineStr">
        <is>
          <t>FY2025 (year ended Dec 27 2025) net sales $4.18B, up from $3.76B in FY2024 (source: Mueller Industries FY2025 10-K, sec.gov) | ~$13-15B market cap (mid-2026 range, stockanalysis.com/macrotrends) - materially above prior est. of ~$9B | flags: commodit</t>
        </is>
      </c>
      <c r="M23" s="11" t="inlineStr">
        <is>
          <t>[VERIFIED NEW W6] American manufacturing/materials engineering heritage - copper thermal and flow-system expertise framed as a cooling/heat-exchange engineering angle. | Profitable, diversified materials manufacturer, but copper tube/fittings is a lo</t>
        </is>
      </c>
    </row>
    <row r="24">
      <c r="A24" s="11" t="n">
        <v>21</v>
      </c>
      <c r="B24" s="11" t="inlineStr">
        <is>
          <t>W6</t>
        </is>
      </c>
      <c r="C24" s="11" t="inlineStr">
        <is>
          <t>33 Automation &amp; Robotics</t>
        </is>
      </c>
      <c r="D24" s="11" t="n">
        <v>52</v>
      </c>
      <c r="E24" s="11" t="inlineStr">
        <is>
          <t>Haier Smart Home Co Ltd</t>
        </is>
      </c>
      <c r="F24" s="11" t="inlineStr">
        <is>
          <t>haier.com</t>
        </is>
      </c>
      <c r="G24" s="11" t="inlineStr">
        <is>
          <t>Qingdao, China</t>
        </is>
      </c>
      <c r="H24" s="11" t="inlineStr">
        <is>
          <t>Home appliances and smart-home/industrial IoT solutions (Haier, GE Appliances, Candy brands)</t>
        </is>
      </c>
      <c r="I24" s="11" t="inlineStr">
        <is>
          <t>~100,000+</t>
        </is>
      </c>
      <c r="J24" s="11" t="inlineStr">
        <is>
          <t>10k+</t>
        </is>
      </c>
      <c r="K24" s="11" t="inlineStr">
        <is>
          <t>verified-stretch</t>
        </is>
      </c>
      <c r="L24" s="11" t="inlineStr">
        <is>
          <t>FY2025 revenue RMB 302.35B (~$42.1B), +5.71% YoY (source: Haier Smart Home FY2025 annual report, marketscreener.com/stockanalysis.com) | ~$26B market cap (most recent verified figure Jun 2026, companiesmarketcap.com; no more current Sep 2026 figure f</t>
        </is>
      </c>
      <c r="M24" s="11" t="inlineStr">
        <is>
          <t>[VERIFIED NEW W6] Revive the Candy/Haier motorsport heritage narrative (1979 Tyrrell sponsorship) to position GE Appliances/Candy as a premium global home-tech brand building Western consumer visibility. | Mega-brand global appliance revenue with a g</t>
        </is>
      </c>
    </row>
    <row r="25">
      <c r="A25" s="11" t="n">
        <v>22</v>
      </c>
      <c r="B25" s="11" t="inlineStr">
        <is>
          <t>W6</t>
        </is>
      </c>
      <c r="C25" s="11" t="inlineStr">
        <is>
          <t>40 Test &amp; Measurement</t>
        </is>
      </c>
      <c r="D25" s="11" t="n">
        <v>52</v>
      </c>
      <c r="E25" s="11" t="inlineStr">
        <is>
          <t>Xylem Inc</t>
        </is>
      </c>
      <c r="F25" s="11" t="inlineStr">
        <is>
          <t>xylem.com</t>
        </is>
      </c>
      <c r="G25" s="11" t="inlineStr">
        <is>
          <t>Washington, D.C., USA</t>
        </is>
      </c>
      <c r="H25" s="11" t="inlineStr">
        <is>
          <t>Water and wastewater treatment equipment, pumps, smart meters and analytics (Sensus, YSI) to municipalities and industri</t>
        </is>
      </c>
      <c r="I25" s="11" t="inlineStr">
        <is>
          <t>~23,000</t>
        </is>
      </c>
      <c r="J25" s="11" t="inlineStr">
        <is>
          <t>10k+</t>
        </is>
      </c>
      <c r="K25" s="11" t="inlineStr">
        <is>
          <t>verified-stretch</t>
        </is>
      </c>
      <c r="L25" s="11" t="inlineStr">
        <is>
          <t>FY2025 (year ended Dec 2025) revenue $9.0B, record year; FY2026 guidance $9.1-9.2B (source: Xylem Q4/FY2025 press release, Feb 9 2026, businesswire.com/xylem.com) | ~$26-30B market cap (varies by date, Jul-Sep 2026 sources); stock down ~31% from 52-w</t>
        </is>
      </c>
      <c r="M25" s="11" t="inlineStr">
        <is>
          <t xml:space="preserve">[VERIFIED NEW W6] Water stewardship / sustainability partner story, paired with precision fluid-engineering credibility (pumps, flow sensors) relevant to team facility and cooling-systems narratives. | Profitable global water-tech leader with record </t>
        </is>
      </c>
    </row>
    <row r="26">
      <c r="A26" s="11" t="n">
        <v>23</v>
      </c>
      <c r="B26" s="11" t="inlineStr">
        <is>
          <t>W6</t>
        </is>
      </c>
      <c r="C26" s="11" t="inlineStr">
        <is>
          <t>43 Mobility &amp; Automotive</t>
        </is>
      </c>
      <c r="D26" s="11" t="n">
        <v>52</v>
      </c>
      <c r="E26" s="11" t="inlineStr">
        <is>
          <t>MRF Limited</t>
        </is>
      </c>
      <c r="F26" s="11" t="inlineStr">
        <is>
          <t>mrftyres.com</t>
        </is>
      </c>
      <c r="G26" s="11" t="inlineStr">
        <is>
          <t>Chennai, India</t>
        </is>
      </c>
      <c r="H26" s="11" t="inlineStr">
        <is>
          <t>Tires for passenger, commercial vehicles and motorsport (India's largest tire maker)</t>
        </is>
      </c>
      <c r="I26" s="11" t="inlineStr">
        <is>
          <t>~18,000</t>
        </is>
      </c>
      <c r="J26" s="11" t="inlineStr">
        <is>
          <t>10k+</t>
        </is>
      </c>
      <c r="K26" s="11" t="inlineStr">
        <is>
          <t>verified-stretch</t>
        </is>
      </c>
      <c r="L26" s="11" t="inlineStr">
        <is>
          <t>₹316.54B (~$3.6B), FY2025-26 (ended Mar 2026), +11% YoY, crossing ₹300B for the first time (company results) | ~₹53,300 crore (~$6.1-6.4B) as of 18 Sep 2026 (screener.in, gurufocus) - materially below the input's ~$12B estimate | flags: market cap co</t>
        </is>
      </c>
      <c r="M26" s="11" t="inlineStr">
        <is>
          <t>[VERIFIED NEW W6] "From club racing to the global stage" - MRF's credible grassroots-to-global-formula motorsport lineage (F3, karting, rally) is a natural, authentic bridge into F1-adjacent or team-partner storytelling, aimed at capturing India's fa</t>
        </is>
      </c>
    </row>
    <row r="27">
      <c r="A27" s="11" t="n">
        <v>24</v>
      </c>
      <c r="B27" s="11" t="inlineStr">
        <is>
          <t>W6</t>
        </is>
      </c>
      <c r="C27" s="11" t="inlineStr">
        <is>
          <t>43 Mobility &amp; Automotive</t>
        </is>
      </c>
      <c r="D27" s="11" t="n">
        <v>52</v>
      </c>
      <c r="E27" s="11" t="inlineStr">
        <is>
          <t>Gentex Corporation</t>
        </is>
      </c>
      <c r="F27" s="11" t="inlineStr">
        <is>
          <t>gentex.com</t>
        </is>
      </c>
      <c r="G27" s="11" t="inlineStr">
        <is>
          <t>Zeeland, Michigan, USA</t>
        </is>
      </c>
      <c r="H27" s="11" t="inlineStr">
        <is>
          <t>Auto-dimming mirrors, camera/electronics modules for vehicle OEMs</t>
        </is>
      </c>
      <c r="I27" s="11" t="inlineStr">
        <is>
          <t>~8,000 (pre-VOXX; expanded following the April 2025 VOXX acquisition)</t>
        </is>
      </c>
      <c r="J27" s="11" t="inlineStr">
        <is>
          <t>5k-10k</t>
        </is>
      </c>
      <c r="K27" s="11" t="inlineStr">
        <is>
          <t>verified-stretch</t>
        </is>
      </c>
      <c r="L27" s="11" t="inlineStr">
        <is>
          <t>$2.53B consolidated CY2025 (incl. VOXX); core Gentex revenue $2.27B, -2% YoY on tariff/China-export headwinds (company results) | ~$4.95B market cap as of 16 Sep 2026 (stockanalysis.com) - down materially from the input's $7B estimate | flags: core (</t>
        </is>
      </c>
      <c r="M27" s="11" t="inlineStr">
        <is>
          <t>[VERIFIED NEW W6] If pursued, frame around camera/driver-monitoring electronics (ties to F1 driver-vision and safety-camera systems), but wait for VOXX integration and the organic revenue trend to stabilize before a full pitch. | No F1 conflict and n</t>
        </is>
      </c>
    </row>
    <row r="28">
      <c r="A28" s="11" t="n">
        <v>25</v>
      </c>
      <c r="B28" s="11" t="inlineStr">
        <is>
          <t>W6</t>
        </is>
      </c>
      <c r="C28" s="11" t="inlineStr">
        <is>
          <t>43 Mobility &amp; Automotive</t>
        </is>
      </c>
      <c r="D28" s="11" t="n">
        <v>52</v>
      </c>
      <c r="E28" s="11" t="inlineStr">
        <is>
          <t>Visteon Corporation</t>
        </is>
      </c>
      <c r="F28" s="11" t="inlineStr">
        <is>
          <t>visteon.com</t>
        </is>
      </c>
      <c r="G28" s="11" t="inlineStr">
        <is>
          <t>Van Buren Township, Michigan, USA</t>
        </is>
      </c>
      <c r="H28" s="11" t="inlineStr">
        <is>
          <t>Digital cockpit electronics, displays and connected-car technology</t>
        </is>
      </c>
      <c r="I28" s="11" t="inlineStr">
        <is>
          <t>~10,500</t>
        </is>
      </c>
      <c r="J28" s="11" t="inlineStr">
        <is>
          <t>10k+</t>
        </is>
      </c>
      <c r="K28" s="11" t="inlineStr">
        <is>
          <t>verified-stretch</t>
        </is>
      </c>
      <c r="L28" s="11" t="inlineStr">
        <is>
          <t>$3.768B FY2025 (company full-year results); record adjusted EBITDA of $492M (13.1% margin) | ~$2.6-2.85B market cap as of mid-Sep 2026 (stockanalysis.com) - confirmed below the input's already-borderline $3.3B estimate | flags: market cap confirmed s</t>
        </is>
      </c>
      <c r="M28" s="11" t="inlineStr">
        <is>
          <t>[VERIFIED NEW W6] Digital-cockpit/telemetry-display technology narrative maps directly onto F1 broadcast graphics and in-car driver-display storylines - but size the ask modestly given the smaller balance sheet. | Strong operating momentum (record ma</t>
        </is>
      </c>
    </row>
    <row r="29">
      <c r="A29" s="11" t="n">
        <v>26</v>
      </c>
      <c r="B29" s="11" t="inlineStr">
        <is>
          <t>W6</t>
        </is>
      </c>
      <c r="C29" s="11" t="inlineStr">
        <is>
          <t>43 Mobility &amp; Automotive</t>
        </is>
      </c>
      <c r="D29" s="11" t="n">
        <v>52</v>
      </c>
      <c r="E29" s="11" t="inlineStr">
        <is>
          <t>Yamato Holdings Co Ltd</t>
        </is>
      </c>
      <c r="F29" s="11" t="inlineStr">
        <is>
          <t>yamato-hd.co.jp</t>
        </is>
      </c>
      <c r="G29" s="11" t="n"/>
      <c r="H29" s="11" t="n"/>
      <c r="I29" s="11" t="n"/>
      <c r="J29" s="11" t="inlineStr">
        <is>
          <t>unknown</t>
        </is>
      </c>
      <c r="K29" s="11" t="inlineStr">
        <is>
          <t>verified-stretch</t>
        </is>
      </c>
      <c r="L29" s="11" t="inlineStr">
        <is>
          <t>{'value': '¥1,762.7B (~$12.1B at ~¥145/$1) for FY ended March 31, 2025, up slightly YoY; operating profit only ¥14.2B (~0.8% operating margin)', 'source': 'Yamato Holdings Summary of Financial Results / Integrated Report 2025 (yamato-hd.co.jp)'} |  |</t>
        </is>
      </c>
      <c r="M29" s="11" t="inlineStr">
        <is>
          <t xml:space="preserve">[VERIFIED NEW W6] Japan Grand Prix (Suzuka) regional partner leaning on the iconic Kuroneko Yamato consumer brand, positioned as a lower-commitment regional deal rather than a full team partnership given the margin risk. | </t>
        </is>
      </c>
    </row>
    <row r="30">
      <c r="A30" s="11" t="n">
        <v>27</v>
      </c>
      <c r="B30" s="11" t="inlineStr">
        <is>
          <t>W6</t>
        </is>
      </c>
      <c r="C30" s="11" t="inlineStr">
        <is>
          <t>43 Mobility &amp; Automotive</t>
        </is>
      </c>
      <c r="D30" s="11" t="n">
        <v>52</v>
      </c>
      <c r="E30" s="11" t="inlineStr">
        <is>
          <t>KLN Logistics Group Limited (formerly Kerry Logistics Network; renamed 2025)</t>
        </is>
      </c>
      <c r="F30" s="11" t="inlineStr">
        <is>
          <t>kln-logistics.com</t>
        </is>
      </c>
      <c r="G30" s="11" t="n"/>
      <c r="H30" s="11" t="inlineStr">
        <is>
          <t>Freight forwarding (International Freight Forwarding segment) and integrated logistics/warehousing (Integrated Logistics</t>
        </is>
      </c>
      <c r="I30" s="11" t="n"/>
      <c r="J30" s="11" t="inlineStr">
        <is>
          <t>unknown</t>
        </is>
      </c>
      <c r="K30" s="11" t="inlineStr">
        <is>
          <t>verified-stretch</t>
        </is>
      </c>
      <c r="L30" s="11" t="inlineStr">
        <is>
          <t xml:space="preserve"> |  | flags: Input's revenue (~$18B) and market cap (~$3-4B) estimates were both materially overstated - actual figures are ~$7.2B revenue and ~$1.3-1.6B market cap, making this the smallest company in the batch by a wide margin.; Majority (51.8%) ow</t>
        </is>
      </c>
      <c r="M30" s="11" t="inlineStr">
        <is>
          <t xml:space="preserve">[VERIFIED NEW W6] Asia/China market-access story for a team building its APAC commercial presence - lead with SF Holding/KLN's combined China-Southeast Asia freight network rather than KLN's standalone scale. | </t>
        </is>
      </c>
    </row>
  </sheetData>
  <autoFilter ref="A3:M3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2"/>
  <sheetViews>
    <sheetView workbookViewId="0">
      <pane ySplit="3" topLeftCell="A4" activePane="bottomLeft" state="frozen"/>
      <selection pane="bottomLeft" activeCell="A1" sqref="A1"/>
    </sheetView>
  </sheetViews>
  <sheetFormatPr baseColWidth="8" defaultRowHeight="15"/>
  <cols>
    <col width="5" customWidth="1" min="1" max="1"/>
    <col width="7" customWidth="1" min="2" max="2"/>
    <col width="24" customWidth="1" min="3" max="3"/>
    <col width="9" customWidth="1" min="4" max="4"/>
    <col width="30" customWidth="1" min="5" max="5"/>
    <col width="22" customWidth="1" min="6" max="6"/>
    <col width="20" customWidth="1" min="7" max="7"/>
    <col width="40" customWidth="1" min="8" max="8"/>
    <col width="16" customWidth="1" min="9" max="9"/>
    <col width="10" customWidth="1" min="10" max="10"/>
    <col width="14" customWidth="1" min="11" max="11"/>
    <col width="60" customWidth="1" min="12" max="12"/>
    <col width="70" customWidth="1" min="13" max="13"/>
  </cols>
  <sheetData>
    <row r="1">
      <c r="A1" s="1" t="inlineStr">
        <is>
          <t>Wave 7 - Energy - 39 brands</t>
        </is>
      </c>
    </row>
    <row r="2">
      <c r="A2" s="8" t="inlineStr">
        <is>
          <t>New brands only (not in the original master before this work). Blue = verified-new (all parameters pass), amber = verified-stretch. Source: F1-New-Brands-By-Wave-2026-09.xlsx tab "W7 Energy".</t>
        </is>
      </c>
    </row>
    <row r="3" ht="30" customHeight="1">
      <c r="A3" s="9" t="inlineStr">
        <is>
          <t>#</t>
        </is>
      </c>
      <c r="B3" s="9" t="inlineStr">
        <is>
          <t>wave</t>
        </is>
      </c>
      <c r="C3" s="9" t="inlineStr">
        <is>
          <t>sector_tab</t>
        </is>
      </c>
      <c r="D3" s="9" t="inlineStr">
        <is>
          <t>priority_score</t>
        </is>
      </c>
      <c r="E3" s="9" t="inlineStr">
        <is>
          <t>company</t>
        </is>
      </c>
      <c r="F3" s="9" t="inlineStr">
        <is>
          <t>domain</t>
        </is>
      </c>
      <c r="G3" s="9" t="inlineStr">
        <is>
          <t>hq_country</t>
        </is>
      </c>
      <c r="H3" s="9" t="inlineStr">
        <is>
          <t>niche</t>
        </is>
      </c>
      <c r="I3" s="9" t="inlineStr">
        <is>
          <t>employees_est</t>
        </is>
      </c>
      <c r="J3" s="9" t="inlineStr">
        <is>
          <t>size_band</t>
        </is>
      </c>
      <c r="K3" s="9" t="inlineStr">
        <is>
          <t>tag</t>
        </is>
      </c>
      <c r="L3" s="9" t="inlineStr">
        <is>
          <t>affordability</t>
        </is>
      </c>
      <c r="M3" s="9" t="inlineStr">
        <is>
          <t>why_f1</t>
        </is>
      </c>
    </row>
    <row r="4">
      <c r="A4" s="10" t="n">
        <v>1</v>
      </c>
      <c r="B4" s="10" t="inlineStr">
        <is>
          <t>W7</t>
        </is>
      </c>
      <c r="C4" s="10" t="inlineStr">
        <is>
          <t>02 Energy &amp; Industrial</t>
        </is>
      </c>
      <c r="D4" s="10" t="n">
        <v>92</v>
      </c>
      <c r="E4" s="10" t="inlineStr">
        <is>
          <t>Enbridge</t>
        </is>
      </c>
      <c r="F4" s="10" t="inlineStr">
        <is>
          <t>enbridge.com</t>
        </is>
      </c>
      <c r="G4" s="10" t="n"/>
      <c r="H4" s="10" t="inlineStr">
        <is>
          <t>Crude oil and natural gas pipelines, gas utility distribution, and growing renewable power portfolio across North Americ</t>
        </is>
      </c>
      <c r="I4" s="10" t="n"/>
      <c r="J4" s="10" t="inlineStr">
        <is>
          <t>unknown</t>
        </is>
      </c>
      <c r="K4" s="10" t="inlineStr">
        <is>
          <t>verified-new</t>
        </is>
      </c>
      <c r="L4" s="10" t="inlineStr">
        <is>
          <t>~$46.8B USD / ~$65.2B CAD FY2025, +22% YoY (stockanalysis.com); record 2025 results, Adjusted EBITDA $20.0B (+7% YoY) per enbridge.com |  | flags: CAD/USD dual reporting complicates deal-value framing; market cap figure partially estimate</t>
        </is>
      </c>
      <c r="M4" s="10" t="inlineStr">
        <is>
          <t xml:space="preserve">[VERIFIED NEW W7] Net Zero 2030 renewables (offshore wind/solar) story plus Canadian GP hospitality and fan engagement given home-market proximity. | </t>
        </is>
      </c>
    </row>
    <row r="5">
      <c r="A5" s="10" t="n">
        <v>2</v>
      </c>
      <c r="B5" s="10" t="inlineStr">
        <is>
          <t>W7</t>
        </is>
      </c>
      <c r="C5" s="10" t="inlineStr">
        <is>
          <t>02 Energy &amp; Industrial</t>
        </is>
      </c>
      <c r="D5" s="10" t="n">
        <v>92</v>
      </c>
      <c r="E5" s="10" t="inlineStr">
        <is>
          <t>Targa Resources</t>
        </is>
      </c>
      <c r="F5" s="10" t="inlineStr">
        <is>
          <t>targaresources.com</t>
        </is>
      </c>
      <c r="G5" s="10" t="n"/>
      <c r="H5" s="10" t="inlineStr">
        <is>
          <t>NGL gathering, processing, fractionation, storage and export (Permian-focused) to petrochemical and export buyers</t>
        </is>
      </c>
      <c r="I5" s="10" t="n"/>
      <c r="J5" s="10" t="inlineStr">
        <is>
          <t>unknown</t>
        </is>
      </c>
      <c r="K5" s="10" t="inlineStr">
        <is>
          <t>verified-new</t>
        </is>
      </c>
      <c r="L5" s="10" t="inlineStr">
        <is>
          <t>$17.0B FY2025 (targaresources.com / last10k.com 10-K), net income $1.92B |  | flags: geographic concentration in the Permian basin</t>
        </is>
      </c>
      <c r="M5" s="10" t="inlineStr">
        <is>
          <t xml:space="preserve">[VERIFIED NEW W7] Fastest-growing US energy-infrastructure story; Houston/Texas hospitality tie-in with the US GP (COTA). | </t>
        </is>
      </c>
    </row>
    <row r="6">
      <c r="A6" s="10" t="n">
        <v>3</v>
      </c>
      <c r="B6" s="10" t="inlineStr">
        <is>
          <t>W7</t>
        </is>
      </c>
      <c r="C6" s="10" t="inlineStr">
        <is>
          <t>02 Energy &amp; Industrial</t>
        </is>
      </c>
      <c r="D6" s="10" t="n">
        <v>92</v>
      </c>
      <c r="E6" s="10" t="inlineStr">
        <is>
          <t>SLB (Schlumberger)</t>
        </is>
      </c>
      <c r="F6" s="10" t="inlineStr">
        <is>
          <t>slb.com</t>
        </is>
      </c>
      <c r="G6" s="10" t="n"/>
      <c r="H6" s="10" t="inlineStr">
        <is>
          <t>Oilfield services, drilling technology, digital/AI subsurface software and new-energy (CCS, hydrogen, geothermal) soluti</t>
        </is>
      </c>
      <c r="I6" s="10" t="n"/>
      <c r="J6" s="10" t="inlineStr">
        <is>
          <t>unknown</t>
        </is>
      </c>
      <c r="K6" s="10" t="inlineStr">
        <is>
          <t>verified-new</t>
        </is>
      </c>
      <c r="L6" s="10" t="inlineStr">
        <is>
          <t>$35.71B FY2025, -1.6% YoY (macrotrends.net); TTM June 2026 $36.37B, +2.5% YoY (recovering) |  | flags: FY2025 revenue declined slightly YoY (oilfield-services cyclicality); true global footprint means complex multi-market sponsorship coordination</t>
        </is>
      </c>
      <c r="M6" s="10" t="inlineStr">
        <is>
          <t xml:space="preserve">[VERIFIED NEW W7] Global technical/engineering partner - New Energy (CCS, hydrogen, geothermal, lithium) innovation narrative as an official technology partner across the full F1 calendar. | </t>
        </is>
      </c>
    </row>
    <row r="7">
      <c r="A7" s="10" t="n">
        <v>4</v>
      </c>
      <c r="B7" s="10" t="inlineStr">
        <is>
          <t>W7</t>
        </is>
      </c>
      <c r="C7" s="10" t="inlineStr">
        <is>
          <t>02 Energy &amp; Industrial</t>
        </is>
      </c>
      <c r="D7" s="10" t="n">
        <v>92</v>
      </c>
      <c r="E7" s="10" t="inlineStr">
        <is>
          <t>TechnipFMC</t>
        </is>
      </c>
      <c r="F7" s="10" t="inlineStr">
        <is>
          <t>technipfmc.com</t>
        </is>
      </c>
      <c r="G7" s="10" t="n"/>
      <c r="H7" s="10" t="inlineStr">
        <is>
          <t>Subsea production systems, surface technologies and engineering for offshore oil &amp; gas operators</t>
        </is>
      </c>
      <c r="I7" s="10" t="n"/>
      <c r="J7" s="10" t="inlineStr">
        <is>
          <t>unknown</t>
        </is>
      </c>
      <c r="K7" s="10" t="inlineStr">
        <is>
          <t>verified-new</t>
        </is>
      </c>
      <c r="L7" s="10" t="inlineStr">
        <is>
          <t>$9.8B FY2025 revenue (confirmed via SEC 8-K/10-Q filings and FY2026 guidance of ~$10.4-10.9B combined Subsea + Surface Technologies); materially above input's $6.9B est. |  | flags: market cap materially higher than input est. ($29.4B vs $16B) - reco</t>
        </is>
      </c>
      <c r="M7" s="10" t="inlineStr">
        <is>
          <t xml:space="preserve">[VERIFIED NEW W7] Precision subsea engineering &amp; advanced-materials technology partner - deepwater robotics, digital twin and high-pressure systems parallel F1's extreme-engineering story. | </t>
        </is>
      </c>
    </row>
    <row r="8">
      <c r="A8" s="10" t="n">
        <v>5</v>
      </c>
      <c r="B8" s="10" t="inlineStr">
        <is>
          <t>W7</t>
        </is>
      </c>
      <c r="C8" s="10" t="inlineStr">
        <is>
          <t>02 Energy &amp; Industrial</t>
        </is>
      </c>
      <c r="D8" s="10" t="n">
        <v>92</v>
      </c>
      <c r="E8" s="10" t="inlineStr">
        <is>
          <t>Ormat Technologies</t>
        </is>
      </c>
      <c r="F8" s="10" t="inlineStr">
        <is>
          <t>ormat.com</t>
        </is>
      </c>
      <c r="G8" s="10" t="n"/>
      <c r="H8" s="10" t="inlineStr">
        <is>
          <t xml:space="preserve">Geothermal and battery-storage power generation and geothermal equipment, sold as power (PPAs) and turnkey equipment to </t>
        </is>
      </c>
      <c r="I8" s="10" t="n"/>
      <c r="J8" s="10" t="inlineStr">
        <is>
          <t>unknown</t>
        </is>
      </c>
      <c r="K8" s="10" t="inlineStr">
        <is>
          <t>verified-new</t>
        </is>
      </c>
      <c r="L8" s="10" t="inlineStr">
        <is>
          <t xml:space="preserve"> |  | flags: not F1-tied; not state-owned; dual US/Israel HQ - geopolitical sensitivity worth noting but not disqualifying; market cap updated upward from estimate</t>
        </is>
      </c>
      <c r="M8" s="10" t="inlineStr">
        <is>
          <t>[VERIFIED NEW W7] Unique 'always-on clean baseload power' narrative - no other geothermal brand is in the F1 paddock, differentiates from wind/solar sponsors already in market; pairs well with Net Zero 2030 messaging. | Only large-cap pure-play geoth</t>
        </is>
      </c>
    </row>
    <row r="9">
      <c r="A9" s="10" t="n">
        <v>6</v>
      </c>
      <c r="B9" s="10" t="inlineStr">
        <is>
          <t>W7</t>
        </is>
      </c>
      <c r="C9" s="10" t="inlineStr">
        <is>
          <t>02 Energy &amp; Industrial</t>
        </is>
      </c>
      <c r="D9" s="10" t="n">
        <v>92</v>
      </c>
      <c r="E9" s="10" t="inlineStr">
        <is>
          <t>TransAlta Corporation</t>
        </is>
      </c>
      <c r="F9" s="10" t="inlineStr">
        <is>
          <t>transalta.com</t>
        </is>
      </c>
      <c r="G9" s="10" t="n"/>
      <c r="H9" s="10" t="inlineStr">
        <is>
          <t>Wind, hydro, solar and gas power generation sold via PPAs to North American and Australian markets</t>
        </is>
      </c>
      <c r="I9" s="10" t="n"/>
      <c r="J9" s="10" t="inlineStr">
        <is>
          <t>unknown</t>
        </is>
      </c>
      <c r="K9" s="10" t="inlineStr">
        <is>
          <t>verified-new</t>
        </is>
      </c>
      <c r="L9" s="10" t="inlineStr">
        <is>
          <t xml:space="preserve"> |  | flags: not F1-tied; not state-owned; revenue updated upward from original estimate</t>
        </is>
      </c>
      <c r="M9" s="10" t="inlineStr">
        <is>
          <t>[VERIFIED NEW W7] Coal-to-clean 'transition proof point' narrative, ideal for Net Zero 2030 storytelling, paired with Canadian GP hospitality. | Long-established, fully independent Canadian IPP with a completed coal-to-clean transition, confirmed fin</t>
        </is>
      </c>
    </row>
    <row r="10">
      <c r="A10" s="10" t="n">
        <v>7</v>
      </c>
      <c r="B10" s="10" t="inlineStr">
        <is>
          <t>W7</t>
        </is>
      </c>
      <c r="C10" s="10" t="inlineStr">
        <is>
          <t>02 Energy &amp; Industrial</t>
        </is>
      </c>
      <c r="D10" s="10" t="n">
        <v>92</v>
      </c>
      <c r="E10" s="10" t="inlineStr">
        <is>
          <t>UPM-Kymmene</t>
        </is>
      </c>
      <c r="F10" s="10" t="inlineStr">
        <is>
          <t>upm.com</t>
        </is>
      </c>
      <c r="G10" s="10" t="n"/>
      <c r="H10" s="10" t="inlineStr">
        <is>
          <t>Pulp, paper, biofuels, biochemicals and forest products (incl. renewable diesel/biofuel from UPM Biofuels) to global ind</t>
        </is>
      </c>
      <c r="I10" s="10" t="n"/>
      <c r="J10" s="10" t="inlineStr">
        <is>
          <t>unknown</t>
        </is>
      </c>
      <c r="K10" s="10" t="inlineStr">
        <is>
          <t>verified-new</t>
        </is>
      </c>
      <c r="L10" s="10" t="inlineStr">
        <is>
          <t xml:space="preserve"> |  | flags: not F1-tied; not state-owned (confirmed institutional free float); commodity/paper-price cyclicality inherent to forestry sector - judge on actuals at outreach; market cap modestly below original estimate - update</t>
        </is>
      </c>
      <c r="M10" s="10" t="inlineStr">
        <is>
          <t>[VERIFIED NEW W7] Bio-feedstock / renewable-diesel supplier angle tied directly to F1's 2026 100%-sustainable-fuel era - a credible, non-fossil energy-adjacent story distinct from typical oil-major fuel partners. | Confirmed large-cap forestry/biomat</t>
        </is>
      </c>
    </row>
    <row r="11">
      <c r="A11" s="10" t="n">
        <v>8</v>
      </c>
      <c r="B11" s="10" t="inlineStr">
        <is>
          <t>W7</t>
        </is>
      </c>
      <c r="C11" s="10" t="inlineStr">
        <is>
          <t>02 Energy &amp; Industrial</t>
        </is>
      </c>
      <c r="D11" s="10" t="n">
        <v>92</v>
      </c>
      <c r="E11" s="10" t="inlineStr">
        <is>
          <t>Weyerhaeuser</t>
        </is>
      </c>
      <c r="F11" s="10" t="inlineStr">
        <is>
          <t>weyerhaeuser.com</t>
        </is>
      </c>
      <c r="G11" s="10" t="n"/>
      <c r="H11" s="10" t="inlineStr">
        <is>
          <t>Timberland management, wood products and forest carbon/mitigation-bank credits to construction, industrial and carbon-ma</t>
        </is>
      </c>
      <c r="I11" s="10" t="n"/>
      <c r="J11" s="10" t="inlineStr">
        <is>
          <t>unknown</t>
        </is>
      </c>
      <c r="K11" s="10" t="inlineStr">
        <is>
          <t>verified-new</t>
        </is>
      </c>
      <c r="L11" s="10" t="inlineStr">
        <is>
          <t xml:space="preserve"> |  | flags: not F1-tied; not state-owned; REIT structure (dividend-focused capital allocation - confirm marketing budget authority); revenue/market cap both confirmed close to estimate</t>
        </is>
      </c>
      <c r="M11" s="10" t="inlineStr">
        <is>
          <t>[VERIFIED NEW W7] Nature-based-solutions / forest-carbon-credit narrative - among the strongest 'real' sustainability stories in the pool for Net Zero 2030 messaging; REIT scale supports sponsorship budget capacity. | Confirmed as the largest private</t>
        </is>
      </c>
    </row>
    <row r="12">
      <c r="A12" s="10" t="n">
        <v>9</v>
      </c>
      <c r="B12" s="10" t="inlineStr">
        <is>
          <t>W7</t>
        </is>
      </c>
      <c r="C12" s="10" t="inlineStr">
        <is>
          <t>02 Energy &amp; Industrial</t>
        </is>
      </c>
      <c r="D12" s="10" t="n">
        <v>92</v>
      </c>
      <c r="E12" s="10" t="inlineStr">
        <is>
          <t>Svenska Cellulosa AB (SCA)</t>
        </is>
      </c>
      <c r="F12" s="10" t="inlineStr">
        <is>
          <t>sca.com</t>
        </is>
      </c>
      <c r="G12" s="10" t="n"/>
      <c r="H12" s="10" t="inlineStr">
        <is>
          <t>Forestry, sawn timber, pulp, renewable energy (wind on own land) and biofuel products to European industrial buyers</t>
        </is>
      </c>
      <c r="I12" s="10" t="n"/>
      <c r="J12" s="10" t="inlineStr">
        <is>
          <t>unknown</t>
        </is>
      </c>
      <c r="K12" s="10" t="inlineStr">
        <is>
          <t>verified-new</t>
        </is>
      </c>
      <c r="L12" s="10" t="inlineStr">
        <is>
          <t xml:space="preserve"> |  | flags: not F1-tied; not state-owned; concentrated private ownership (Handelsbanken/Kempe sphere) - governance note, not disqualifying; revenue/market cap both confirmed close to estimate</t>
        </is>
      </c>
      <c r="M12" s="10" t="inlineStr">
        <is>
          <t>[VERIFIED NEW W7] Sustainable-materials + on-land renewable energy (wind/biofuel) story for Net Zero 2030, strong resonance with F1's European fanbase and Scandinavian GP-adjacent markets. | Confirmed as Europe's largest private forest owner with gro</t>
        </is>
      </c>
    </row>
    <row r="13">
      <c r="A13" s="10" t="n">
        <v>10</v>
      </c>
      <c r="B13" s="10" t="inlineStr">
        <is>
          <t>W7</t>
        </is>
      </c>
      <c r="C13" s="10" t="inlineStr">
        <is>
          <t>02 Energy &amp; Industrial</t>
        </is>
      </c>
      <c r="D13" s="10" t="n">
        <v>84</v>
      </c>
      <c r="E13" s="10" t="inlineStr">
        <is>
          <t>Energy Transfer</t>
        </is>
      </c>
      <c r="F13" s="10" t="inlineStr">
        <is>
          <t>energytransfer.com</t>
        </is>
      </c>
      <c r="G13" s="10" t="n"/>
      <c r="H13" s="10" t="inlineStr">
        <is>
          <t>Midstream: crude, NGL and natural gas pipelines, storage, terminals and LNG export capacity</t>
        </is>
      </c>
      <c r="I13" s="10" t="n"/>
      <c r="J13" s="10" t="inlineStr">
        <is>
          <t>unknown</t>
        </is>
      </c>
      <c r="K13" s="10" t="inlineStr">
        <is>
          <t>verified-new</t>
        </is>
      </c>
      <c r="L13" s="10" t="inlineStr">
        <is>
          <t>Adjusted EBITDA $16.0B FY2025 (+3% YoY) per ir.energytransfer.com Q4 2025 release; exact total revenue figure not isolated from FY2025 10-K in search results, ~$85B (est) - search budget partially spent on this line |  | flags: MLP structure (K-1 tax</t>
        </is>
      </c>
      <c r="M13" s="10" t="inlineStr">
        <is>
          <t xml:space="preserve">[VERIFIED NEW W7] Energy-infrastructure/logistics partner narrative with US GP (COTA/Miami/Las Vegas) corporate hospitality. | </t>
        </is>
      </c>
    </row>
    <row r="14">
      <c r="A14" s="10" t="n">
        <v>11</v>
      </c>
      <c r="B14" s="10" t="inlineStr">
        <is>
          <t>W7</t>
        </is>
      </c>
      <c r="C14" s="10" t="inlineStr">
        <is>
          <t>02 Energy &amp; Industrial</t>
        </is>
      </c>
      <c r="D14" s="10" t="n">
        <v>84</v>
      </c>
      <c r="E14" s="10" t="inlineStr">
        <is>
          <t>Williams Companies</t>
        </is>
      </c>
      <c r="F14" s="10" t="inlineStr">
        <is>
          <t>williams.com</t>
        </is>
      </c>
      <c r="G14" s="10" t="n"/>
      <c r="H14" s="10" t="inlineStr">
        <is>
          <t>Natural gas gathering, processing and pipeline transport (Transco system) serving US utilities and LNG exporters</t>
        </is>
      </c>
      <c r="I14" s="10" t="n"/>
      <c r="J14" s="10" t="inlineStr">
        <is>
          <t>unknown</t>
        </is>
      </c>
      <c r="K14" s="10" t="inlineStr">
        <is>
          <t>verified-new</t>
        </is>
      </c>
      <c r="L14" s="10" t="inlineStr">
        <is>
          <t>$11.83B FY2025, +10.0% YoY (stockanalysis.com); GAAP net income $2.22B, record Adjusted EBITDA $7.08B |  | flags: revenue modest relative to market cap (regulated, asset-heavy pipeline economics); estimate flagged on exact Sept 2026 market cap timing</t>
        </is>
      </c>
      <c r="M14" s="10" t="inlineStr">
        <is>
          <t xml:space="preserve">[VERIFIED NEW W7] Decarbonization/CCS technology-partner narrative paired with hospitality activation. | </t>
        </is>
      </c>
    </row>
    <row r="15">
      <c r="A15" s="10" t="n">
        <v>12</v>
      </c>
      <c r="B15" s="10" t="inlineStr">
        <is>
          <t>W7</t>
        </is>
      </c>
      <c r="C15" s="10" t="inlineStr">
        <is>
          <t>02 Energy &amp; Industrial</t>
        </is>
      </c>
      <c r="D15" s="10" t="n">
        <v>84</v>
      </c>
      <c r="E15" s="10" t="inlineStr">
        <is>
          <t>TC Energy</t>
        </is>
      </c>
      <c r="F15" s="10" t="inlineStr">
        <is>
          <t>tcenergy.com</t>
        </is>
      </c>
      <c r="G15" s="10" t="n"/>
      <c r="H15" s="10" t="inlineStr">
        <is>
          <t>Natural gas pipelines (NGTL, Columbia), liquids pipelines (Keystone via spin-off South Bow) and power generation</t>
        </is>
      </c>
      <c r="I15" s="10" t="n"/>
      <c r="J15" s="10" t="inlineStr">
        <is>
          <t>unknown</t>
        </is>
      </c>
      <c r="K15" s="10" t="inlineStr">
        <is>
          <t>verified-new</t>
        </is>
      </c>
      <c r="L15" s="10" t="inlineStr">
        <is>
          <t>~$15.2B CAD FY2025, +10.7% YoY (companiesmarketcap.com); alternate source reports $10.9B (currency/scope discrepancy) |  | flags: revenue figure has a currency/source discrepancy (CAD vs USD reporting); recent Keystone/South Bow spin-off is a corpora</t>
        </is>
      </c>
      <c r="M15" s="10" t="inlineStr">
        <is>
          <t xml:space="preserve">[VERIFIED NEW W7] Infrastructure-reliability/ESG story plus Canadian GP corporate hospitality package. | </t>
        </is>
      </c>
    </row>
    <row r="16">
      <c r="A16" s="10" t="n">
        <v>13</v>
      </c>
      <c r="B16" s="10" t="inlineStr">
        <is>
          <t>W7</t>
        </is>
      </c>
      <c r="C16" s="10" t="inlineStr">
        <is>
          <t>02 Energy &amp; Industrial</t>
        </is>
      </c>
      <c r="D16" s="10" t="n">
        <v>84</v>
      </c>
      <c r="E16" s="10" t="inlineStr">
        <is>
          <t>Kinder Morgan</t>
        </is>
      </c>
      <c r="F16" s="10" t="inlineStr">
        <is>
          <t>kindermorgan.com</t>
        </is>
      </c>
      <c r="G16" s="10" t="n"/>
      <c r="H16" s="10" t="inlineStr">
        <is>
          <t>Natural gas, products and CO2 pipelines, terminals and storage across North America</t>
        </is>
      </c>
      <c r="I16" s="10" t="n"/>
      <c r="J16" s="10" t="inlineStr">
        <is>
          <t>unknown</t>
        </is>
      </c>
      <c r="K16" s="10" t="inlineStr">
        <is>
          <t>verified-new</t>
        </is>
      </c>
      <c r="L16" s="10" t="inlineStr">
        <is>
          <t>$16.94B FY2025, +12.2% YoY (macrotrends.net) |  | flags: some FY2025 figures found are budget/guidance rather than confirmed final actuals; estimate flagged</t>
        </is>
      </c>
      <c r="M16" s="10" t="inlineStr">
        <is>
          <t xml:space="preserve">[VERIFIED NEW W7] Carbon-capture/CO2 pipeline 'Net Zero 2030' technology-partner narrative. | </t>
        </is>
      </c>
    </row>
    <row r="17">
      <c r="A17" s="10" t="n">
        <v>14</v>
      </c>
      <c r="B17" s="10" t="inlineStr">
        <is>
          <t>W7</t>
        </is>
      </c>
      <c r="C17" s="10" t="inlineStr">
        <is>
          <t>02 Energy &amp; Industrial</t>
        </is>
      </c>
      <c r="D17" s="10" t="n">
        <v>84</v>
      </c>
      <c r="E17" s="10" t="inlineStr">
        <is>
          <t>Pembina Pipeline</t>
        </is>
      </c>
      <c r="F17" s="10" t="inlineStr">
        <is>
          <t>pembina.com</t>
        </is>
      </c>
      <c r="G17" s="10" t="n"/>
      <c r="H17" s="10" t="inlineStr">
        <is>
          <t>NGL, crude oil and natural gas pipelines, processing and marketing across Western Canada</t>
        </is>
      </c>
      <c r="I17" s="10" t="n"/>
      <c r="J17" s="10" t="inlineStr">
        <is>
          <t>unknown</t>
        </is>
      </c>
      <c r="K17" s="10" t="inlineStr">
        <is>
          <t>verified-new</t>
        </is>
      </c>
      <c r="L17" s="10" t="inlineStr">
        <is>
          <t>CAD $7.78B FY2025, +5.3% YoY (stockanalysis.com) |  | flags: regional (Western Canada) concentration vs. national/continental peers; CAD/USD currency reporting discrepancy</t>
        </is>
      </c>
      <c r="M17" s="10" t="inlineStr">
        <is>
          <t xml:space="preserve">[VERIFIED NEW W7] Regional Canadian GP hospitality and corporate sponsorship tied to Western Canada energy story. | </t>
        </is>
      </c>
    </row>
    <row r="18">
      <c r="A18" s="10" t="n">
        <v>15</v>
      </c>
      <c r="B18" s="10" t="inlineStr">
        <is>
          <t>W7</t>
        </is>
      </c>
      <c r="C18" s="10" t="inlineStr">
        <is>
          <t>02 Energy &amp; Industrial</t>
        </is>
      </c>
      <c r="D18" s="10" t="n">
        <v>84</v>
      </c>
      <c r="E18" s="10" t="inlineStr">
        <is>
          <t>Oneok</t>
        </is>
      </c>
      <c r="F18" s="10" t="inlineStr">
        <is>
          <t>oneok.com</t>
        </is>
      </c>
      <c r="G18" s="10" t="n"/>
      <c r="H18" s="10" t="inlineStr">
        <is>
          <t>Natural gas gathering/processing, NGL and refined-products pipelines (post Magellan Midstream and EnLink acquisitions)</t>
        </is>
      </c>
      <c r="I18" s="10" t="n"/>
      <c r="J18" s="10" t="inlineStr">
        <is>
          <t>unknown</t>
        </is>
      </c>
      <c r="K18" s="10" t="inlineStr">
        <is>
          <t>verified-new</t>
        </is>
      </c>
      <c r="L18" s="10" t="inlineStr">
        <is>
          <t>$33.63B FY2025, +55% YoY (stockanalysis.com), reflecting Magellan/EnLink consolidation |  | flags: recently expanded via large M&amp;A (Magellan, EnLink) - integration risk; revenue growth is largely acquisition-driven rather than organic</t>
        </is>
      </c>
      <c r="M18" s="10" t="inlineStr">
        <is>
          <t xml:space="preserve">[VERIFIED NEW W7] Newly-scaled national energy-logistics-network story spanning gathering to refined products, fitting multi-market US GP activation (COTA/Miami/Las Vegas). | </t>
        </is>
      </c>
    </row>
    <row r="19">
      <c r="A19" s="10" t="n">
        <v>16</v>
      </c>
      <c r="B19" s="10" t="inlineStr">
        <is>
          <t>W7</t>
        </is>
      </c>
      <c r="C19" s="10" t="inlineStr">
        <is>
          <t>02 Energy &amp; Industrial</t>
        </is>
      </c>
      <c r="D19" s="10" t="n">
        <v>84</v>
      </c>
      <c r="E19" s="10" t="inlineStr">
        <is>
          <t>Weatherford International</t>
        </is>
      </c>
      <c r="F19" s="10" t="inlineStr">
        <is>
          <t>weatherford.com</t>
        </is>
      </c>
      <c r="G19" s="10" t="n"/>
      <c r="H19" s="10" t="inlineStr">
        <is>
          <t>Oilfield equipment and services (drilling, well construction, production optimization) to E&amp;Ps globally</t>
        </is>
      </c>
      <c r="I19" s="10" t="n"/>
      <c r="J19" s="10" t="inlineStr">
        <is>
          <t>unknown</t>
        </is>
      </c>
      <c r="K19" s="10" t="inlineStr">
        <is>
          <t>verified-new</t>
        </is>
      </c>
      <c r="L19" s="10" t="inlineStr">
        <is>
          <t>$4.92B FY2025 revenue (confirmed, company earnings release), down 10.8% YoY; Q1 2026 -3.4%, Q2 2026 -8% YoY declines continuing |  | flags: revenue declining YoY (-10.8% FY2025, continuing into 2026) despite rising share price/margin improvement; pos</t>
        </is>
      </c>
      <c r="M19" s="10" t="inlineStr">
        <is>
          <t xml:space="preserve">[VERIFIED NEW W7] Post-turnaround engineering/technology story - digital well-construction and production-optimization tech as a resilience/innovation narrative. | </t>
        </is>
      </c>
    </row>
    <row r="20">
      <c r="A20" s="10" t="n">
        <v>17</v>
      </c>
      <c r="B20" s="10" t="inlineStr">
        <is>
          <t>W7</t>
        </is>
      </c>
      <c r="C20" s="10" t="inlineStr">
        <is>
          <t>02 Energy &amp; Industrial</t>
        </is>
      </c>
      <c r="D20" s="10" t="n">
        <v>84</v>
      </c>
      <c r="E20" s="10" t="inlineStr">
        <is>
          <t>Archrock</t>
        </is>
      </c>
      <c r="F20" s="10" t="inlineStr">
        <is>
          <t>archrock.com</t>
        </is>
      </c>
      <c r="G20" s="10" t="n"/>
      <c r="H20" s="10" t="inlineStr">
        <is>
          <t>Natural gas contract compression services and equipment to upstream and midstream operators</t>
        </is>
      </c>
      <c r="I20" s="10" t="n"/>
      <c r="J20" s="10" t="inlineStr">
        <is>
          <t>unknown</t>
        </is>
      </c>
      <c r="K20" s="10" t="inlineStr">
        <is>
          <t>verified-new</t>
        </is>
      </c>
      <c r="L20" s="10" t="inlineStr">
        <is>
          <t>$1.49B FY2025 revenue (confirmed, up 28.7% YoY from $1.16B in 2024 - well above input's $1.1B est.); FY2025 net income $322.3M, EPS $1.83 |  | flags: small headcount (~1,300 est.) relative to revenue/market cap - asset-heavy, low-headcount model; ver</t>
        </is>
      </c>
      <c r="M20" s="10" t="inlineStr">
        <is>
          <t xml:space="preserve">[VERIFIED NEW W7] Gas-infrastructure and compression technology partner - growth narrative tied to LNG buildout and energy-transition 'bridge fuel' positioning. | </t>
        </is>
      </c>
    </row>
    <row r="21">
      <c r="A21" s="10" t="n">
        <v>18</v>
      </c>
      <c r="B21" s="10" t="inlineStr">
        <is>
          <t>W7</t>
        </is>
      </c>
      <c r="C21" s="10" t="inlineStr">
        <is>
          <t>02 Energy &amp; Industrial</t>
        </is>
      </c>
      <c r="D21" s="10" t="n">
        <v>84</v>
      </c>
      <c r="E21" s="10" t="inlineStr">
        <is>
          <t>Cactus Inc</t>
        </is>
      </c>
      <c r="F21" s="10" t="inlineStr">
        <is>
          <t>cactuswellhead.com</t>
        </is>
      </c>
      <c r="G21" s="10" t="n"/>
      <c r="H21" s="10" t="inlineStr">
        <is>
          <t>Wellhead, pressure-control equipment and spoolable pipe technology to onshore E&amp;Ps</t>
        </is>
      </c>
      <c r="I21" s="10" t="n"/>
      <c r="J21" s="10" t="inlineStr">
        <is>
          <t>unknown</t>
        </is>
      </c>
      <c r="K21" s="10" t="inlineStr">
        <is>
          <t>verified-new</t>
        </is>
      </c>
      <c r="L21" s="10" t="inlineStr">
        <is>
          <t>$1.07B FY2025 revenue (confirmed); TTM $1.18B as of Sept 2026 |  | flags: market cap correction upward ($4.79B vs $3.6B est. in input) - reconfirm at outreach; modest headcount (~1,600) relative to F1 sponsorship activation scale</t>
        </is>
      </c>
      <c r="M21" s="10" t="inlineStr">
        <is>
          <t xml:space="preserve">[VERIFIED NEW W7] Precision-engineering and pressure-control technology partner - spoolable pipe/wellhead innovation parallels F1 component engineering. | </t>
        </is>
      </c>
    </row>
    <row r="22">
      <c r="A22" s="10" t="n">
        <v>19</v>
      </c>
      <c r="B22" s="10" t="inlineStr">
        <is>
          <t>W7</t>
        </is>
      </c>
      <c r="C22" s="10" t="inlineStr">
        <is>
          <t>02 Energy &amp; Industrial</t>
        </is>
      </c>
      <c r="D22" s="10" t="n">
        <v>84</v>
      </c>
      <c r="E22" s="10" t="inlineStr">
        <is>
          <t>Brookfield Renewable</t>
        </is>
      </c>
      <c r="F22" s="10" t="inlineStr">
        <is>
          <t>brookfieldrenewable.com</t>
        </is>
      </c>
      <c r="G22" s="10" t="n"/>
      <c r="H22" s="10" t="inlineStr">
        <is>
          <t>Hydro, wind, solar and storage power generation and long-term PPAs, plus renewable project development, globally</t>
        </is>
      </c>
      <c r="I22" s="10" t="n"/>
      <c r="J22" s="10" t="inlineStr">
        <is>
          <t>unknown</t>
        </is>
      </c>
      <c r="K22" s="10" t="inlineStr">
        <is>
          <t>verified-new</t>
        </is>
      </c>
      <c r="L22" s="10" t="inlineStr">
        <is>
          <t>$3.72B FY2025 revenue (confirmed) - below the $5.3B input estimate |  | flags: revenue and market cap both came in below input estimates ($3.72B vs $5.3B revenue est.; ~$6.9B vs $9B cap est.) - re-baseline expectations; majority-controlled by Brookfi</t>
        </is>
      </c>
      <c r="M22" s="10" t="inlineStr">
        <is>
          <t xml:space="preserve">[VERIFIED NEW W7] Renewable power and Net Zero 2030 sustainability partner - hydro/wind/solar/storage platform aligns directly with F1's decarbonization and sustainable-fuels storyline. | </t>
        </is>
      </c>
    </row>
    <row r="23">
      <c r="A23" s="10" t="n">
        <v>20</v>
      </c>
      <c r="B23" s="10" t="inlineStr">
        <is>
          <t>W7</t>
        </is>
      </c>
      <c r="C23" s="10" t="inlineStr">
        <is>
          <t>02 Energy &amp; Industrial</t>
        </is>
      </c>
      <c r="D23" s="10" t="n">
        <v>84</v>
      </c>
      <c r="E23" s="10" t="inlineStr">
        <is>
          <t>Capital Power Corporation</t>
        </is>
      </c>
      <c r="F23" s="10" t="inlineStr">
        <is>
          <t>capitalpower.com</t>
        </is>
      </c>
      <c r="G23" s="10" t="n"/>
      <c r="H23" s="10" t="inlineStr">
        <is>
          <t>Wind, solar, natural-gas and battery-storage power generation sold via PPAs to North American utilities and corporates</t>
        </is>
      </c>
      <c r="I23" s="10" t="n"/>
      <c r="J23" s="10" t="inlineStr">
        <is>
          <t>unknown</t>
        </is>
      </c>
      <c r="K23" s="10" t="inlineStr">
        <is>
          <t>verified-new</t>
        </is>
      </c>
      <c r="L23" s="10" t="inlineStr">
        <is>
          <t xml:space="preserve"> |  | flags: not F1-tied; minority municipal ownership via EPCOR/City of Edmonton (~9%, flag not disqualifying); revenue and market cap both notably higher than original estimate - update; estimate flagged (updated)</t>
        </is>
      </c>
      <c r="M23" s="10" t="inlineStr">
        <is>
          <t>[VERIFIED NEW W7] Canadian GP hospitality package + gas-to-renewables transition narrative for Net Zero 2030; disclose the minority EPCOR/City of Edmonton stake in diligence materials. | Independent Canadian power producer with confirmed large-cap re</t>
        </is>
      </c>
    </row>
    <row r="24">
      <c r="A24" s="10" t="n">
        <v>21</v>
      </c>
      <c r="B24" s="10" t="inlineStr">
        <is>
          <t>W7</t>
        </is>
      </c>
      <c r="C24" s="10" t="inlineStr">
        <is>
          <t>02 Energy &amp; Industrial</t>
        </is>
      </c>
      <c r="D24" s="10" t="n">
        <v>84</v>
      </c>
      <c r="E24" s="10" t="inlineStr">
        <is>
          <t>West Fraser Timber</t>
        </is>
      </c>
      <c r="F24" s="10" t="inlineStr">
        <is>
          <t>westfraser.com</t>
        </is>
      </c>
      <c r="G24" s="10" t="n"/>
      <c r="H24" s="10" t="inlineStr">
        <is>
          <t>Lumber, OSB, panels, pulp and wood products to North American construction and industrial markets</t>
        </is>
      </c>
      <c r="I24" s="10" t="n"/>
      <c r="J24" s="10" t="inlineStr">
        <is>
          <t>unknown</t>
        </is>
      </c>
      <c r="K24" s="10" t="inlineStr">
        <is>
          <t>verified-new</t>
        </is>
      </c>
      <c r="L24" s="10" t="inlineStr">
        <is>
          <t xml:space="preserve"> |  | flags: not F1-tied; not state-owned; commodity lumber-price cyclicality confirmed on actuals (2025 revenue down 11.5% YoY) - budget stability risk to flag at outreach; market cap lower than original estimate - update</t>
        </is>
      </c>
      <c r="M24" s="10" t="inlineStr">
        <is>
          <t xml:space="preserve">[VERIFIED NEW W7] Sustainable-forestry / carbon-sequestration story for Net Zero 2030; flag lumber-cycle timing risk and confirm current-year budget appetite before outreach. | Large-cap North American forestry major with confirmed revenue in range; </t>
        </is>
      </c>
    </row>
    <row r="25">
      <c r="A25" s="10" t="n">
        <v>22</v>
      </c>
      <c r="B25" s="10" t="inlineStr">
        <is>
          <t>W7</t>
        </is>
      </c>
      <c r="C25" s="10" t="inlineStr">
        <is>
          <t>02 Energy &amp; Industrial</t>
        </is>
      </c>
      <c r="D25" s="10" t="n">
        <v>84</v>
      </c>
      <c r="E25" s="10" t="inlineStr">
        <is>
          <t>Rayonier</t>
        </is>
      </c>
      <c r="F25" s="10" t="inlineStr">
        <is>
          <t>rayonier.com</t>
        </is>
      </c>
      <c r="G25" s="10" t="n"/>
      <c r="H25" s="10" t="inlineStr">
        <is>
          <t>Timberland ownership/management and emerging carbon-capture land leasing (incl. CCS pore-space leases) to industrial buy</t>
        </is>
      </c>
      <c r="I25" s="10" t="n"/>
      <c r="J25" s="10" t="inlineStr">
        <is>
          <t>unknown</t>
        </is>
      </c>
      <c r="K25" s="10" t="inlineStr">
        <is>
          <t>verified-new</t>
        </is>
      </c>
      <c r="L25" s="10" t="inlineStr">
        <is>
          <t xml:space="preserve"> |  | flags: not F1-tied; not state-owned; MATERIAL CHANGE: merged with PotlatchDeltic (closed 30 Jan 2026) into a larger land-resources REIT; company may rebrand under a new name/ticker - confirm current legal name before outreach (traded as 'Rayoni</t>
        </is>
      </c>
      <c r="M25" s="10" t="inlineStr">
        <is>
          <t>[VERIFIED NEW W7] Post-merger scale story: one of the largest US land-resources REITs with an emerging CCS pore-space leasing business - Net Zero 2030 natural-climate-solutions narrative; verify final corporate name/branding before any outreach mater</t>
        </is>
      </c>
    </row>
    <row r="26">
      <c r="A26" s="10" t="n">
        <v>23</v>
      </c>
      <c r="B26" s="10" t="inlineStr">
        <is>
          <t>W7</t>
        </is>
      </c>
      <c r="C26" s="10" t="inlineStr">
        <is>
          <t>02 Energy &amp; Industrial</t>
        </is>
      </c>
      <c r="D26" s="10" t="n">
        <v>84</v>
      </c>
      <c r="E26" s="10" t="inlineStr">
        <is>
          <t>Essential Utilities</t>
        </is>
      </c>
      <c r="F26" s="10" t="inlineStr">
        <is>
          <t>essential.co</t>
        </is>
      </c>
      <c r="G26" s="10" t="n"/>
      <c r="H26" s="10" t="inlineStr">
        <is>
          <t>Regulated water, wastewater and natural gas utility services to residential/commercial customers in multiple US states</t>
        </is>
      </c>
      <c r="I26" s="10" t="n"/>
      <c r="J26" s="10" t="inlineStr">
        <is>
          <t>unknown</t>
        </is>
      </c>
      <c r="K26" s="10" t="inlineStr">
        <is>
          <t>verified-new</t>
        </is>
      </c>
      <c r="L26" s="10" t="inlineStr">
        <is>
          <t xml:space="preserve"> |  | flags: not F1-tied; not state-owned; regulated utility - rate-payer-funded marketing budgets are typically local/community-focused; global sports sponsorship appetite and discretionary budget authority should be verified before outreach; revenu</t>
        </is>
      </c>
      <c r="M26" s="10" t="inlineStr">
        <is>
          <t>[VERIFIED NEW W7] Lead with the BWT/Alpine precedent to demonstrate category fit, positioning around water-stewardship and infrastructure-resilience messaging; confirm discretionary sponsorship budget authority (vs. rate-payer-funded local marketing)</t>
        </is>
      </c>
    </row>
    <row r="27">
      <c r="A27" s="10" t="n">
        <v>24</v>
      </c>
      <c r="B27" s="10" t="inlineStr">
        <is>
          <t>W7</t>
        </is>
      </c>
      <c r="C27" s="10" t="inlineStr">
        <is>
          <t>02 Energy &amp; Industrial</t>
        </is>
      </c>
      <c r="D27" s="10" t="n">
        <v>76</v>
      </c>
      <c r="E27" s="10" t="inlineStr">
        <is>
          <t>Enterprise Products Partners</t>
        </is>
      </c>
      <c r="F27" s="10" t="inlineStr">
        <is>
          <t>enterpriseproducts.com</t>
        </is>
      </c>
      <c r="G27" s="10" t="inlineStr">
        <is>
          <t>Houston, Texas, USA</t>
        </is>
      </c>
      <c r="H27" s="10" t="inlineStr">
        <is>
          <t>Midstream: NGL, crude, natural gas and petrochemical pipelines, storage and export terminals serving producers, refiners</t>
        </is>
      </c>
      <c r="I27" s="10" t="inlineStr">
        <is>
          <t>~7,400 (est.) - not independently re-verified this pass</t>
        </is>
      </c>
      <c r="J27" s="10" t="inlineStr">
        <is>
          <t>5k-10k</t>
        </is>
      </c>
      <c r="K27" s="10" t="inlineStr">
        <is>
          <t>verified-new</t>
        </is>
      </c>
      <c r="L27" s="10" t="inlineStr">
        <is>
          <t xml:space="preserve">$52.60B FY2025 (down ~6.4% YoY on lower commodity prices flowing through fee/volume-linked revenue; TTM to Q1 2026 ~$51.6B) | ~$83.9B market cap as of July 23, 2026 | flags: MLP structure (K-1 tax) - operational nuance for structuring a sponsorship, </t>
        </is>
      </c>
      <c r="M27" s="10" t="inlineStr">
        <is>
          <t>[VERIFIED NEW W7] Corporate/logistics-engineering sponsorship angle plus Houston-area GP-adjacent hospitality and Net Zero 2030 emissions/CCS storytelling. | Mega-cap midstream infrastructure leader with no fuel-category conflict, a broad diversified</t>
        </is>
      </c>
    </row>
    <row r="28">
      <c r="A28" s="11" t="n">
        <v>25</v>
      </c>
      <c r="B28" s="11" t="inlineStr">
        <is>
          <t>W7</t>
        </is>
      </c>
      <c r="C28" s="11" t="inlineStr">
        <is>
          <t>02 Energy &amp; Industrial</t>
        </is>
      </c>
      <c r="D28" s="11" t="n">
        <v>52</v>
      </c>
      <c r="E28" s="11" t="inlineStr">
        <is>
          <t>Canadian Natural Resources</t>
        </is>
      </c>
      <c r="F28" s="11" t="inlineStr">
        <is>
          <t>cnrl.com</t>
        </is>
      </c>
      <c r="G28" s="11" t="inlineStr">
        <is>
          <t>Calgary, Alberta, Canada</t>
        </is>
      </c>
      <c r="H28" s="11" t="inlineStr">
        <is>
          <t>Crude oil (oil sands, heavy/light conventional), natural gas and NGLs to North American markets, plus international crud</t>
        </is>
      </c>
      <c r="I28" s="11" t="inlineStr">
        <is>
          <t>~10,500 (est.) - not independently re-verified this pass</t>
        </is>
      </c>
      <c r="J28" s="11" t="inlineStr">
        <is>
          <t>10k+</t>
        </is>
      </c>
      <c r="K28" s="11" t="inlineStr">
        <is>
          <t>verified-stretch</t>
        </is>
      </c>
      <c r="L28" s="11" t="inlineStr">
        <is>
          <t>CAD $44.17B FY2025 (SEC 40-F/6-K FY2025 filings); net income CAD $10.82B FY2025 | Wide range across 2026 readings: ~CAD $144.95B (Mar 27, 2026) vs. ~$106.01B USD (Aug 21, 2026) - genuinely mega-cap regardless of exact reading; flagged for date sensit</t>
        </is>
      </c>
      <c r="M28" s="11" t="inlineStr">
        <is>
          <t>[VERIFIED NEW W7] Corporate/paddock-club or Canadian GP regional sponsorship outside the fuel category, leveraging UK North Sea presence for a British GP tie-in. | Mega-cap scale and genuine multi-geography operations (Canada/US/UK/Africa) are the st</t>
        </is>
      </c>
    </row>
    <row r="29">
      <c r="A29" s="11" t="n">
        <v>26</v>
      </c>
      <c r="B29" s="11" t="inlineStr">
        <is>
          <t>W7</t>
        </is>
      </c>
      <c r="C29" s="11" t="inlineStr">
        <is>
          <t>02 Energy &amp; Industrial</t>
        </is>
      </c>
      <c r="D29" s="11" t="n">
        <v>52</v>
      </c>
      <c r="E29" s="11" t="inlineStr">
        <is>
          <t>Keyera Corp</t>
        </is>
      </c>
      <c r="F29" s="11" t="inlineStr">
        <is>
          <t>keyera.com</t>
        </is>
      </c>
      <c r="G29" s="11" t="n"/>
      <c r="H29" s="11" t="inlineStr">
        <is>
          <t>NGL gathering, processing, fractionation, storage and marketing in Western Canada</t>
        </is>
      </c>
      <c r="I29" s="11" t="n"/>
      <c r="J29" s="11" t="inlineStr">
        <is>
          <t>unknown</t>
        </is>
      </c>
      <c r="K29" s="11" t="inlineStr">
        <is>
          <t>verified-stretch</t>
        </is>
      </c>
      <c r="L29" s="11" t="inlineStr">
        <is>
          <t>CAD $6.85B FY2025 (investing.com / koalagains.com) |  | flags: smaller large-cap - verify budget fit (confirmed: smallest of the 11 by both revenue and market cap); regional concentration in Western Canada</t>
        </is>
      </c>
      <c r="M29" s="11" t="inlineStr">
        <is>
          <t xml:space="preserve">[VERIFIED NEW W7] Smaller regional/local activation (Canadian GP hospitality, corporate B2B) as a fallback/stretch option rather than a marquee sponsorship. | </t>
        </is>
      </c>
    </row>
    <row r="30">
      <c r="A30" s="11" t="n">
        <v>27</v>
      </c>
      <c r="B30" s="11" t="inlineStr">
        <is>
          <t>W7</t>
        </is>
      </c>
      <c r="C30" s="11" t="inlineStr">
        <is>
          <t>02 Energy &amp; Industrial</t>
        </is>
      </c>
      <c r="D30" s="11" t="n">
        <v>52</v>
      </c>
      <c r="E30" s="11" t="inlineStr">
        <is>
          <t>Plains All American Pipeline</t>
        </is>
      </c>
      <c r="F30" s="11" t="inlineStr">
        <is>
          <t>plains.com</t>
        </is>
      </c>
      <c r="G30" s="11" t="n"/>
      <c r="H30" s="11" t="inlineStr">
        <is>
          <t>Crude oil and NGL pipelines, storage and marketing across the US and Canada</t>
        </is>
      </c>
      <c r="I30" s="11" t="n"/>
      <c r="J30" s="11" t="inlineStr">
        <is>
          <t>unknown</t>
        </is>
      </c>
      <c r="K30" s="11" t="inlineStr">
        <is>
          <t>verified-stretch</t>
        </is>
      </c>
      <c r="L30" s="11" t="inlineStr">
        <is>
          <t>~$44.3B FY2025 (Product sales $42.5B, down 10% YoY on lower commodity prices, + Services $1.76B, +4% YoY), largely low-margin pass-through marketing revenue (SEC 10-K FY2025) |  | flags: MLP structure (K-1 tax); headline revenue is largely low-margin</t>
        </is>
      </c>
      <c r="M30" s="11" t="inlineStr">
        <is>
          <t xml:space="preserve">[VERIFIED NEW W7] If pursued, a Houston/Texas corporate hospitality tie-in around crude logistics; best treated as a fallback/stretch name. | </t>
        </is>
      </c>
    </row>
    <row r="31">
      <c r="A31" s="11" t="n">
        <v>28</v>
      </c>
      <c r="B31" s="11" t="inlineStr">
        <is>
          <t>W7</t>
        </is>
      </c>
      <c r="C31" s="11" t="inlineStr">
        <is>
          <t>02 Energy &amp; Industrial</t>
        </is>
      </c>
      <c r="D31" s="11" t="n">
        <v>52</v>
      </c>
      <c r="E31" s="11" t="inlineStr">
        <is>
          <t>Transocean</t>
        </is>
      </c>
      <c r="F31" s="11" t="inlineStr">
        <is>
          <t>deepwater.com</t>
        </is>
      </c>
      <c r="G31" s="11" t="n"/>
      <c r="H31" s="11" t="inlineStr">
        <is>
          <t>Ultra-deepwater and harsh-environment offshore drilling rigs contracted to major and independent oil companies</t>
        </is>
      </c>
      <c r="I31" s="11" t="n"/>
      <c r="J31" s="11" t="inlineStr">
        <is>
          <t>unknown</t>
        </is>
      </c>
      <c r="K31" s="11" t="inlineStr">
        <is>
          <t>verified-stretch</t>
        </is>
      </c>
      <c r="L31" s="11" t="inlineStr">
        <is>
          <t>~$3.5B+ FY2024 est.; Q2 2026 revenue and EBITDA beat guidance with backlog growth (exact consolidated FY2025/2026 figure not isolated in search - est. flagged) |  | flags: pending all-stock acquisition of Valaris (~$5.8B), signed Feb 2026, delayed by</t>
        </is>
      </c>
      <c r="M31" s="11" t="inlineStr">
        <is>
          <t xml:space="preserve">[VERIFIED NEW W7] Extreme-environment engineering / ultra-deepwater technology partner; revisit post-close as the combined Transocean-Valaris 'largest offshore driller' story. | </t>
        </is>
      </c>
    </row>
    <row r="32">
      <c r="A32" s="11" t="n">
        <v>29</v>
      </c>
      <c r="B32" s="11" t="inlineStr">
        <is>
          <t>W7</t>
        </is>
      </c>
      <c r="C32" s="11" t="inlineStr">
        <is>
          <t>02 Energy &amp; Industrial</t>
        </is>
      </c>
      <c r="D32" s="11" t="n">
        <v>52</v>
      </c>
      <c r="E32" s="11" t="inlineStr">
        <is>
          <t>Helmerich &amp; Payne</t>
        </is>
      </c>
      <c r="F32" s="11" t="inlineStr">
        <is>
          <t>helmerichpayne.com</t>
        </is>
      </c>
      <c r="G32" s="11" t="n"/>
      <c r="H32" s="11" t="inlineStr">
        <is>
          <t>Land drilling rigs and rig-technology services to US and international E&amp;Ps</t>
        </is>
      </c>
      <c r="I32" s="11" t="n"/>
      <c r="J32" s="11" t="inlineStr">
        <is>
          <t>unknown</t>
        </is>
      </c>
      <c r="K32" s="11" t="inlineStr">
        <is>
          <t>verified-stretch</t>
        </is>
      </c>
      <c r="L32" s="11" t="inlineStr">
        <is>
          <t>TTM ~$4.08B as of May 2026 (up sharply from FY2024's $2.75B, likely reflecting acquisition-driven scale-up); FY2025 Q4 net loss of $57M including $56M in one-time charges |  | flags: FY2025 Q4 net loss with $56M one-time charges - verify current prof</t>
        </is>
      </c>
      <c r="M32" s="11" t="inlineStr">
        <is>
          <t xml:space="preserve">[VERIFIED NEW W7] FlexRig automation and digital-drilling technology partner - automation/precision-engineering narrative. | </t>
        </is>
      </c>
    </row>
    <row r="33">
      <c r="A33" s="11" t="n">
        <v>30</v>
      </c>
      <c r="B33" s="11" t="inlineStr">
        <is>
          <t>W7</t>
        </is>
      </c>
      <c r="C33" s="11" t="inlineStr">
        <is>
          <t>02 Energy &amp; Industrial</t>
        </is>
      </c>
      <c r="D33" s="11" t="n">
        <v>52</v>
      </c>
      <c r="E33" s="11" t="inlineStr">
        <is>
          <t>Noble Corporation</t>
        </is>
      </c>
      <c r="F33" s="11" t="inlineStr">
        <is>
          <t>noblecorp.com</t>
        </is>
      </c>
      <c r="G33" s="11" t="n"/>
      <c r="H33" s="11" t="inlineStr">
        <is>
          <t>Offshore drilling rigs contracted to international and national oil companies (post 2024 Diamond Offshore merger)</t>
        </is>
      </c>
      <c r="I33" s="11" t="n"/>
      <c r="J33" s="11" t="inlineStr">
        <is>
          <t>unknown</t>
        </is>
      </c>
      <c r="K33" s="11" t="inlineStr">
        <is>
          <t>verified-stretch</t>
        </is>
      </c>
      <c r="L33" s="11" t="inlineStr">
        <is>
          <t>$3.29B FY2025 revenue (confirmed) |  | flags: 2026 revenue/EBITDA guidance cut mid-year amid offshore market shift - softer near-term outlook; employee count (~3,200 est.) looks low for a post-merger combined entity - verify current headcount; cyclic</t>
        </is>
      </c>
      <c r="M33" s="11" t="inlineStr">
        <is>
          <t xml:space="preserve">[VERIFIED NEW W7] Combined-fleet scale/engineering story post-Diamond Offshore merger - largest-fleet positioning once guidance stabilizes. | </t>
        </is>
      </c>
    </row>
    <row r="34">
      <c r="A34" s="11" t="n">
        <v>31</v>
      </c>
      <c r="B34" s="11" t="inlineStr">
        <is>
          <t>W7</t>
        </is>
      </c>
      <c r="C34" s="11" t="inlineStr">
        <is>
          <t>02 Energy &amp; Industrial</t>
        </is>
      </c>
      <c r="D34" s="11" t="n">
        <v>52</v>
      </c>
      <c r="E34" s="11" t="inlineStr">
        <is>
          <t>USA Compression Partners</t>
        </is>
      </c>
      <c r="F34" s="11" t="inlineStr">
        <is>
          <t>usacompression.com</t>
        </is>
      </c>
      <c r="G34" s="11" t="n"/>
      <c r="H34" s="11" t="inlineStr">
        <is>
          <t>Natural gas compression services (contract compression fleet) to upstream and midstream customers</t>
        </is>
      </c>
      <c r="I34" s="11" t="n"/>
      <c r="J34" s="11" t="inlineStr">
        <is>
          <t>unknown</t>
        </is>
      </c>
      <c r="K34" s="11" t="inlineStr">
        <is>
          <t>verified-stretch</t>
        </is>
      </c>
      <c r="L34" s="11" t="inlineStr">
        <is>
          <t>$998M FY2025 revenue (confirmed, up 5% YoY from $950M); Q1 2026 revenue $331.3M, up ~35% YoY - accelerating momentum |  | flags: market cap sits right at the ~$3B+ floor - reverify at outreach time; MLP structure (K-1 tax reporting) may complicate sp</t>
        </is>
      </c>
      <c r="M34" s="11" t="inlineStr">
        <is>
          <t xml:space="preserve">[VERIFIED NEW W7] Regional gas-infrastructure growth story - position as a mid-tier technical/engineering partner rather than a marquee sponsor. | </t>
        </is>
      </c>
    </row>
    <row r="35">
      <c r="A35" s="11" t="n">
        <v>32</v>
      </c>
      <c r="B35" s="11" t="inlineStr">
        <is>
          <t>W7</t>
        </is>
      </c>
      <c r="C35" s="11" t="inlineStr">
        <is>
          <t>02 Energy &amp; Industrial</t>
        </is>
      </c>
      <c r="D35" s="11" t="n">
        <v>46</v>
      </c>
      <c r="E35" s="11" t="inlineStr">
        <is>
          <t>Devon Energy</t>
        </is>
      </c>
      <c r="F35" s="11" t="inlineStr">
        <is>
          <t>dvn.com</t>
        </is>
      </c>
      <c r="G35" s="11" t="inlineStr">
        <is>
          <t>Oklahoma City, Oklahoma, USA</t>
        </is>
      </c>
      <c r="H35" s="11" t="inlineStr">
        <is>
          <t>Crude oil, NGLs and natural gas from US shale basins (Delaware, Eagle Ford, Anadarko, Williston, Powder River, plus lega</t>
        </is>
      </c>
      <c r="I35" s="11" t="inlineStr">
        <is>
          <t>~3,000-4,000 (est., combined post-merger; legacy Devon ~1,800 + legacy Coterra ~2,300) - not independently verified, search budget prioritized on financials</t>
        </is>
      </c>
      <c r="J35" s="11" t="inlineStr">
        <is>
          <t>1k-5k</t>
        </is>
      </c>
      <c r="K35" s="11" t="inlineStr">
        <is>
          <t>verified-stretch</t>
        </is>
      </c>
      <c r="L35" s="11" t="inlineStr">
        <is>
          <t>$17.19B FY2025 (Devon standalone, pre-merger; 10-K filed Feb 18, 2026, SEC EDGAR). Q2 2026 combined-entity quarterly revenue $7.42B vs. $5.99B consensus, implying a combined FY2026 run-rate in the ~$28-30B range post-merger. | ~$53.6B market cap as o</t>
        </is>
      </c>
      <c r="M35" s="11" t="inlineStr">
        <is>
          <t>[VERIFIED NEW W7] Corporate ESG/Net Zero 2030 sponsorship or hospitality buy at US GPs (Austin, Miami, Las Vegas); no title fuel play. | Large, newly-enlarged US shale independent (~$53.6B cap, ~$17B+ standalone revenue growing toward ~$28-30B combin</t>
        </is>
      </c>
    </row>
    <row r="36">
      <c r="A36" s="11" t="n">
        <v>33</v>
      </c>
      <c r="B36" s="11" t="inlineStr">
        <is>
          <t>W7</t>
        </is>
      </c>
      <c r="C36" s="11" t="inlineStr">
        <is>
          <t>02 Energy &amp; Industrial</t>
        </is>
      </c>
      <c r="D36" s="11" t="n">
        <v>46</v>
      </c>
      <c r="E36" s="11" t="inlineStr">
        <is>
          <t>Cenovus Energy</t>
        </is>
      </c>
      <c r="F36" s="11" t="inlineStr">
        <is>
          <t>cenovus.com</t>
        </is>
      </c>
      <c r="G36" s="11" t="inlineStr">
        <is>
          <t>Calgary, Alberta, Canada</t>
        </is>
      </c>
      <c r="H36" s="11" t="inlineStr">
        <is>
          <t>Oil sands crude, conventional oil/gas and refined products (via US refining JV) to North American and export markets</t>
        </is>
      </c>
      <c r="I36" s="11" t="inlineStr">
        <is>
          <t>~8,000 (est., post-MEG Energy acquisition) - not independently re-verified this pass</t>
        </is>
      </c>
      <c r="J36" s="11" t="inlineStr">
        <is>
          <t>5k-10k</t>
        </is>
      </c>
      <c r="K36" s="11" t="inlineStr">
        <is>
          <t>verified-stretch</t>
        </is>
      </c>
      <c r="L36" s="11" t="inlineStr">
        <is>
          <t>CAD $35.57B FY2025 (down ~10.2% YoY per stockanalysis/macrotrends, drawing on 2025 40-F/annual information form); trailing-12-month figure runs higher (~CAD $51.6B) depending on period cited - some source inconsistency flagged | ~$52.7-58B USD (varie</t>
        </is>
      </c>
      <c r="M36" s="11" t="inlineStr">
        <is>
          <t xml:space="preserve">[VERIFIED NEW W7] Canadian GP hospitality plus CCUS/Net Zero 2030 emissions-reduction storytelling (Pathways Alliance member). | Solid large-cap integrated Canadian independent, profitable and improving, but single-region footprint and fuel-category </t>
        </is>
      </c>
    </row>
    <row r="37">
      <c r="A37" s="11" t="n">
        <v>34</v>
      </c>
      <c r="B37" s="11" t="inlineStr">
        <is>
          <t>W7</t>
        </is>
      </c>
      <c r="C37" s="11" t="inlineStr">
        <is>
          <t>02 Energy &amp; Industrial</t>
        </is>
      </c>
      <c r="D37" s="11" t="n">
        <v>46</v>
      </c>
      <c r="E37" s="11" t="inlineStr">
        <is>
          <t>Suncor Energy</t>
        </is>
      </c>
      <c r="F37" s="11" t="inlineStr">
        <is>
          <t>suncor.com</t>
        </is>
      </c>
      <c r="G37" s="11" t="inlineStr">
        <is>
          <t>Calgary, Alberta, Canada</t>
        </is>
      </c>
      <c r="H37" s="11" t="inlineStr">
        <is>
          <t>Oil sands crude, refined fuels and Petro-Canada retail fuel/lubricants across Canada</t>
        </is>
      </c>
      <c r="I37" s="11" t="inlineStr">
        <is>
          <t>~15,000 (est.) - not independently re-verified this pass</t>
        </is>
      </c>
      <c r="J37" s="11" t="inlineStr">
        <is>
          <t>10k+</t>
        </is>
      </c>
      <c r="K37" s="11" t="inlineStr">
        <is>
          <t>verified-stretch</t>
        </is>
      </c>
      <c r="L37" s="11" t="inlineStr">
        <is>
          <t xml:space="preserve">CAD $48.91B FY2025 (down ~3.5% YoY, stockanalysis/macrotrends) | ~$77.07B USD (Aug 2026) / ~CAD $112.82B (Sept 17, 2026) - large spread reflects date/FX; mega-cap by any reading | flags: commodity cyclicality; owns a directly competing consumer fuel </t>
        </is>
      </c>
      <c r="M37" s="11" t="inlineStr">
        <is>
          <t>[VERIFIED NEW W7] Canadian GP regional retail/hospitality activation or non-title team partnership outside the fuel category; motorsport-adjacent lubricant-line tie-in if category clearance can be secured. | Mega-cap scale and a recognizable consumer</t>
        </is>
      </c>
    </row>
    <row r="38">
      <c r="A38" s="11" t="n">
        <v>35</v>
      </c>
      <c r="B38" s="11" t="inlineStr">
        <is>
          <t>W7</t>
        </is>
      </c>
      <c r="C38" s="11" t="inlineStr">
        <is>
          <t>02 Energy &amp; Industrial</t>
        </is>
      </c>
      <c r="D38" s="11" t="n">
        <v>46</v>
      </c>
      <c r="E38" s="11" t="inlineStr">
        <is>
          <t>Range Resources</t>
        </is>
      </c>
      <c r="F38" s="11" t="inlineStr">
        <is>
          <t>rangeresources.com</t>
        </is>
      </c>
      <c r="G38" s="11" t="inlineStr">
        <is>
          <t>Fort Worth, Texas, USA</t>
        </is>
      </c>
      <c r="H38" s="11" t="inlineStr">
        <is>
          <t>Natural gas, NGLs and condensate from the Appalachian Marcellus shale to utilities, LNG exporters and petrochemical buye</t>
        </is>
      </c>
      <c r="I38" s="11" t="inlineStr">
        <is>
          <t>~700 (est.) - not independently re-verified this pass</t>
        </is>
      </c>
      <c r="J38" s="11" t="inlineStr">
        <is>
          <t>250-1k</t>
        </is>
      </c>
      <c r="K38" s="11" t="inlineStr">
        <is>
          <t>verified-stretch</t>
        </is>
      </c>
      <c r="L38" s="11" t="inlineStr">
        <is>
          <t>$2.99B FY2025 (+27.3% YoY, per company Q4/FY2025 release and stockanalysis); Q2 2026 revenue $833.6M, above the $752.2M consensus | ~$9.4-9.7B market cap (July 2026 readings) | flags: commodity cyclicality; fuel-category conflicts on grid; borderline</t>
        </is>
      </c>
      <c r="M38" s="11" t="inlineStr">
        <is>
          <t>[VERIFIED NEW W7] Net Zero 2030 supplier narrative around low-carbon-intensity gas plus US GP (regional) hospitality. | Solid, growing Appalachian gas independent, but the smallest and most single-market company on this list, with the same fuel-categ</t>
        </is>
      </c>
    </row>
    <row r="39">
      <c r="A39" s="11" t="n">
        <v>36</v>
      </c>
      <c r="B39" s="11" t="inlineStr">
        <is>
          <t>W7</t>
        </is>
      </c>
      <c r="C39" s="11" t="inlineStr">
        <is>
          <t>02 Energy &amp; Industrial</t>
        </is>
      </c>
      <c r="D39" s="11" t="n">
        <v>46</v>
      </c>
      <c r="E39" s="11" t="inlineStr">
        <is>
          <t>Antero Resources</t>
        </is>
      </c>
      <c r="F39" s="11" t="inlineStr">
        <is>
          <t>anteroresources.com</t>
        </is>
      </c>
      <c r="G39" s="11" t="inlineStr">
        <is>
          <t>Denver, Colorado, USA</t>
        </is>
      </c>
      <c r="H39" s="11" t="inlineStr">
        <is>
          <t>Natural gas, NGLs and oil from Appalachian basin to utilities, exporters and chemical buyers</t>
        </is>
      </c>
      <c r="I39" s="11" t="inlineStr">
        <is>
          <t>~700 (est.) - not independently re-verified this pass</t>
        </is>
      </c>
      <c r="J39" s="11" t="inlineStr">
        <is>
          <t>250-1k</t>
        </is>
      </c>
      <c r="K39" s="11" t="inlineStr">
        <is>
          <t>verified-stretch</t>
        </is>
      </c>
      <c r="L39" s="11" t="inlineStr">
        <is>
          <t>$5.28B FY2025 (+22% YoY, stockanalysis/macrotrends); TTM to Mar 2026 ~$5.87B (+28.8% YoY) | ~$12.2B market cap as of Sept 1, 2026 (up from ~$11.6B in March 2026) | flags: commodity cyclicality; fuel-category conflicts on grid; estimate flagged</t>
        </is>
      </c>
      <c r="M39" s="11" t="inlineStr">
        <is>
          <t>[VERIFIED NEW W7] Net Zero 2030 corporate sponsorship or regional US GP hospitality, not fuel branding. | Growing large-cap Appalachian gas independent with healthy revenue trajectory, but single-market footprint and standing fuel-category conflict l</t>
        </is>
      </c>
    </row>
    <row r="40">
      <c r="A40" s="11" t="n">
        <v>37</v>
      </c>
      <c r="B40" s="11" t="inlineStr">
        <is>
          <t>W7</t>
        </is>
      </c>
      <c r="C40" s="11" t="inlineStr">
        <is>
          <t>02 Energy &amp; Industrial</t>
        </is>
      </c>
      <c r="D40" s="11" t="n">
        <v>46</v>
      </c>
      <c r="E40" s="11" t="inlineStr">
        <is>
          <t>Expand Energy</t>
        </is>
      </c>
      <c r="F40" s="11" t="inlineStr">
        <is>
          <t>expandenergy.com</t>
        </is>
      </c>
      <c r="G40" s="11" t="inlineStr">
        <is>
          <t>Oklahoma City, Oklahoma, USA</t>
        </is>
      </c>
      <c r="H40" s="11" t="inlineStr">
        <is>
          <t>Natural gas from Appalachian and Haynesville shale to utilities, industrial and LNG-export buyers</t>
        </is>
      </c>
      <c r="I40" s="11" t="inlineStr">
        <is>
          <t>~2,300 (est.) - not independently re-verified this pass</t>
        </is>
      </c>
      <c r="J40" s="11" t="inlineStr">
        <is>
          <t>1k-5k</t>
        </is>
      </c>
      <c r="K40" s="11" t="inlineStr">
        <is>
          <t>verified-stretch</t>
        </is>
      </c>
      <c r="L40" s="11" t="inlineStr">
        <is>
          <t xml:space="preserve">$12.12B FY2025 (up sharply from $4.24B FY2024, reflecting the full-year impact of the Chesapeake/Southwestern combination, per FY2025 10-K/company release) | ~$21.65B market cap (July 28, 2026 reading; other 2026 readings ranged as high as ~$24.78B) </t>
        </is>
      </c>
      <c r="M40" s="11" t="inlineStr">
        <is>
          <t>[VERIFIED NEW W7] Net Zero 2030 / US LNG feedstock relevance storytelling plus hospitality, once post-merger brand recognition further solidifies. | Now the largest US gas producer by volume with strong post-merger revenue growth, but a young, still-</t>
        </is>
      </c>
    </row>
    <row r="41">
      <c r="A41" s="11" t="n">
        <v>38</v>
      </c>
      <c r="B41" s="11" t="inlineStr">
        <is>
          <t>W7</t>
        </is>
      </c>
      <c r="C41" s="11" t="inlineStr">
        <is>
          <t>02 Energy &amp; Industrial</t>
        </is>
      </c>
      <c r="D41" s="11" t="n">
        <v>46</v>
      </c>
      <c r="E41" s="11" t="inlineStr">
        <is>
          <t>Ovintiv</t>
        </is>
      </c>
      <c r="F41" s="11" t="inlineStr">
        <is>
          <t>ovintiv.com</t>
        </is>
      </c>
      <c r="G41" s="11" t="inlineStr">
        <is>
          <t>Denver, Colorado, USA (Canadian heritage - formerly Encana)</t>
        </is>
      </c>
      <c r="H41" s="11" t="inlineStr">
        <is>
          <t>Crude oil, natural gas and NGLs from Permian, Anadarko and Montney plays</t>
        </is>
      </c>
      <c r="I41" s="11" t="inlineStr">
        <is>
          <t>~2,200 (est.) - not independently re-verified this pass</t>
        </is>
      </c>
      <c r="J41" s="11" t="inlineStr">
        <is>
          <t>1k-5k</t>
        </is>
      </c>
      <c r="K41" s="11" t="inlineStr">
        <is>
          <t>verified-stretch</t>
        </is>
      </c>
      <c r="L41" s="11" t="inlineStr">
        <is>
          <t>$8.66B FY2025 (down ~3.1% YoY, stockanalysis/macrotrends); net earnings $1.24B (+10.4% YoY) | ~$17.66-17.85B market cap (Sept 4-8, 2026 readings) | flags: commodity cyclicality; fuel-category conflicts on grid; estimate flagged</t>
        </is>
      </c>
      <c r="M41" s="11" t="inlineStr">
        <is>
          <t>[VERIFIED NEW W7] Corporate sponsorship or Canadian/US GP hospitality given a clean motorsport slate. | Solid, profitable cross-border independent with no existing motorsport relationships to work around, but North-America-only footprint and the stan</t>
        </is>
      </c>
    </row>
    <row r="42">
      <c r="A42" s="11" t="n">
        <v>39</v>
      </c>
      <c r="B42" s="11" t="inlineStr">
        <is>
          <t>W7</t>
        </is>
      </c>
      <c r="C42" s="11" t="inlineStr">
        <is>
          <t>02 Energy &amp; Industrial</t>
        </is>
      </c>
      <c r="D42" s="11" t="n">
        <v>46</v>
      </c>
      <c r="E42" s="11" t="inlineStr">
        <is>
          <t>Golar LNG</t>
        </is>
      </c>
      <c r="F42" s="11" t="inlineStr">
        <is>
          <t>golarlng.com</t>
        </is>
      </c>
      <c r="G42" s="11" t="n"/>
      <c r="H42" s="11" t="inlineStr">
        <is>
          <t>Floating LNG (FLNG) production vessels and LNG carrier leasing to national oil companies and energy majors</t>
        </is>
      </c>
      <c r="I42" s="11" t="n"/>
      <c r="J42" s="11" t="inlineStr">
        <is>
          <t>unknown</t>
        </is>
      </c>
      <c r="K42" s="11" t="inlineStr">
        <is>
          <t>verified-stretch</t>
        </is>
      </c>
      <c r="L42" s="11" t="inlineStr">
        <is>
          <t>$393.5M FY2025 revenue (confirmed, up 51% YoY from $260.4M) - high-margin, asset-light FLNG model, thin relative to market cap |  | flags: very low headcount (~250) and thin revenue base ($393.5M) relative to $5.2B market cap - niche, capital-intensi</t>
        </is>
      </c>
      <c r="M42" s="11" t="inlineStr">
        <is>
          <t xml:space="preserve">[VERIFIED NEW W7] LNG-as-transition-fuel / floating infrastructure innovation story - weaker mainstream appeal than oilfield-services peers, better suited to a narrow sustainability-adjacent angle. | </t>
        </is>
      </c>
    </row>
  </sheetData>
  <autoFilter ref="A3:M4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35"/>
  <sheetViews>
    <sheetView workbookViewId="0">
      <pane ySplit="3" topLeftCell="A4" activePane="bottomLeft" state="frozen"/>
      <selection pane="bottomLeft" activeCell="A1" sqref="A1"/>
    </sheetView>
  </sheetViews>
  <sheetFormatPr baseColWidth="8" defaultRowHeight="15"/>
  <cols>
    <col width="5" customWidth="1" min="1" max="1"/>
    <col width="7" customWidth="1" min="2" max="2"/>
    <col width="24" customWidth="1" min="3" max="3"/>
    <col width="9" customWidth="1" min="4" max="4"/>
    <col width="30" customWidth="1" min="5" max="5"/>
    <col width="22" customWidth="1" min="6" max="6"/>
    <col width="20" customWidth="1" min="7" max="7"/>
    <col width="40" customWidth="1" min="8" max="8"/>
    <col width="16" customWidth="1" min="9" max="9"/>
    <col width="10" customWidth="1" min="10" max="10"/>
    <col width="14" customWidth="1" min="11" max="11"/>
    <col width="60" customWidth="1" min="12" max="12"/>
    <col width="70" customWidth="1" min="13" max="13"/>
  </cols>
  <sheetData>
    <row r="1">
      <c r="A1" s="1" t="inlineStr">
        <is>
          <t>Wave 8 - Services / REITs / Trading houses - 32 brands</t>
        </is>
      </c>
    </row>
    <row r="2">
      <c r="A2" s="8" t="inlineStr">
        <is>
          <t>New brands only (not in the original master before this work). Blue = verified-new (all parameters pass), amber = verified-stretch. Source: F1-New-Brands-By-Wave-2026-09.xlsx tab "W8 Services &amp; Trading".</t>
        </is>
      </c>
    </row>
    <row r="3" ht="30" customHeight="1">
      <c r="A3" s="9" t="inlineStr">
        <is>
          <t>#</t>
        </is>
      </c>
      <c r="B3" s="9" t="inlineStr">
        <is>
          <t>wave</t>
        </is>
      </c>
      <c r="C3" s="9" t="inlineStr">
        <is>
          <t>sector_tab</t>
        </is>
      </c>
      <c r="D3" s="9" t="inlineStr">
        <is>
          <t>priority_score</t>
        </is>
      </c>
      <c r="E3" s="9" t="inlineStr">
        <is>
          <t>company</t>
        </is>
      </c>
      <c r="F3" s="9" t="inlineStr">
        <is>
          <t>domain</t>
        </is>
      </c>
      <c r="G3" s="9" t="inlineStr">
        <is>
          <t>hq_country</t>
        </is>
      </c>
      <c r="H3" s="9" t="inlineStr">
        <is>
          <t>niche</t>
        </is>
      </c>
      <c r="I3" s="9" t="inlineStr">
        <is>
          <t>employees_est</t>
        </is>
      </c>
      <c r="J3" s="9" t="inlineStr">
        <is>
          <t>size_band</t>
        </is>
      </c>
      <c r="K3" s="9" t="inlineStr">
        <is>
          <t>tag</t>
        </is>
      </c>
      <c r="L3" s="9" t="inlineStr">
        <is>
          <t>affordability</t>
        </is>
      </c>
      <c r="M3" s="9" t="inlineStr">
        <is>
          <t>why_f1</t>
        </is>
      </c>
    </row>
    <row r="4">
      <c r="A4" s="10" t="n">
        <v>1</v>
      </c>
      <c r="B4" s="10" t="inlineStr">
        <is>
          <t>W8</t>
        </is>
      </c>
      <c r="C4" s="10" t="inlineStr">
        <is>
          <t>02 Energy &amp; Industrial</t>
        </is>
      </c>
      <c r="D4" s="10" t="n">
        <v>92</v>
      </c>
      <c r="E4" s="10" t="inlineStr">
        <is>
          <t>Sojitz Corporation</t>
        </is>
      </c>
      <c r="F4" s="10" t="inlineStr">
        <is>
          <t>sojitz.com</t>
        </is>
      </c>
      <c r="G4" s="10" t="inlineStr">
        <is>
          <t>Tokyo, Japan</t>
        </is>
      </c>
      <c r="H4" s="10" t="inlineStr">
        <is>
          <t>General trading house: energy, chemicals, machinery, consumer goods distribution</t>
        </is>
      </c>
      <c r="I4" s="10" t="inlineStr">
        <is>
          <t>~20,000 group (10k-50k band)</t>
        </is>
      </c>
      <c r="J4" s="10" t="inlineStr">
        <is>
          <t>10k+</t>
        </is>
      </c>
      <c r="K4" s="10" t="inlineStr">
        <is>
          <t>verified-new</t>
        </is>
      </c>
      <c r="L4" s="10" t="inlineStr">
        <is>
          <t>~JPY2.4T (~$16B) revenue FY ended Mar 2025 (co. filings) | ~JPY1.18-1.34T (~$8-9B USD) market cap (WebSearch, Sept 2026, TSE:2768; up ~46% YoY, in line with input est.) | flags: Smaller / less internationally recognized brand than the 'big five' shos</t>
        </is>
      </c>
      <c r="M4" s="10" t="inlineStr">
        <is>
          <t>[VERIFIED NEW W8] Position as an underexposed-but-growing Japanese trading house looking to build international brand recognition outside Japan - F1 as a global stage differentiator versus larger, already sports-saturated peers. | Private-sector, pro</t>
        </is>
      </c>
    </row>
    <row r="5">
      <c r="A5" s="10" t="n">
        <v>2</v>
      </c>
      <c r="B5" s="10" t="inlineStr">
        <is>
          <t>W8</t>
        </is>
      </c>
      <c r="C5" s="10" t="inlineStr">
        <is>
          <t>02 Energy &amp; Industrial</t>
        </is>
      </c>
      <c r="D5" s="10" t="n">
        <v>92</v>
      </c>
      <c r="E5" s="10" t="inlineStr">
        <is>
          <t>Marubeni Corporation</t>
        </is>
      </c>
      <c r="F5" s="10" t="inlineStr">
        <is>
          <t>marubeni.com</t>
        </is>
      </c>
      <c r="G5" s="10" t="inlineStr">
        <is>
          <t>Tokyo, Japan</t>
        </is>
      </c>
      <c r="H5" s="10" t="inlineStr">
        <is>
          <t>General trading house: grain/food, power, chemicals, machinery distribution</t>
        </is>
      </c>
      <c r="I5" s="10" t="inlineStr">
        <is>
          <t>~40,000 group (10k-50k band)</t>
        </is>
      </c>
      <c r="J5" s="10" t="inlineStr">
        <is>
          <t>10k+</t>
        </is>
      </c>
      <c r="K5" s="10" t="inlineStr">
        <is>
          <t>verified-new</t>
        </is>
      </c>
      <c r="L5" s="10" t="inlineStr">
        <is>
          <t>~JPY8.4T (~$56B) revenue FY ended Mar 2025 (co. filings) | ~JPY8.1-8.6T (~$54-58B USD) market cap (WebSearch, Sept 2026, TSE:8002; up ~92% YoY, well above input est. of $30-37B) | flags: Very strong recent share-price run may mean management is focus</t>
        </is>
      </c>
      <c r="M5" s="10" t="inlineStr">
        <is>
          <t>[VERIFIED NEW W8] Growth/momentum narrative - align F1 sponsorship pitch with Marubeni's current investor-facing 'value creation' story and food/energy supply-chain visibility. | Large, highly profitable, fast-growing private-sector trading house wit</t>
        </is>
      </c>
    </row>
    <row r="6">
      <c r="A6" s="10" t="n">
        <v>3</v>
      </c>
      <c r="B6" s="10" t="inlineStr">
        <is>
          <t>W8</t>
        </is>
      </c>
      <c r="C6" s="10" t="inlineStr">
        <is>
          <t>02 Energy &amp; Industrial</t>
        </is>
      </c>
      <c r="D6" s="10" t="n">
        <v>92</v>
      </c>
      <c r="E6" s="10" t="inlineStr">
        <is>
          <t>Sumitomo Corporation</t>
        </is>
      </c>
      <c r="F6" s="10" t="inlineStr">
        <is>
          <t>sumitomocorp.com</t>
        </is>
      </c>
      <c r="G6" s="10" t="inlineStr">
        <is>
          <t>Tokyo, Japan</t>
        </is>
      </c>
      <c r="H6" s="10" t="inlineStr">
        <is>
          <t>General trading house: metals, transportation/construction systems, media/digital, living-related goods</t>
        </is>
      </c>
      <c r="I6" s="10" t="inlineStr">
        <is>
          <t>~75,000 group (50k-100k band)</t>
        </is>
      </c>
      <c r="J6" s="10" t="inlineStr">
        <is>
          <t>10k+</t>
        </is>
      </c>
      <c r="K6" s="10" t="inlineStr">
        <is>
          <t>verified-new</t>
        </is>
      </c>
      <c r="L6" s="10" t="inlineStr">
        <is>
          <t>~JPY6.8T (~$45B) revenue FY ended Mar 2025 (co. filings) | ~JPY7.3-7.4T (~$50B USD) market cap (WebSearch, Sept 2026, TSE:8053; up ~62% YoY, well above input est. of $27-32B) | flags: Brand-confusion risk with separately-listed Sumitomo Electric/Sumi</t>
        </is>
      </c>
      <c r="M6" s="10" t="inlineStr">
        <is>
          <t>[VERIFIED NEW W8] Media/digital division angle (Sumitomo Corp has a media &amp; digital business unit) could tie into F1's broadcast/fan-engagement ecosystem as a differentiated entry point versus commodity-only trading houses. | Large, profitable, growi</t>
        </is>
      </c>
    </row>
    <row r="7">
      <c r="A7" s="10" t="n">
        <v>4</v>
      </c>
      <c r="B7" s="10" t="inlineStr">
        <is>
          <t>W8</t>
        </is>
      </c>
      <c r="C7" s="10" t="inlineStr">
        <is>
          <t>18 Services &amp; Other</t>
        </is>
      </c>
      <c r="D7" s="10" t="n">
        <v>92</v>
      </c>
      <c r="E7" s="10" t="inlineStr">
        <is>
          <t>Aramark</t>
        </is>
      </c>
      <c r="F7" s="10" t="inlineStr">
        <is>
          <t>aramark.com</t>
        </is>
      </c>
      <c r="G7" s="10" t="inlineStr">
        <is>
          <t>Philadelphia, PA, USA</t>
        </is>
      </c>
      <c r="H7" s="10" t="inlineStr">
        <is>
          <t>Foodservice, facilities management and hospitality services to corporates, stadiums, arenas, colleges, healthcare (note:</t>
        </is>
      </c>
      <c r="I7" s="10" t="inlineStr">
        <is>
          <t>~250,000 (100k+ / mega)</t>
        </is>
      </c>
      <c r="J7" s="10" t="inlineStr">
        <is>
          <t>10k+</t>
        </is>
      </c>
      <c r="K7" s="10" t="inlineStr">
        <is>
          <t>verified-new</t>
        </is>
      </c>
      <c r="L7" s="10" t="inlineStr">
        <is>
          <t>~$18.6B revenue FY2024 (10-K) | ~$14.8-15.5B market cap (WebSearch, mid-Sept 2026, NYSE:ARMK; up from input est. of $10-11B) | flags: Low-single-digit-margin foodservice model (thin but stable margins, not a red flag alone); 2023 Vestis spinoff means</t>
        </is>
      </c>
      <c r="M7" s="10" t="inlineStr">
        <is>
          <t>[VERIFIED NEW W8] Warm-start off existing local F1 Grand Prix culinary/hospitality activations (Spain GP) - pitch as trackside/paddock hospitality &amp; catering vendor or official hospitality partner, leveraging its stadium-operations pedigree. | Large,</t>
        </is>
      </c>
    </row>
    <row r="8">
      <c r="A8" s="10" t="n">
        <v>5</v>
      </c>
      <c r="B8" s="10" t="inlineStr">
        <is>
          <t>W8</t>
        </is>
      </c>
      <c r="C8" s="10" t="inlineStr">
        <is>
          <t>18 Services &amp; Other</t>
        </is>
      </c>
      <c r="D8" s="10" t="n">
        <v>92</v>
      </c>
      <c r="E8" s="10" t="inlineStr">
        <is>
          <t>Wesfarmers Limited</t>
        </is>
      </c>
      <c r="F8" s="10" t="inlineStr">
        <is>
          <t>wesfarmers.com.au</t>
        </is>
      </c>
      <c r="G8" s="10" t="inlineStr">
        <is>
          <t>Perth, Australia</t>
        </is>
      </c>
      <c r="H8" s="10" t="inlineStr">
        <is>
          <t>Diversified conglomerate: retail distribution (Bunnings, Kmart, Officeworks), chemicals, industrial/safety products</t>
        </is>
      </c>
      <c r="I8" s="10" t="inlineStr">
        <is>
          <t>~120,000+ (100k+/mega)</t>
        </is>
      </c>
      <c r="J8" s="10" t="inlineStr">
        <is>
          <t>10k+</t>
        </is>
      </c>
      <c r="K8" s="10" t="inlineStr">
        <is>
          <t>verified-new</t>
        </is>
      </c>
      <c r="L8" s="10" t="inlineStr">
        <is>
          <t>~A$44B (~$29B USD) revenue FY2024 (annual report) | ~A$84-90B (~$56-60B USD) market cap (WebSearch, Sept 2026, ASX:WES; briefly crossed A$100B mid-2026, well above input est. of $50-56B) | flags: Primarily domestic Australian retail conglomerate, not</t>
        </is>
      </c>
      <c r="M8" s="10" t="inlineStr">
        <is>
          <t>[VERIFIED NEW W8] ANZ market-entry/regional angle - leverage Wesfarmers' industrial/safety-products division (WesCEF) and retail household reach for a region-specific F1 activation rather than a global title deal. | Financially strong, profitable, la</t>
        </is>
      </c>
    </row>
    <row r="9">
      <c r="A9" s="10" t="n">
        <v>6</v>
      </c>
      <c r="B9" s="10" t="inlineStr">
        <is>
          <t>W8</t>
        </is>
      </c>
      <c r="C9" s="10" t="inlineStr">
        <is>
          <t>18 Services &amp; Other</t>
        </is>
      </c>
      <c r="D9" s="10" t="n">
        <v>92</v>
      </c>
      <c r="E9" s="10" t="inlineStr">
        <is>
          <t>Realty Income Corporation</t>
        </is>
      </c>
      <c r="F9" s="10" t="inlineStr">
        <is>
          <t>realtyincome.com</t>
        </is>
      </c>
      <c r="G9" s="10" t="n"/>
      <c r="H9" s="10" t="inlineStr">
        <is>
          <t>Diversified net-lease real estate (retail, industrial, gaming) - "The Monthly Dividend Company" (REIT)</t>
        </is>
      </c>
      <c r="I9" s="10" t="n"/>
      <c r="J9" s="10" t="inlineStr">
        <is>
          <t>unknown</t>
        </is>
      </c>
      <c r="K9" s="10" t="inlineStr">
        <is>
          <t>verified-new</t>
        </is>
      </c>
      <c r="L9" s="10" t="inlineStr">
        <is>
          <t xml:space="preserve"> | ~$54B market cap (verified Sep 16-18, 2026, NYSE:O per stockanalysis.com/seekingalpha) - consistent with original estimate</t>
        </is>
      </c>
      <c r="M9" s="10" t="inlineStr">
        <is>
          <t>[VERIFIED NEW W8] High consumer-brand-recognition REIT partner - leverage 'The Monthly Dividend Company' consumer trust/reliability positioning for a broad-audience F1 hospitality or fan-engagement partnership rather than a purely B2B logistics angle</t>
        </is>
      </c>
    </row>
    <row r="10">
      <c r="A10" s="10" t="n">
        <v>7</v>
      </c>
      <c r="B10" s="10" t="inlineStr">
        <is>
          <t>W8</t>
        </is>
      </c>
      <c r="C10" s="10" t="inlineStr">
        <is>
          <t>24 Logistics</t>
        </is>
      </c>
      <c r="D10" s="10" t="n">
        <v>92</v>
      </c>
      <c r="E10" s="10" t="inlineStr">
        <is>
          <t>Brambles Limited</t>
        </is>
      </c>
      <c r="F10" s="10" t="inlineStr">
        <is>
          <t>brambles.com</t>
        </is>
      </c>
      <c r="G10" s="10" t="inlineStr">
        <is>
          <t>Sydney, Australia</t>
        </is>
      </c>
      <c r="H10" s="10" t="inlineStr">
        <is>
          <t>Pallet and container pooling logistics (CHEP brand) to global supply chains</t>
        </is>
      </c>
      <c r="I10" s="10" t="inlineStr">
        <is>
          <t>~11,000 (10k-50k band)</t>
        </is>
      </c>
      <c r="J10" s="10" t="inlineStr">
        <is>
          <t>10k+</t>
        </is>
      </c>
      <c r="K10" s="10" t="inlineStr">
        <is>
          <t>verified-new</t>
        </is>
      </c>
      <c r="L10" s="10" t="inlineStr">
        <is>
          <t>~$6.1B USD revenue FY2024 (annual report) | ~A$25-26.5B (~$16-17B USD) market cap (WebSearch, mid-Sept 2026, ASX:BXB) | flags: No prior motorsport sponsorship precedent found - would be a new category for the brand</t>
        </is>
      </c>
      <c r="M10" s="10" t="inlineStr">
        <is>
          <t xml:space="preserve">[VERIFIED NEW W8] Supply-chain/sustainability efficiency story (circular pooling model) tied to F1 logistics operations (freight, paddock equipment movement) - CHEP's core competency maps directly onto F1's own freight challenge. | Large, profitable </t>
        </is>
      </c>
    </row>
    <row r="11">
      <c r="A11" s="10" t="n">
        <v>8</v>
      </c>
      <c r="B11" s="10" t="inlineStr">
        <is>
          <t>W8</t>
        </is>
      </c>
      <c r="C11" s="10" t="inlineStr">
        <is>
          <t>24 Logistics</t>
        </is>
      </c>
      <c r="D11" s="10" t="n">
        <v>92</v>
      </c>
      <c r="E11" s="10" t="inlineStr">
        <is>
          <t>Lineage Inc</t>
        </is>
      </c>
      <c r="F11" s="10" t="inlineStr">
        <is>
          <t>onelineage.com</t>
        </is>
      </c>
      <c r="G11" s="10" t="n"/>
      <c r="H11" s="10" t="inlineStr">
        <is>
          <t>Temperature-controlled warehouse/cold-storage logistics real estate (REIT), IPO'd July 2024</t>
        </is>
      </c>
      <c r="I11" s="10" t="n"/>
      <c r="J11" s="10" t="inlineStr">
        <is>
          <t>unknown</t>
        </is>
      </c>
      <c r="K11" s="10" t="inlineStr">
        <is>
          <t>verified-new</t>
        </is>
      </c>
      <c r="L11" s="10" t="inlineStr">
        <is>
          <t xml:space="preserve"> | ~$10.3-10.6B market cap (verified Sep 2026, NASDAQ:LINE; $10.54B per stockanalysis.com, up from $9.86B in May 2026) | flags: Newly public (July 2024 IPO) - shorter public track record; stock down materially from IPO-era valuation; Adjusted EBITDA </t>
        </is>
      </c>
      <c r="M11" s="10" t="inlineStr">
        <is>
          <t xml:space="preserve">[VERIFIED NEW W8] Global cold-chain logistics partner narrative at larger scale than Americold - ideal for a marquee 'supply chain reliability/sustainability' F1 partnership emphasizing worldwide reach and AI-driven warehouse tech. | </t>
        </is>
      </c>
    </row>
    <row r="12">
      <c r="A12" s="10" t="n">
        <v>9</v>
      </c>
      <c r="B12" s="10" t="inlineStr">
        <is>
          <t>W8</t>
        </is>
      </c>
      <c r="C12" s="10" t="inlineStr">
        <is>
          <t>24 Logistics</t>
        </is>
      </c>
      <c r="D12" s="10" t="n">
        <v>92</v>
      </c>
      <c r="E12" s="10" t="inlineStr">
        <is>
          <t>Goodman Group</t>
        </is>
      </c>
      <c r="F12" s="10" t="inlineStr">
        <is>
          <t>goodman.com</t>
        </is>
      </c>
      <c r="G12" s="10" t="n"/>
      <c r="H12" s="10" t="inlineStr">
        <is>
          <t>Industrial, logistics and data-center real estate (REIT/developer) across Asia-Pacific, Europe, Americas</t>
        </is>
      </c>
      <c r="I12" s="10" t="n"/>
      <c r="J12" s="10" t="inlineStr">
        <is>
          <t>unknown</t>
        </is>
      </c>
      <c r="K12" s="10" t="inlineStr">
        <is>
          <t>verified-new</t>
        </is>
      </c>
      <c r="L12" s="10" t="inlineStr">
        <is>
          <t xml:space="preserve"> | ~A$58.8B (~$38-39B) market cap (verified Sep 20, 2026, ASX:GMG - top-10 ASX entity by market cap) - higher than original A$35-40B estimate range midpoint</t>
        </is>
      </c>
      <c r="M12" s="10" t="inlineStr">
        <is>
          <t xml:space="preserve">[VERIFIED NEW W8] Global industrial/logistics/data-center real estate partner - large enough for a marquee multi-region F1 sponsorship, with APAC race tie-ins (Australian GP) as a natural regional hook. | </t>
        </is>
      </c>
    </row>
    <row r="13">
      <c r="A13" s="10" t="n">
        <v>10</v>
      </c>
      <c r="B13" s="10" t="inlineStr">
        <is>
          <t>W8</t>
        </is>
      </c>
      <c r="C13" s="10" t="inlineStr">
        <is>
          <t>18 Services &amp; Other</t>
        </is>
      </c>
      <c r="D13" s="10" t="n">
        <v>84</v>
      </c>
      <c r="E13" s="10" t="inlineStr">
        <is>
          <t>Jardine Matheson Holdings</t>
        </is>
      </c>
      <c r="F13" s="10" t="inlineStr">
        <is>
          <t>jardines.com</t>
        </is>
      </c>
      <c r="G13" s="10" t="inlineStr">
        <is>
          <t>Hamilton, Bermuda (incorporated) / Hong Kong (operational base)</t>
        </is>
      </c>
      <c r="H13" s="10" t="inlineStr">
        <is>
          <t>Diversified conglomerate: trading, retail (DFI), motor distribution (Astra, Zung Fu), property (Hongkong Land), engineer</t>
        </is>
      </c>
      <c r="I13" s="10" t="inlineStr">
        <is>
          <t>~400,000 group incl. Astra Indonesia (100k+/mega)</t>
        </is>
      </c>
      <c r="J13" s="10" t="inlineStr">
        <is>
          <t>10k+</t>
        </is>
      </c>
      <c r="K13" s="10" t="inlineStr">
        <is>
          <t>verified-new</t>
        </is>
      </c>
      <c r="L13" s="10" t="inlineStr">
        <is>
          <t>~$45B combined group revenue 2024 (annual report, incl. Astra consolidation) | ~$17-20B USD market cap (WebSearch, Sept 2026; source figures vary widely $16.7B-$44B across SGX/LSE/OTC listings due to multi-listing/ADR-ratio differences - treat as dir</t>
        </is>
      </c>
      <c r="M13" s="10" t="inlineStr">
        <is>
          <t>[VERIFIED NEW W8] Lead with the motor-distribution arm (Zung Fu/Astra) given its natural affinity to automotive/motorsport marketing, positioning it as a regional (Asia) activation partner. | Large, diversified, profitable private-sector conglomerate</t>
        </is>
      </c>
    </row>
    <row r="14">
      <c r="A14" s="10" t="n">
        <v>11</v>
      </c>
      <c r="B14" s="10" t="inlineStr">
        <is>
          <t>W8</t>
        </is>
      </c>
      <c r="C14" s="10" t="inlineStr">
        <is>
          <t>18 Services &amp; Other</t>
        </is>
      </c>
      <c r="D14" s="10" t="n">
        <v>84</v>
      </c>
      <c r="E14" s="10" t="inlineStr">
        <is>
          <t>Swire Pacific Limited</t>
        </is>
      </c>
      <c r="F14" s="10" t="inlineStr">
        <is>
          <t>swirepacific.com</t>
        </is>
      </c>
      <c r="G14" s="10" t="inlineStr">
        <is>
          <t>Hong Kong</t>
        </is>
      </c>
      <c r="H14" s="10" t="inlineStr">
        <is>
          <t>Diversified conglomerate: property, aviation (Cathay Pacific stake), beverages (Swire Coca-Cola), trading/industrial</t>
        </is>
      </c>
      <c r="I14" s="10" t="inlineStr">
        <is>
          <t>~90,000 group (50k-100k band)</t>
        </is>
      </c>
      <c r="J14" s="10" t="inlineStr">
        <is>
          <t>10k+</t>
        </is>
      </c>
      <c r="K14" s="10" t="inlineStr">
        <is>
          <t>verified-new</t>
        </is>
      </c>
      <c r="L14" s="10" t="inlineStr">
        <is>
          <t xml:space="preserve">~HK$100B+ (~$13B) group revenue 2024 (annual report) | ~HK$100-141B (~$13-18B USD) market cap (WebSearch, Sept 2026, HKEX:0019, growing through the year) | flags: Cathay Pacific (Swire-affiliated airline) received a HKSAR government COVID-era rescue </t>
        </is>
      </c>
      <c r="M14" s="10" t="inlineStr">
        <is>
          <t>[VERIFIED NEW W8] Beverages arm (Swire Coca-Cola) or property arm (Swire Properties, luxury retail/hospitality developments) as the most natural F1 hospitality/lifestyle activation entry points. | Majority privately/family-controlled diversified cong</t>
        </is>
      </c>
    </row>
    <row r="15">
      <c r="A15" s="10" t="n">
        <v>12</v>
      </c>
      <c r="B15" s="10" t="inlineStr">
        <is>
          <t>W8</t>
        </is>
      </c>
      <c r="C15" s="10" t="inlineStr">
        <is>
          <t>18 Services &amp; Other</t>
        </is>
      </c>
      <c r="D15" s="10" t="n">
        <v>84</v>
      </c>
      <c r="E15" s="10" t="inlineStr">
        <is>
          <t>Ryman Hospitality Properties Inc</t>
        </is>
      </c>
      <c r="F15" s="10" t="inlineStr">
        <is>
          <t>rymanhp.com</t>
        </is>
      </c>
      <c r="G15" s="10" t="n"/>
      <c r="H15" s="10" t="inlineStr">
        <is>
          <t>Convention-center hotel and entertainment real estate (Gaylord Hotels, Grand Ole Opry) (REIT)</t>
        </is>
      </c>
      <c r="I15" s="10" t="n"/>
      <c r="J15" s="10" t="inlineStr">
        <is>
          <t>unknown</t>
        </is>
      </c>
      <c r="K15" s="10" t="inlineStr">
        <is>
          <t>verified-new</t>
        </is>
      </c>
      <c r="L15" s="10" t="inlineStr">
        <is>
          <t xml:space="preserve">FY2025 total revenue not separately broken out in press materials found; Hospitality segment (~83% of revenue) plus Entertainment segment (~17%); Gaylord Opryland alone generated $484.1M (down 2.3% YoY on construction disruption) (Q4/FY2025 earnings </t>
        </is>
      </c>
      <c r="M15" s="10" t="inlineStr">
        <is>
          <t xml:space="preserve">[VERIFIED NEW W8] Entertainment/hospitality crossover - Gaylord Hotels as official race-weekend hospitality partner for US races, or a Grand Ole Opry/Nashville music-and-motorsport co-branded fan experience. | </t>
        </is>
      </c>
    </row>
    <row r="16">
      <c r="A16" s="10" t="n">
        <v>13</v>
      </c>
      <c r="B16" s="10" t="inlineStr">
        <is>
          <t>W8</t>
        </is>
      </c>
      <c r="C16" s="10" t="inlineStr">
        <is>
          <t>24 Logistics</t>
        </is>
      </c>
      <c r="D16" s="10" t="n">
        <v>84</v>
      </c>
      <c r="E16" s="10" t="inlineStr">
        <is>
          <t>Americold Realty Trust Inc</t>
        </is>
      </c>
      <c r="F16" s="10" t="inlineStr">
        <is>
          <t>americold.com</t>
        </is>
      </c>
      <c r="G16" s="10" t="n"/>
      <c r="H16" s="10" t="inlineStr">
        <is>
          <t>Temperature-controlled (cold storage) warehouse real estate and logistics (REIT)</t>
        </is>
      </c>
      <c r="I16" s="10" t="n"/>
      <c r="J16" s="10" t="inlineStr">
        <is>
          <t>unknown</t>
        </is>
      </c>
      <c r="K16" s="10" t="inlineStr">
        <is>
          <t>verified-new</t>
        </is>
      </c>
      <c r="L16" s="10" t="inlineStr">
        <is>
          <t xml:space="preserve"> | ~$4.5-4.8B market cap (verified Sep 2026, NYSE:COLD; $4.57B as of Jun 2026 per Macrotrends/companiesmarketcap, stock roughly flat since) | flags: FY2025 GAAP net loss (~-$88M Q4; TTM net margin -3.54%) despite FFO margin improving to 7.8% - typica</t>
        </is>
      </c>
      <c r="M16" s="10" t="inlineStr">
        <is>
          <t>[VERIFIED NEW W8] Position as official cold-chain/temperature-controlled logistics partner, tying Americold's supply-chain reliability narrative to F1's own complex global freight and hospitality/catering logistics, with B2B brand visibility to groce</t>
        </is>
      </c>
    </row>
    <row r="17">
      <c r="A17" s="10" t="n">
        <v>14</v>
      </c>
      <c r="B17" s="10" t="inlineStr">
        <is>
          <t>W8</t>
        </is>
      </c>
      <c r="C17" s="10" t="inlineStr">
        <is>
          <t>24 Logistics</t>
        </is>
      </c>
      <c r="D17" s="10" t="n">
        <v>84</v>
      </c>
      <c r="E17" s="10" t="inlineStr">
        <is>
          <t>SEGRO plc</t>
        </is>
      </c>
      <c r="F17" s="10" t="inlineStr">
        <is>
          <t>segro.com</t>
        </is>
      </c>
      <c r="G17" s="10" t="n"/>
      <c r="H17" s="10" t="inlineStr">
        <is>
          <t>Logistics and industrial warehouse real estate (REIT) across UK/Europe</t>
        </is>
      </c>
      <c r="I17" s="10" t="n"/>
      <c r="J17" s="10" t="inlineStr">
        <is>
          <t>unknown</t>
        </is>
      </c>
      <c r="K17" s="10" t="inlineStr">
        <is>
          <t>verified-new</t>
        </is>
      </c>
      <c r="L17" s="10" t="inlineStr">
        <is>
          <t xml:space="preserve"> | ~GBP12.7B (~$17B) market cap (verified Sep 18, 2026, LSE:SGRO per tipranks/companiesmarketcap) - higher than prior GBP7-9B estimate | flags: Market cap verified meaningfully higher (~£12.7B) than the original ~£7-9B estimate - re-confirm at outrea</t>
        </is>
      </c>
      <c r="M17" s="10" t="inlineStr">
        <is>
          <t xml:space="preserve">[VERIFIED NEW W8] European logistics/industrial real estate partner - align with F1's European race calendar and freight/logistics operations across UK and Continental Europe. | </t>
        </is>
      </c>
    </row>
    <row r="18">
      <c r="A18" s="10" t="n">
        <v>15</v>
      </c>
      <c r="B18" s="10" t="inlineStr">
        <is>
          <t>W8</t>
        </is>
      </c>
      <c r="C18" s="10" t="inlineStr">
        <is>
          <t>24 Logistics</t>
        </is>
      </c>
      <c r="D18" s="10" t="n">
        <v>84</v>
      </c>
      <c r="E18" s="10" t="inlineStr">
        <is>
          <t>LondonMetric Property plc</t>
        </is>
      </c>
      <c r="F18" s="10" t="inlineStr">
        <is>
          <t>londonmetric.com</t>
        </is>
      </c>
      <c r="G18" s="10" t="n"/>
      <c r="H18" s="10" t="inlineStr">
        <is>
          <t>Logistics, distribution and grocery-anchored real estate (REIT), post-2024 LXi REIT merger</t>
        </is>
      </c>
      <c r="I18" s="10" t="n"/>
      <c r="J18" s="10" t="inlineStr">
        <is>
          <t>unknown</t>
        </is>
      </c>
      <c r="K18" s="10" t="inlineStr">
        <is>
          <t>verified-new</t>
        </is>
      </c>
      <c r="L18" s="10" t="inlineStr">
        <is>
          <t xml:space="preserve"> | ~GBP4.2-4.3B (~$5.6-5.8B) market cap (verified Sep 11, 2026, LSE:LMP per stockanalysis.com/tipranks) - consistent with original estimate</t>
        </is>
      </c>
      <c r="M18" s="10" t="inlineStr">
        <is>
          <t xml:space="preserve">[VERIFIED NEW W8] UK logistics/distribution real estate partner - straightforward large-cap REIT fit for a UK-anchored F1 sponsorship activation (British GP tie-in). | </t>
        </is>
      </c>
    </row>
    <row r="19">
      <c r="A19" s="10" t="n">
        <v>16</v>
      </c>
      <c r="B19" s="10" t="inlineStr">
        <is>
          <t>W8</t>
        </is>
      </c>
      <c r="C19" s="10" t="inlineStr">
        <is>
          <t>29 Tech Media &amp; Gaming</t>
        </is>
      </c>
      <c r="D19" s="10" t="n">
        <v>84</v>
      </c>
      <c r="E19" s="10" t="inlineStr">
        <is>
          <t>Lamar Advertising Company</t>
        </is>
      </c>
      <c r="F19" s="10" t="inlineStr">
        <is>
          <t>lamar.com</t>
        </is>
      </c>
      <c r="G19" s="10" t="n"/>
      <c r="H19" s="10" t="inlineStr">
        <is>
          <t>Outdoor/billboard and transit advertising real estate (REIT)</t>
        </is>
      </c>
      <c r="I19" s="10" t="n"/>
      <c r="J19" s="10" t="inlineStr">
        <is>
          <t>unknown</t>
        </is>
      </c>
      <c r="K19" s="10" t="inlineStr">
        <is>
          <t>verified-new</t>
        </is>
      </c>
      <c r="L19" s="10" t="inlineStr">
        <is>
          <t xml:space="preserve"> | ~$15.3B market cap (verified Sep 20, 2026, NASDAQ:LAMR per companiesmarketcap/stockanalysis) - higher than original $10-12B estimate, all-time high $166.33 reached Jul 29, 2026</t>
        </is>
      </c>
      <c r="M19" s="10" t="inlineStr">
        <is>
          <t xml:space="preserve">[VERIFIED NEW W8] Natural trackside/OOH media partner - Lamar's existing billboard inventory near US GP venues (Las Vegas, Miami, Austin) makes a compelling 'official OOH partner' pitch for race-week and season-long fan-engagement campaigns. | </t>
        </is>
      </c>
    </row>
    <row r="20">
      <c r="A20" s="10" t="n">
        <v>17</v>
      </c>
      <c r="B20" s="10" t="inlineStr">
        <is>
          <t>W8</t>
        </is>
      </c>
      <c r="C20" s="10" t="inlineStr">
        <is>
          <t>18 Services &amp; Other</t>
        </is>
      </c>
      <c r="D20" s="10" t="n">
        <v>76</v>
      </c>
      <c r="E20" s="10" t="inlineStr">
        <is>
          <t>VICI Properties Inc</t>
        </is>
      </c>
      <c r="F20" s="10" t="inlineStr">
        <is>
          <t>viciproperties.com</t>
        </is>
      </c>
      <c r="G20" s="10" t="n"/>
      <c r="H20" s="10" t="inlineStr">
        <is>
          <t>Gaming, hospitality and entertainment real estate net-lease (REIT); owns Caesars Palace, MGM properties, Las Vegas Strip</t>
        </is>
      </c>
      <c r="I20" s="10" t="n"/>
      <c r="J20" s="10" t="inlineStr">
        <is>
          <t>unknown</t>
        </is>
      </c>
      <c r="K20" s="10" t="inlineStr">
        <is>
          <t>verified-new</t>
        </is>
      </c>
      <c r="L20" s="10" t="inlineStr">
        <is>
          <t>$4.0B FY2025 (up 4.1% YoY; 10-K/Q4 2025 earnings release) |  | flags: gambling-adjacent - landlord to casino/gaming operators (not itself a gaming operator); flagged per protocol, not disqualifying</t>
        </is>
      </c>
      <c r="M20" s="10" t="inlineStr">
        <is>
          <t>[VERIFIED NEW W8] Las Vegas GP hospitality/venue tie-in - VICI's Caesars Palace/MGM/Strip properties as official race-week hospitality and suite venues; position as a landlord-level partner activating around the one F1 race run through its own real e</t>
        </is>
      </c>
    </row>
    <row r="21">
      <c r="A21" s="11" t="n">
        <v>18</v>
      </c>
      <c r="B21" s="11" t="inlineStr">
        <is>
          <t>W8</t>
        </is>
      </c>
      <c r="C21" s="11" t="inlineStr">
        <is>
          <t>02 Energy &amp; Industrial</t>
        </is>
      </c>
      <c r="D21" s="11" t="n">
        <v>58</v>
      </c>
      <c r="E21" s="11" t="inlineStr">
        <is>
          <t>Mitsubishi Corporation</t>
        </is>
      </c>
      <c r="F21" s="11" t="inlineStr">
        <is>
          <t>mitsubishicorp.com</t>
        </is>
      </c>
      <c r="G21" s="11" t="inlineStr">
        <is>
          <t>Tokyo, Japan</t>
        </is>
      </c>
      <c r="H21" s="11" t="inlineStr">
        <is>
          <t>General trading house across energy, metals, machinery, food, consumer industries</t>
        </is>
      </c>
      <c r="I21" s="11" t="inlineStr">
        <is>
          <t>~80,000 group (50k-100k band)</t>
        </is>
      </c>
      <c r="J21" s="11" t="inlineStr">
        <is>
          <t>10k+</t>
        </is>
      </c>
      <c r="K21" s="11" t="inlineStr">
        <is>
          <t>verified-stretch</t>
        </is>
      </c>
      <c r="L21" s="11" t="inlineStr">
        <is>
          <t>~JPY19T (~$127B) revenue FY ended Mar 2025 (co. filings) | ~JPY17.7-18.5T (~$110-123B USD) market cap (WebSearch, Sept 2026, TSE:8058; up ~41% YoY, well above input est. of $80-95B) | flags: Already a heavy sponsor of Japanese domestic sports (NPB ba</t>
        </is>
      </c>
      <c r="M21" s="11" t="inlineStr">
        <is>
          <t>[VERIFIED NEW W8] Global brand/energy-transition storytelling angle (Mitsubishi Corp's diversified energy and mobility portfolio) aimed at international expansion beyond its Japan-centric sports sponsorship base. | Financially ideal but mega-brand sc</t>
        </is>
      </c>
    </row>
    <row r="22">
      <c r="A22" s="11" t="n">
        <v>19</v>
      </c>
      <c r="B22" s="11" t="inlineStr">
        <is>
          <t>W8</t>
        </is>
      </c>
      <c r="C22" s="11" t="inlineStr">
        <is>
          <t>18 Services &amp; Other</t>
        </is>
      </c>
      <c r="D22" s="11" t="n">
        <v>58</v>
      </c>
      <c r="E22" s="11" t="inlineStr">
        <is>
          <t>Rentokil Initial plc</t>
        </is>
      </c>
      <c r="F22" s="11" t="inlineStr">
        <is>
          <t>rentokil-initial.com</t>
        </is>
      </c>
      <c r="G22" s="11" t="inlineStr">
        <is>
          <t>Crawley, UK</t>
        </is>
      </c>
      <c r="H22" s="11" t="inlineStr">
        <is>
          <t>Pest control and hygiene services to businesses globally</t>
        </is>
      </c>
      <c r="I22" s="11" t="inlineStr">
        <is>
          <t>~50,000 (50k-100k band)</t>
        </is>
      </c>
      <c r="J22" s="11" t="inlineStr">
        <is>
          <t>10k+</t>
        </is>
      </c>
      <c r="K22" s="11" t="inlineStr">
        <is>
          <t>verified-stretch</t>
        </is>
      </c>
      <c r="L22" s="11" t="inlineStr">
        <is>
          <t>~£5.3B (~$6.7B) revenue FY2024 (annual report) | ~$12-16B market cap (WebSearch range across 2026; stock plunged ~17% after H1 2026 results to ~$23-24/share, implying ~$12B as of late Aug 2026, down from ~$16B earlier in the year; LSE/NYSE:RTO) | fla</t>
        </is>
      </c>
      <c r="M22" s="11" t="inlineStr">
        <is>
          <t>[VERIFIED NEW W8] Position as a global hygiene/pest-control category-first F1 partner; time outreach after Q3/Q4 2026 trading update once growth trajectory stabilizes. | Solid large-cap scale and no conflicts, but recent margin-target retreat and sto</t>
        </is>
      </c>
    </row>
    <row r="23">
      <c r="A23" s="11" t="n">
        <v>20</v>
      </c>
      <c r="B23" s="11" t="inlineStr">
        <is>
          <t>W8</t>
        </is>
      </c>
      <c r="C23" s="11" t="inlineStr">
        <is>
          <t>25 IT Services &amp; Consulting</t>
        </is>
      </c>
      <c r="D23" s="11" t="n">
        <v>58</v>
      </c>
      <c r="E23" s="11" t="inlineStr">
        <is>
          <t>Iron Mountain Incorporated</t>
        </is>
      </c>
      <c r="F23" s="11" t="inlineStr">
        <is>
          <t>ironmountain.com</t>
        </is>
      </c>
      <c r="G23" s="11" t="n"/>
      <c r="H23" s="11" t="inlineStr">
        <is>
          <t>Records management, data destruction, asset lifecycle management, and a fast-growing data-center/digital colocation busi</t>
        </is>
      </c>
      <c r="I23" s="11" t="n"/>
      <c r="J23" s="11" t="inlineStr">
        <is>
          <t>unknown</t>
        </is>
      </c>
      <c r="K23" s="11" t="inlineStr">
        <is>
          <t>verified-stretch</t>
        </is>
      </c>
      <c r="L23" s="11" t="inlineStr">
        <is>
          <t>$6.9B FY2025 (up 12.2% YoY, organic growth 10%; growth businesses - data center/digital/ALM - grew 30%+) |  | flags: REIT tax structure - confirm appetite/precedent for sponsorship-style brand marketing vs. enterprise sales spend; core legacy busines</t>
        </is>
      </c>
      <c r="M23" s="11" t="inlineStr">
        <is>
          <t xml:space="preserve">[VERIFIED NEW W8] Position as a data-infrastructure/digital-transformation partner (data centers, asset lifecycle, secure data management) rather than a legacy records-storage company - mirrors the cloud/enterprise-tech sponsorship playbook other F1 </t>
        </is>
      </c>
    </row>
    <row r="24">
      <c r="A24" s="11" t="n">
        <v>21</v>
      </c>
      <c r="B24" s="11" t="inlineStr">
        <is>
          <t>W8</t>
        </is>
      </c>
      <c r="C24" s="11" t="inlineStr">
        <is>
          <t>18 Services &amp; Other</t>
        </is>
      </c>
      <c r="D24" s="11" t="n">
        <v>52</v>
      </c>
      <c r="E24" s="11" t="inlineStr">
        <is>
          <t>Chemed Corporation</t>
        </is>
      </c>
      <c r="F24" s="11" t="inlineStr">
        <is>
          <t>chemed.com</t>
        </is>
      </c>
      <c r="G24" s="11" t="n"/>
      <c r="H24" s="11" t="inlineStr">
        <is>
          <t>Two-segment holding company: VITAS Healthcare (hospice/palliative care) and Roto-Rooter (plumbing/drain cleaning service</t>
        </is>
      </c>
      <c r="I24" s="11" t="n"/>
      <c r="J24" s="11" t="inlineStr">
        <is>
          <t>unknown</t>
        </is>
      </c>
      <c r="K24" s="11" t="inlineStr">
        <is>
          <t>verified-stretch</t>
        </is>
      </c>
      <c r="L24" s="11" t="inlineStr">
        <is>
          <t>~$2.5-2.6B FY2025 (est from quarterly run-rate; Q4 2025 revenue $639.3M; FY2024 was $2.43B) |  | flags: conglomerate-style structure: two unrelated segments (hospice care + home services) requires the pitch to isolate Roto-Rooter only, never VITAS; R</t>
        </is>
      </c>
      <c r="M24" s="11" t="inlineStr">
        <is>
          <t>[VERIFIED NEW W8] Pitch Roto-Rooter specifically (not Chemed or VITAS) as a trusted, ubiquitous American home-services brand - trades/blue-collar-hero positioning, not the luxury-consumer F1 audience, so likely a niche regional/digital activation rat</t>
        </is>
      </c>
    </row>
    <row r="25">
      <c r="A25" s="11" t="n">
        <v>22</v>
      </c>
      <c r="B25" s="11" t="inlineStr">
        <is>
          <t>W8</t>
        </is>
      </c>
      <c r="C25" s="11" t="inlineStr">
        <is>
          <t>24 Logistics</t>
        </is>
      </c>
      <c r="D25" s="11" t="n">
        <v>52</v>
      </c>
      <c r="E25" s="11" t="inlineStr">
        <is>
          <t>Public Storage</t>
        </is>
      </c>
      <c r="F25" s="11" t="inlineStr">
        <is>
          <t>publicstorage.com</t>
        </is>
      </c>
      <c r="G25" s="11" t="n"/>
      <c r="H25" s="11" t="inlineStr">
        <is>
          <t>Largest US self-storage REIT - leases storage units to consumers and small businesses nationwide</t>
        </is>
      </c>
      <c r="I25" s="11" t="n"/>
      <c r="J25" s="11" t="inlineStr">
        <is>
          <t>unknown</t>
        </is>
      </c>
      <c r="K25" s="11" t="inlineStr">
        <is>
          <t>verified-stretch</t>
        </is>
      </c>
      <c r="L25" s="11" t="inlineStr">
        <is>
          <t>$4.82B FY2025 (up 2.7% YoY, per Q4/FY2025 results, reported ~Feb 2026) |  | flags: REIT structure - marketing spend is typically local/performance (search/local SEO) rather than brand/sponsorship-oriented; no history of major sponsorship spend to poi</t>
        </is>
      </c>
      <c r="M25" s="11" t="inlineStr">
        <is>
          <t xml:space="preserve">[VERIFIED NEW W8] If pursued, position as a brand-awareness/logistics-adjacent play (storage-for-life-transitions, moving, small business) rather than a performance-marketing pitch; acknowledge this is atypical for a REIT's marketing budget. | </t>
        </is>
      </c>
    </row>
    <row r="26">
      <c r="A26" s="11" t="n">
        <v>23</v>
      </c>
      <c r="B26" s="11" t="inlineStr">
        <is>
          <t>W8</t>
        </is>
      </c>
      <c r="C26" s="11" t="inlineStr">
        <is>
          <t>24 Logistics</t>
        </is>
      </c>
      <c r="D26" s="11" t="n">
        <v>52</v>
      </c>
      <c r="E26" s="11" t="inlineStr">
        <is>
          <t>VGP NV</t>
        </is>
      </c>
      <c r="F26" s="11" t="inlineStr">
        <is>
          <t>vgpparks.eu</t>
        </is>
      </c>
      <c r="G26" s="11" t="n"/>
      <c r="H26" s="11" t="inlineStr">
        <is>
          <t>Logistics and semi-industrial real estate parks across Europe (REIT-like developer/operator)</t>
        </is>
      </c>
      <c r="I26" s="11" t="n"/>
      <c r="J26" s="11" t="inlineStr">
        <is>
          <t>unknown</t>
        </is>
      </c>
      <c r="K26" s="11" t="inlineStr">
        <is>
          <t>verified-stretch</t>
        </is>
      </c>
      <c r="L26" s="11" t="inlineStr">
        <is>
          <t xml:space="preserve"> | ~EUR2.1-2.9B market cap (verified Jul 2026, Euronext Brussels:VGP) - lower than original EUR3-4B estimate; sources conflict between ~€2.15B and ~$2.95B USD-equivalent | flags: Market cap verified lower (~€2.1-2.9B) than original ~€3-4B estimate - </t>
        </is>
      </c>
      <c r="M26" s="11" t="inlineStr">
        <is>
          <t xml:space="preserve">[VERIFIED NEW W8] If pursued, frame as a growth-oriented European logistics real estate partner tied to F1's European race logistics footprint; better suited to a regional/European activation than a marquee global partnership given smaller scale. | </t>
        </is>
      </c>
    </row>
    <row r="27">
      <c r="A27" s="11" t="n">
        <v>24</v>
      </c>
      <c r="B27" s="11" t="inlineStr">
        <is>
          <t>W8</t>
        </is>
      </c>
      <c r="C27" s="11" t="inlineStr">
        <is>
          <t>29 Tech Media &amp; Gaming</t>
        </is>
      </c>
      <c r="D27" s="11" t="n">
        <v>52</v>
      </c>
      <c r="E27" s="11" t="inlineStr">
        <is>
          <t>GDS Holdings Limited</t>
        </is>
      </c>
      <c r="F27" s="11" t="inlineStr">
        <is>
          <t>gds-services.com</t>
        </is>
      </c>
      <c r="G27" s="11" t="n"/>
      <c r="H27" s="11" t="inlineStr">
        <is>
          <t>Data center colocation and cloud infrastructure real estate services</t>
        </is>
      </c>
      <c r="I27" s="11" t="n"/>
      <c r="J27" s="11" t="inlineStr">
        <is>
          <t>unknown</t>
        </is>
      </c>
      <c r="K27" s="11" t="inlineStr">
        <is>
          <t>verified-stretch</t>
        </is>
      </c>
      <c r="L27" s="11" t="inlineStr">
        <is>
          <t xml:space="preserve"> | ~$6.4-6.9B market cap (verified Sep 2026, NASDAQ:GDS; $6.38B as of Sep 8, 2026 per stockanalysis.com, down from $8.58B in Mar 2026) | flags: Historically loss-making through 2023-2024 due to heavy capex/leverage; only returned to sustained profita</t>
        </is>
      </c>
      <c r="M27" s="11" t="inlineStr">
        <is>
          <t xml:space="preserve">[VERIFIED NEW W8] AI/cloud infrastructure and data-center capacity growth story for F1's data-heavy team/broadcast tech narrative - best pursued after counterparty risk review clears, or via APAC race activation angle (Chinese GP) rather than global </t>
        </is>
      </c>
    </row>
    <row r="28">
      <c r="A28" s="11" t="n">
        <v>25</v>
      </c>
      <c r="B28" s="11" t="inlineStr">
        <is>
          <t>W8</t>
        </is>
      </c>
      <c r="C28" s="11" t="inlineStr">
        <is>
          <t>29 Tech Media &amp; Gaming</t>
        </is>
      </c>
      <c r="D28" s="11" t="n">
        <v>52</v>
      </c>
      <c r="E28" s="11" t="inlineStr">
        <is>
          <t>Hakuhodo DY Holdings Inc</t>
        </is>
      </c>
      <c r="F28" s="11" t="inlineStr">
        <is>
          <t>hakuhodody-holdings.co.jp</t>
        </is>
      </c>
      <c r="G28" s="11" t="n"/>
      <c r="H28" s="11" t="inlineStr">
        <is>
          <t>Advertising, marketing and media agency holding group (Hakuhodo, Daiko)</t>
        </is>
      </c>
      <c r="I28" s="11" t="n"/>
      <c r="J28" s="11" t="inlineStr">
        <is>
          <t>unknown</t>
        </is>
      </c>
      <c r="K28" s="11" t="inlineStr">
        <is>
          <t>verified-stretch</t>
        </is>
      </c>
      <c r="L28" s="11" t="inlineStr">
        <is>
          <t xml:space="preserve"> | ~JPY427-428B (~$2.7-2.9B) market cap (verified Sep 8-18, 2026, TSE:2433; USDJPY ~154-157) - below original JPY500-650B (~$3.3-4.3B) estimate due to JPY weakness/share price decline | flags: Market cap verified lower than estimate (~$2.7-2.9B vs. o</t>
        </is>
      </c>
      <c r="M28" s="11" t="inlineStr">
        <is>
          <t>[VERIFIED NEW W8] Japan/APAC marketing-agency partner angle for F1's Japanese GP (Suzuka) activation and broader APAC fan-growth campaigns - best pitched as a regional/agency-of-record partnership rather than a marquee global sponsorship given soften</t>
        </is>
      </c>
    </row>
    <row r="29">
      <c r="A29" s="11" t="n">
        <v>26</v>
      </c>
      <c r="B29" s="11" t="inlineStr">
        <is>
          <t>W8</t>
        </is>
      </c>
      <c r="C29" s="11" t="inlineStr">
        <is>
          <t>18 Services &amp; Other</t>
        </is>
      </c>
      <c r="D29" s="11" t="n">
        <v>46</v>
      </c>
      <c r="E29" s="11" t="inlineStr">
        <is>
          <t>Extra Space Storage Inc</t>
        </is>
      </c>
      <c r="F29" s="11" t="inlineStr">
        <is>
          <t>extraspace.com</t>
        </is>
      </c>
      <c r="G29" s="11" t="n"/>
      <c r="H29" s="11" t="inlineStr">
        <is>
          <t>Self-storage real estate (REIT)</t>
        </is>
      </c>
      <c r="I29" s="11" t="n"/>
      <c r="J29" s="11" t="inlineStr">
        <is>
          <t>unknown</t>
        </is>
      </c>
      <c r="K29" s="11" t="inlineStr">
        <is>
          <t>verified-stretch</t>
        </is>
      </c>
      <c r="L29" s="11" t="inlineStr">
        <is>
          <t>$3.45B FY2025 (up 3.7% YoY; FY2025 Q4/full-year results press release, Feb 2026; 10-K) |  | flags: low consumer-brand relevance to motorsport; self-storage category has minimal natural F1 audience overlap</t>
        </is>
      </c>
      <c r="M29" s="11" t="inlineStr">
        <is>
          <t xml:space="preserve">[VERIFIED NEW W8] Local/regional activation angle only - e.g., fan-experience logistics/storage support around a US race weekend (Austin/Vegas) rather than a global partnership; unlikely to be a priority outbound target. | </t>
        </is>
      </c>
    </row>
    <row r="30">
      <c r="A30" s="11" t="n">
        <v>27</v>
      </c>
      <c r="B30" s="11" t="inlineStr">
        <is>
          <t>W8</t>
        </is>
      </c>
      <c r="C30" s="11" t="inlineStr">
        <is>
          <t>18 Services &amp; Other</t>
        </is>
      </c>
      <c r="D30" s="11" t="n">
        <v>46</v>
      </c>
      <c r="E30" s="11" t="inlineStr">
        <is>
          <t>CubeSmart</t>
        </is>
      </c>
      <c r="F30" s="11" t="inlineStr">
        <is>
          <t>cubesmart.com</t>
        </is>
      </c>
      <c r="G30" s="11" t="n"/>
      <c r="H30" s="11" t="inlineStr">
        <is>
          <t>Self-storage real estate (REIT)</t>
        </is>
      </c>
      <c r="I30" s="11" t="n"/>
      <c r="J30" s="11" t="inlineStr">
        <is>
          <t>unknown</t>
        </is>
      </c>
      <c r="K30" s="11" t="inlineStr">
        <is>
          <t>verified-stretch</t>
        </is>
      </c>
      <c r="L30" s="11" t="inlineStr">
        <is>
          <t>$840.4M FY2025 (CubeSmart Q4/FY2025 earnings release, Feb 2026) |  | flags: same-store NOI/net income declining YoY - soft self-storage cycle; smaller scale than sector leaders (EXR); minimal consumer/motorsport brand fit</t>
        </is>
      </c>
      <c r="M30" s="11" t="inlineStr">
        <is>
          <t xml:space="preserve">[VERIFIED NEW W8] Not a strong outbound priority; if pursued, position as a logistics/real-asset diversification story for the sponsorship portfolio rather than a fan-facing activation. | </t>
        </is>
      </c>
    </row>
    <row r="31">
      <c r="A31" s="11" t="n">
        <v>28</v>
      </c>
      <c r="B31" s="11" t="inlineStr">
        <is>
          <t>W8</t>
        </is>
      </c>
      <c r="C31" s="11" t="inlineStr">
        <is>
          <t>18 Services &amp; Other</t>
        </is>
      </c>
      <c r="D31" s="11" t="n">
        <v>46</v>
      </c>
      <c r="E31" s="11" t="inlineStr">
        <is>
          <t>Apple Hospitality REIT Inc</t>
        </is>
      </c>
      <c r="F31" s="11" t="inlineStr">
        <is>
          <t>applehospitalityreit.com</t>
        </is>
      </c>
      <c r="G31" s="11" t="n"/>
      <c r="H31" s="11" t="inlineStr">
        <is>
          <t>Rooms-focused select-service hotel real estate (REIT), Marriott/Hilton branded</t>
        </is>
      </c>
      <c r="I31" s="11" t="n"/>
      <c r="J31" s="11" t="inlineStr">
        <is>
          <t>unknown</t>
        </is>
      </c>
      <c r="K31" s="11" t="inlineStr">
        <is>
          <t>verified-stretch</t>
        </is>
      </c>
      <c r="L31" s="11" t="inlineStr">
        <is>
          <t>$1.41B FY2025 (down 1.3% YoY; Q4/FY2025 earnings release, Feb 2026) |  | flags: revenue and FFO both declined YoY (softening select-service demand); brand invisibility - guests interact with Marriott/Hilton, not Apple Hospitality</t>
        </is>
      </c>
      <c r="M31" s="11" t="inlineStr">
        <is>
          <t xml:space="preserve">[VERIFIED NEW W8] Weak; if pursued, frame as a real-asset/portfolio-diversification sponsor rather than a fan-facing brand partner. | </t>
        </is>
      </c>
    </row>
    <row r="32">
      <c r="A32" s="11" t="n">
        <v>29</v>
      </c>
      <c r="B32" s="11" t="inlineStr">
        <is>
          <t>W8</t>
        </is>
      </c>
      <c r="C32" s="11" t="inlineStr">
        <is>
          <t>18 Services &amp; Other</t>
        </is>
      </c>
      <c r="D32" s="11" t="n">
        <v>40</v>
      </c>
      <c r="E32" s="11" t="inlineStr">
        <is>
          <t>W. P. Carey Inc</t>
        </is>
      </c>
      <c r="F32" s="11" t="inlineStr">
        <is>
          <t>wpcarey.com</t>
        </is>
      </c>
      <c r="G32" s="11" t="n"/>
      <c r="H32" s="11" t="inlineStr">
        <is>
          <t>Diversified net-lease industrial, warehouse and logistics real estate (REIT)</t>
        </is>
      </c>
      <c r="I32" s="11" t="n"/>
      <c r="J32" s="11" t="inlineStr">
        <is>
          <t>unknown</t>
        </is>
      </c>
      <c r="K32" s="11" t="inlineStr">
        <is>
          <t>verified-stretch</t>
        </is>
      </c>
      <c r="L32" s="11" t="inlineStr">
        <is>
          <t>$1.72B FY2025 (up 8.9% YoY; Q4/FY2025 earnings release, Feb 2026) |  | flags: purely B2B net-lease landlord - no consumer brand presence whatsoever</t>
        </is>
      </c>
      <c r="M32" s="11" t="inlineStr">
        <is>
          <t xml:space="preserve">[VERIFIED NEW W8] Only viable as a B2B/industry-relations sponsorship (e.g., paddock logistics/facilities angle); not a fan-facing brand fit. | </t>
        </is>
      </c>
    </row>
    <row r="33">
      <c r="A33" s="11" t="n">
        <v>30</v>
      </c>
      <c r="B33" s="11" t="inlineStr">
        <is>
          <t>W8</t>
        </is>
      </c>
      <c r="C33" s="11" t="inlineStr">
        <is>
          <t>18 Services &amp; Other</t>
        </is>
      </c>
      <c r="D33" s="11" t="n">
        <v>40</v>
      </c>
      <c r="E33" s="11" t="inlineStr">
        <is>
          <t>Rexford Industrial Realty Inc</t>
        </is>
      </c>
      <c r="F33" s="11" t="inlineStr">
        <is>
          <t>rexfordindustrial.com</t>
        </is>
      </c>
      <c r="G33" s="11" t="n"/>
      <c r="H33" s="11" t="inlineStr">
        <is>
          <t>Infill industrial/logistics real estate (REIT), Southern California focus</t>
        </is>
      </c>
      <c r="I33" s="11" t="n"/>
      <c r="J33" s="11" t="inlineStr">
        <is>
          <t>unknown</t>
        </is>
      </c>
      <c r="K33" s="11" t="inlineStr">
        <is>
          <t>verified-stretch</t>
        </is>
      </c>
      <c r="L33" s="11" t="inlineStr">
        <is>
          <t>$1.00B FY2025 (up 7.1% YoY; Q4/FY2025 earnings release, Feb 2026) |  | flags: single-region (SoCal) concentration; purely B2B industrial landlord - no consumer brand</t>
        </is>
      </c>
      <c r="M33" s="11" t="inlineStr">
        <is>
          <t xml:space="preserve">[VERIFIED NEW W8] Not a strong candidate; if used, position purely as a real-asset diversification/CSR-adjacent sponsor rather than fan-facing. | </t>
        </is>
      </c>
    </row>
    <row r="34">
      <c r="A34" s="11" t="n">
        <v>31</v>
      </c>
      <c r="B34" s="11" t="inlineStr">
        <is>
          <t>W8</t>
        </is>
      </c>
      <c r="C34" s="11" t="inlineStr">
        <is>
          <t>18 Services &amp; Other</t>
        </is>
      </c>
      <c r="D34" s="11" t="n">
        <v>40</v>
      </c>
      <c r="E34" s="11" t="inlineStr">
        <is>
          <t>First Industrial Realty Trust Inc</t>
        </is>
      </c>
      <c r="F34" s="11" t="inlineStr">
        <is>
          <t>firstindustrial.com</t>
        </is>
      </c>
      <c r="G34" s="11" t="n"/>
      <c r="H34" s="11" t="inlineStr">
        <is>
          <t>Industrial/logistics warehouse real estate (REIT)</t>
        </is>
      </c>
      <c r="I34" s="11" t="n"/>
      <c r="J34" s="11" t="inlineStr">
        <is>
          <t>unknown</t>
        </is>
      </c>
      <c r="K34" s="11" t="inlineStr">
        <is>
          <t>verified-stretch</t>
        </is>
      </c>
      <c r="L34" s="11" t="inlineStr">
        <is>
          <t>FY2025 revenue not separately isolated in sources reviewed; FFO $403.8M FY2025 (up 15% YoY), FFO margin improved to 56% (Q4/FY2025 earnings release, Feb 2026) |  | flags: purely B2B industrial landlord - no consumer brand presence</t>
        </is>
      </c>
      <c r="M34" s="11" t="inlineStr">
        <is>
          <t xml:space="preserve">[VERIFIED NEW W8] Not a strong candidate; if used, frame as a logistics/supply-chain real-asset sponsor for B2B-oriented activation only. | </t>
        </is>
      </c>
    </row>
    <row r="35">
      <c r="A35" s="11" t="n">
        <v>32</v>
      </c>
      <c r="B35" s="11" t="inlineStr">
        <is>
          <t>W8</t>
        </is>
      </c>
      <c r="C35" s="11" t="inlineStr">
        <is>
          <t>18 Services &amp; Other</t>
        </is>
      </c>
      <c r="D35" s="11" t="n">
        <v>40</v>
      </c>
      <c r="E35" s="11" t="inlineStr">
        <is>
          <t>EastGroup Properties Inc</t>
        </is>
      </c>
      <c r="F35" s="11" t="inlineStr">
        <is>
          <t>eastgroup.net</t>
        </is>
      </c>
      <c r="G35" s="11" t="n"/>
      <c r="H35" s="11" t="inlineStr">
        <is>
          <t>Multi-tenant industrial/logistics real estate (REIT), Sunbelt-focused</t>
        </is>
      </c>
      <c r="I35" s="11" t="n"/>
      <c r="J35" s="11" t="inlineStr">
        <is>
          <t>unknown</t>
        </is>
      </c>
      <c r="K35" s="11" t="inlineStr">
        <is>
          <t>verified-stretch</t>
        </is>
      </c>
      <c r="L35" s="11" t="inlineStr">
        <is>
          <t>$721.3M FY2025 (up 13% YoY; Q4/FY2025 earnings release, Feb 2026) |  | flags: purely B2B industrial landlord - no consumer brand presence</t>
        </is>
      </c>
      <c r="M35" s="11" t="inlineStr">
        <is>
          <t xml:space="preserve">[VERIFIED NEW W8] Not a strong candidate; if used, frame as a real-asset/logistics-sector sponsor for B2B-oriented activation only. | </t>
        </is>
      </c>
    </row>
  </sheetData>
  <autoFilter ref="A3:M3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2"/>
  <sheetViews>
    <sheetView workbookViewId="0">
      <pane ySplit="3" topLeftCell="A4" activePane="bottomLeft" state="frozen"/>
      <selection pane="bottomLeft" activeCell="A1" sqref="A1"/>
    </sheetView>
  </sheetViews>
  <sheetFormatPr baseColWidth="8" defaultRowHeight="15"/>
  <cols>
    <col width="5" customWidth="1" min="1" max="1"/>
    <col width="7" customWidth="1" min="2" max="2"/>
    <col width="24" customWidth="1" min="3" max="3"/>
    <col width="9" customWidth="1" min="4" max="4"/>
    <col width="30" customWidth="1" min="5" max="5"/>
    <col width="22" customWidth="1" min="6" max="6"/>
    <col width="20" customWidth="1" min="7" max="7"/>
    <col width="40" customWidth="1" min="8" max="8"/>
    <col width="16" customWidth="1" min="9" max="9"/>
    <col width="10" customWidth="1" min="10" max="10"/>
    <col width="14" customWidth="1" min="11" max="11"/>
    <col width="60" customWidth="1" min="12" max="12"/>
    <col width="70" customWidth="1" min="13" max="13"/>
  </cols>
  <sheetData>
    <row r="1">
      <c r="A1" s="1" t="inlineStr">
        <is>
          <t>Waves 9-12 - Telecom/Space, Logistics, Media &amp; Gaming, AI residues - 19 brands</t>
        </is>
      </c>
    </row>
    <row r="2">
      <c r="A2" s="8" t="inlineStr">
        <is>
          <t>New brands only (not in the original master before this work). Blue = verified-new (all parameters pass), amber = verified-stretch. Source: F1-New-Brands-By-Wave-2026-09.xlsx tab "W9-12 Residues".</t>
        </is>
      </c>
    </row>
    <row r="3" ht="30" customHeight="1">
      <c r="A3" s="9" t="inlineStr">
        <is>
          <t>#</t>
        </is>
      </c>
      <c r="B3" s="9" t="inlineStr">
        <is>
          <t>wave</t>
        </is>
      </c>
      <c r="C3" s="9" t="inlineStr">
        <is>
          <t>sector_tab</t>
        </is>
      </c>
      <c r="D3" s="9" t="inlineStr">
        <is>
          <t>priority_score</t>
        </is>
      </c>
      <c r="E3" s="9" t="inlineStr">
        <is>
          <t>company</t>
        </is>
      </c>
      <c r="F3" s="9" t="inlineStr">
        <is>
          <t>domain</t>
        </is>
      </c>
      <c r="G3" s="9" t="inlineStr">
        <is>
          <t>hq_country</t>
        </is>
      </c>
      <c r="H3" s="9" t="inlineStr">
        <is>
          <t>niche</t>
        </is>
      </c>
      <c r="I3" s="9" t="inlineStr">
        <is>
          <t>employees_est</t>
        </is>
      </c>
      <c r="J3" s="9" t="inlineStr">
        <is>
          <t>size_band</t>
        </is>
      </c>
      <c r="K3" s="9" t="inlineStr">
        <is>
          <t>tag</t>
        </is>
      </c>
      <c r="L3" s="9" t="inlineStr">
        <is>
          <t>affordability</t>
        </is>
      </c>
      <c r="M3" s="9" t="inlineStr">
        <is>
          <t>why_f1</t>
        </is>
      </c>
    </row>
    <row r="4">
      <c r="A4" s="10" t="n">
        <v>1</v>
      </c>
      <c r="B4" s="10" t="inlineStr">
        <is>
          <t>W10</t>
        </is>
      </c>
      <c r="C4" s="10" t="inlineStr">
        <is>
          <t>24 Logistics</t>
        </is>
      </c>
      <c r="D4" s="10" t="n">
        <v>84</v>
      </c>
      <c r="E4" s="10" t="inlineStr">
        <is>
          <t>InPost S.A.</t>
        </is>
      </c>
      <c r="F4" s="10" t="inlineStr">
        <is>
          <t>inpost.eu</t>
        </is>
      </c>
      <c r="G4" s="10" t="inlineStr">
        <is>
          <t>Poland</t>
        </is>
      </c>
      <c r="H4" s="10" t="inlineStr">
        <is>
          <t>Parcel lockers, last-mile delivery, e-commerce logistics</t>
        </is>
      </c>
      <c r="I4" s="10" t="inlineStr">
        <is>
          <t>~9,000+</t>
        </is>
      </c>
      <c r="J4" s="10" t="inlineStr">
        <is>
          <t>5k-10k</t>
        </is>
      </c>
      <c r="K4" s="10" t="inlineStr">
        <is>
          <t>verified-new</t>
        </is>
      </c>
      <c r="L4" s="10" t="inlineStr">
        <is>
          <t>PLN 14.71B (~USD 3.6B), 2025, +34-35% YoY - confirmed | Market cap ~USD 9.0B (Sept 2026) - confirmed, matches input estimate exactly | flags: No existing motorsport sponsorship history identified - unproven category appetite; Consumer brand strongest</t>
        </is>
      </c>
      <c r="M4" s="10" t="inlineStr">
        <is>
          <t>[VERIFIED NEW W10] Team partner / regional promotional partner across UK-France-Italy-Iberia races - consumer parcel/last-mile brand activation tied to race-week fan delivery experiences (team-level, since DHL holds the series category) | Rare genuin</t>
        </is>
      </c>
    </row>
    <row r="5">
      <c r="A5" s="10" t="n">
        <v>2</v>
      </c>
      <c r="B5" s="10" t="inlineStr">
        <is>
          <t>W10</t>
        </is>
      </c>
      <c r="C5" s="10" t="inlineStr">
        <is>
          <t>24 Logistics</t>
        </is>
      </c>
      <c r="D5" s="10" t="n">
        <v>84</v>
      </c>
      <c r="E5" s="10" t="inlineStr">
        <is>
          <t>Raben Group</t>
        </is>
      </c>
      <c r="F5" s="10" t="inlineStr">
        <is>
          <t>raben-group.com</t>
        </is>
      </c>
      <c r="G5" s="10" t="n"/>
      <c r="H5" s="10" t="n"/>
      <c r="I5" s="10" t="n"/>
      <c r="J5" s="10" t="inlineStr">
        <is>
          <t>unknown</t>
        </is>
      </c>
      <c r="K5" s="10" t="inlineStr">
        <is>
          <t>verified-new</t>
        </is>
      </c>
      <c r="L5" s="10" t="inlineStr">
        <is>
          <t>EUR &gt;2.15B (2024 actual); EUR &gt;2.3B (2025 actual, +6% YoY) |  | flags: Private company - no market cap; sponsorship budget authority sits with family ownership, requiring direct family/board access rather than an IR-driven process</t>
        </is>
      </c>
      <c r="M5" s="10" t="inlineStr">
        <is>
          <t xml:space="preserve">[VERIFIED NEW W10] Pan-European logistics/supply-chain visibility sponsorship tied to European race weekends (Spa, Zandvoort, Monza), leaning into the family-ownership heritage narrative. | </t>
        </is>
      </c>
    </row>
    <row r="6">
      <c r="A6" s="10" t="n">
        <v>3</v>
      </c>
      <c r="B6" s="10" t="inlineStr">
        <is>
          <t>W10</t>
        </is>
      </c>
      <c r="C6" s="10" t="inlineStr">
        <is>
          <t>24 Logistics</t>
        </is>
      </c>
      <c r="D6" s="10" t="n">
        <v>84</v>
      </c>
      <c r="E6" s="10" t="inlineStr">
        <is>
          <t>Fiege Logistik</t>
        </is>
      </c>
      <c r="F6" s="10" t="inlineStr">
        <is>
          <t>fiege.com</t>
        </is>
      </c>
      <c r="G6" s="10" t="n"/>
      <c r="H6" s="10" t="n"/>
      <c r="I6" s="10" t="n"/>
      <c r="J6" s="10" t="inlineStr">
        <is>
          <t>unknown</t>
        </is>
      </c>
      <c r="K6" s="10" t="inlineStr">
        <is>
          <t>verified-new</t>
        </is>
      </c>
      <c r="L6" s="10" t="inlineStr">
        <is>
          <t>EUR ~2.0B (2024 actual); EUR ~2.1B (2025 actual) |  | flags: Private company - no market cap; revenue growth is modest (~5% YoY 2024 to 2025)</t>
        </is>
      </c>
      <c r="M6" s="10" t="inlineStr">
        <is>
          <t xml:space="preserve">[VERIFIED NEW W10] German heritage/family-business storytelling (500+ years) paired with e-commerce fulfillment innovation - fits a German GP or team-partner precision-and-reliability narrative. | </t>
        </is>
      </c>
    </row>
    <row r="7">
      <c r="A7" s="10" t="n">
        <v>4</v>
      </c>
      <c r="B7" s="10" t="inlineStr">
        <is>
          <t>W10</t>
        </is>
      </c>
      <c r="C7" s="10" t="inlineStr">
        <is>
          <t>43 Mobility &amp; Automotive</t>
        </is>
      </c>
      <c r="D7" s="10" t="n">
        <v>84</v>
      </c>
      <c r="E7" s="10" t="inlineStr">
        <is>
          <t>Ritchie Bros Auctioneers</t>
        </is>
      </c>
      <c r="F7" s="10" t="inlineStr">
        <is>
          <t>ritchiebros.com</t>
        </is>
      </c>
      <c r="G7" s="10" t="n"/>
      <c r="H7" s="10" t="n"/>
      <c r="I7" s="10" t="n"/>
      <c r="J7" s="10" t="inlineStr">
        <is>
          <t>unknown</t>
        </is>
      </c>
      <c r="K7" s="10" t="inlineStr">
        <is>
          <t>verified-new</t>
        </is>
      </c>
      <c r="L7" s="10" t="inlineStr">
        <is>
          <t>USD 4.59B (2025 actual, +7.15% YoY) |  | flags: Business spans both vehicle/auto-salvage auctions (IAA, now the largest segment) and heavy-equipment auctions (legacy Ritchie Bros core) - automotive fit is real but not the company's sole line of busin</t>
        </is>
      </c>
      <c r="M7" s="10" t="inlineStr">
        <is>
          <t xml:space="preserve">[VERIFIED NEW W10] B2B marketplace visibility sponsorship positioning RB Global as the re-marketing/circular-economy partner for vehicles and equipment, tying into fleet-turnover and sustainability storylines around F1 team logistics. | </t>
        </is>
      </c>
    </row>
    <row r="8">
      <c r="A8" s="10" t="n">
        <v>5</v>
      </c>
      <c r="B8" s="10" t="inlineStr">
        <is>
          <t>W11</t>
        </is>
      </c>
      <c r="C8" s="10" t="inlineStr">
        <is>
          <t>29 Tech Media &amp; Gaming</t>
        </is>
      </c>
      <c r="D8" s="10" t="n">
        <v>84</v>
      </c>
      <c r="E8" s="10" t="inlineStr">
        <is>
          <t>Banijay Group Holding N.V.</t>
        </is>
      </c>
      <c r="F8" s="10" t="inlineStr">
        <is>
          <t>banijaygroup.com</t>
        </is>
      </c>
      <c r="G8" s="10" t="n"/>
      <c r="H8" s="10" t="inlineStr">
        <is>
          <t>TV/streaming content production and distribution (Big Brother, MasterChef, Survivor formats; Endemol Shine heritage libr</t>
        </is>
      </c>
      <c r="I8" s="10" t="n"/>
      <c r="J8" s="10" t="inlineStr">
        <is>
          <t>unknown</t>
        </is>
      </c>
      <c r="K8" s="10" t="inlineStr">
        <is>
          <t>verified-new</t>
        </is>
      </c>
      <c r="L8" s="10" t="inlineStr">
        <is>
          <t xml:space="preserve">EUR4.9B FY2025 (confirmed, up from EUR4.8B in FY2024; Adjusted EBITDA EUR961M) - Banijay Group FY2025 Results, Euronext/GlobeNewswire, 5 Mar 2026. [Original input estimate of ~EUR3.5B was too low; revised upward on verification.] |  | flags: Revenue </t>
        </is>
      </c>
      <c r="M8" s="10" t="inlineStr">
        <is>
          <t xml:space="preserve">[VERIFIED NEW W11] Content/format partnership - F1-branded docuseries or reality format co-production (Banijay's Drive to Survive-adjacent unscripted expertise), plus a separate approach to Banijay Gaming as a sports-betting sponsor prospect. | </t>
        </is>
      </c>
    </row>
    <row r="9">
      <c r="A9" s="10" t="n">
        <v>6</v>
      </c>
      <c r="B9" s="10" t="inlineStr">
        <is>
          <t>W11</t>
        </is>
      </c>
      <c r="C9" s="10" t="inlineStr">
        <is>
          <t>29 Tech Media &amp; Gaming</t>
        </is>
      </c>
      <c r="D9" s="10" t="n">
        <v>84</v>
      </c>
      <c r="E9" s="10" t="inlineStr">
        <is>
          <t>Axel Springer SE</t>
        </is>
      </c>
      <c r="F9" s="10" t="inlineStr">
        <is>
          <t>axelspringer.com</t>
        </is>
      </c>
      <c r="G9" s="10" t="n"/>
      <c r="H9" s="10" t="inlineStr">
        <is>
          <t>Digital publishing (Bild, Die Welt, Politico, Business Insider, Morning Brew)</t>
        </is>
      </c>
      <c r="I9" s="10" t="n"/>
      <c r="J9" s="10" t="inlineStr">
        <is>
          <t>unknown</t>
        </is>
      </c>
      <c r="K9" s="10" t="inlineStr">
        <is>
          <t>verified-new</t>
        </is>
      </c>
      <c r="L9" s="10" t="inlineStr">
        <is>
          <t>EUR2.2B pro forma FY2025 (confirmed, post-classifieds split) with adjusted EBIT up 29.4% to EUR241.4M - Yahoo Finance/company results, 2026. [Note: original input estimate of EUR4.2-4.5B included the now-separated Stepstone/AVIV classifieds business;</t>
        </is>
      </c>
      <c r="M9" s="10" t="inlineStr">
        <is>
          <t xml:space="preserve">[VERIFIED NEW W11] Editorial/content partnership via Bild (Germany, home market for multiple F1 teams/sponsors) or Politico/Business Insider policy and business-of-sport coverage tie-ins. | </t>
        </is>
      </c>
    </row>
    <row r="10">
      <c r="A10" s="10" t="n">
        <v>7</v>
      </c>
      <c r="B10" s="10" t="inlineStr">
        <is>
          <t>W11</t>
        </is>
      </c>
      <c r="C10" s="10" t="inlineStr">
        <is>
          <t>29 Tech Media &amp; Gaming</t>
        </is>
      </c>
      <c r="D10" s="10" t="n">
        <v>84</v>
      </c>
      <c r="E10" s="10" t="inlineStr">
        <is>
          <t>TEGNA Inc.</t>
        </is>
      </c>
      <c r="F10" s="10" t="inlineStr">
        <is>
          <t>tegna.com</t>
        </is>
      </c>
      <c r="G10" s="10" t="n"/>
      <c r="H10" s="10" t="inlineStr">
        <is>
          <t>Local TV broadcasting (64 stations) and news content</t>
        </is>
      </c>
      <c r="I10" s="10" t="n"/>
      <c r="J10" s="10" t="inlineStr">
        <is>
          <t>unknown</t>
        </is>
      </c>
      <c r="K10" s="10" t="inlineStr">
        <is>
          <t>verified-new</t>
        </is>
      </c>
      <c r="L10" s="10" t="inlineStr">
        <is>
          <t>~$2.9-3.1B (2025) (est) - search budget; consistent with prior TEGNA public filings trend, not independently re-verified this pass. |  | flags: Market cap confirmed just above the $3B threshold ($3.24B) - monitor for volatility that could push it bac</t>
        </is>
      </c>
      <c r="M10" s="10" t="inlineStr">
        <is>
          <t xml:space="preserve">[VERIFIED NEW W11] Local-market ad packages and regional promotional tie-ins around US Grand Prix markets (Austin, Miami, Las Vegas) using TEGNA's local station footprint. | </t>
        </is>
      </c>
    </row>
    <row r="11">
      <c r="A11" s="10" t="n">
        <v>8</v>
      </c>
      <c r="B11" s="10" t="inlineStr">
        <is>
          <t>W11</t>
        </is>
      </c>
      <c r="C11" s="10" t="inlineStr">
        <is>
          <t>29 Tech Media &amp; Gaming</t>
        </is>
      </c>
      <c r="D11" s="10" t="n">
        <v>84</v>
      </c>
      <c r="E11" s="10" t="inlineStr">
        <is>
          <t>Toho Co., Ltd.</t>
        </is>
      </c>
      <c r="F11" s="10" t="inlineStr">
        <is>
          <t>toho.co.jp</t>
        </is>
      </c>
      <c r="G11" s="10" t="n"/>
      <c r="H11" s="10" t="inlineStr">
        <is>
          <t>Film production/distribution (Godzilla franchise, anime theatrical films), theatrical exhibition, theater real estate</t>
        </is>
      </c>
      <c r="I11" s="10" t="n"/>
      <c r="J11" s="10" t="inlineStr">
        <is>
          <t>unknown</t>
        </is>
      </c>
      <c r="K11" s="10" t="inlineStr">
        <is>
          <t>verified-new</t>
        </is>
      </c>
      <c r="L11" s="10" t="inlineStr">
        <is>
          <t>~JPY250-280B (~$1.7-1.9B) (2025) (est) - search budget; Godzilla IP segment specifically grew from ~JPY6B (FY ended Feb 2024) to over JPY12B (FY ended Feb 2025), reflecting Godzilla Minus One's global success. |  | flags: Market cap revised down from</t>
        </is>
      </c>
      <c r="M11" s="10" t="inlineStr">
        <is>
          <t xml:space="preserve">[VERIFIED NEW W11] Godzilla/anime IP crossover activation timed to the Japanese Grand Prix (Suzuka), leveraging Toho's global co-production reach (Legendary/Hollywood ties). | </t>
        </is>
      </c>
    </row>
    <row r="12">
      <c r="A12" s="11" t="n">
        <v>9</v>
      </c>
      <c r="B12" s="11" t="inlineStr">
        <is>
          <t>W9</t>
        </is>
      </c>
      <c r="C12" s="11" t="inlineStr">
        <is>
          <t>48 Telecom &amp; Space</t>
        </is>
      </c>
      <c r="D12" s="11" t="n">
        <v>58</v>
      </c>
      <c r="E12" s="11" t="inlineStr">
        <is>
          <t>Colt Technology Services</t>
        </is>
      </c>
      <c r="F12" s="11" t="inlineStr">
        <is>
          <t>colt.net</t>
        </is>
      </c>
      <c r="G12" s="11" t="inlineStr">
        <is>
          <t>United Kingdom</t>
        </is>
      </c>
      <c r="H12" s="11" t="inlineStr">
        <is>
          <t xml:space="preserve">Global fiber network connectivity, SD-WAN, cloud connect and enterprise IT/voice services for multinational enterprises </t>
        </is>
      </c>
      <c r="I12" s="11" t="inlineStr">
        <is>
          <t>~5,900 (est.)</t>
        </is>
      </c>
      <c r="J12" s="11" t="inlineStr">
        <is>
          <t>5k-10k</t>
        </is>
      </c>
      <c r="K12" s="11" t="inlineStr">
        <is>
          <t>verified-stretch</t>
        </is>
      </c>
      <c r="L12" s="11" t="inlineStr">
        <is>
          <t>EUR 2.19B / ~$2.35B FY2024, +31.7% YoY (Lumen EMEA assets acquired Nov 2023) - confirmed via Telecompaper/Colt Group results; FY2025 figures not yet published | Not disclosed (private); est. enterprise value $3-4B [ESTIMATE, unverified] | flags: Reve</t>
        </is>
      </c>
      <c r="M12" s="11" t="inlineStr">
        <is>
          <t>[VERIFIED NEW W9] B2B connectivity/technology partner for team factory-to-track data networks or broadcast infrastructure, not a livery/consumer brand play | Solid, growing, well-capitalized telecom infrastructure player with fast private-owner decis</t>
        </is>
      </c>
    </row>
    <row r="13">
      <c r="A13" s="11" t="n">
        <v>10</v>
      </c>
      <c r="B13" s="11" t="inlineStr">
        <is>
          <t>W10</t>
        </is>
      </c>
      <c r="C13" s="11" t="inlineStr">
        <is>
          <t>24 Logistics</t>
        </is>
      </c>
      <c r="D13" s="11" t="n">
        <v>58</v>
      </c>
      <c r="E13" s="11" t="inlineStr">
        <is>
          <t>Mainfreight</t>
        </is>
      </c>
      <c r="F13" s="11" t="inlineStr">
        <is>
          <t>mainfreight.com</t>
        </is>
      </c>
      <c r="G13" s="11" t="inlineStr">
        <is>
          <t>New Zealand</t>
        </is>
      </c>
      <c r="H13" s="11" t="inlineStr">
        <is>
          <t>3PL, freight forwarding (air/sea/road), warehousing</t>
        </is>
      </c>
      <c r="I13" s="11" t="inlineStr">
        <is>
          <t>~10,500 (2024)</t>
        </is>
      </c>
      <c r="J13" s="11" t="inlineStr">
        <is>
          <t>10k+</t>
        </is>
      </c>
      <c r="K13" s="11" t="inlineStr">
        <is>
          <t>verified-stretch</t>
        </is>
      </c>
      <c r="L13" s="11" t="inlineStr">
        <is>
          <t>NZD 5.23B FY2025 (~USD 3.15B), growing further to NZD 5.38B on a trailing basis into 2026 - materially higher than input's NZD 4.3B estimate | Market cap ~NZD 6.10B (~USD 3.6B) as of March 2026 - lower than input's NZD 7.0B estimate | flags: Revenue/</t>
        </is>
      </c>
      <c r="M13" s="11" t="inlineStr">
        <is>
          <t xml:space="preserve">[VERIFIED NEW W10] Team-level APAC/regional logistics and freight partner (factory-to-track regional legs, APAC race logistics) - avoids DHL's series-level exclusivity | Financially strong and growing global 3PL with genuine F1-market footprint, but </t>
        </is>
      </c>
    </row>
    <row r="14">
      <c r="A14" s="11" t="n">
        <v>11</v>
      </c>
      <c r="B14" s="11" t="inlineStr">
        <is>
          <t>W10</t>
        </is>
      </c>
      <c r="C14" s="11" t="inlineStr">
        <is>
          <t>43 Mobility &amp; Automotive</t>
        </is>
      </c>
      <c r="D14" s="11" t="n">
        <v>58</v>
      </c>
      <c r="E14" s="11" t="inlineStr">
        <is>
          <t>Group 1 Automotive</t>
        </is>
      </c>
      <c r="F14" s="11" t="inlineStr">
        <is>
          <t>group1auto.com</t>
        </is>
      </c>
      <c r="G14" s="11" t="n"/>
      <c r="H14" s="11" t="n"/>
      <c r="I14" s="11" t="n"/>
      <c r="J14" s="11" t="inlineStr">
        <is>
          <t>unknown</t>
        </is>
      </c>
      <c r="K14" s="11" t="inlineStr">
        <is>
          <t>verified-stretch</t>
        </is>
      </c>
      <c r="L14" s="11" t="inlineStr">
        <is>
          <t>USD 22.57B (FY2025 actual, +13.2% YoY) |  | flags: Market cap fell from ~$4.5-5.0B (2024 est.) to ~$3.2B (May 2026) amid auto-retail margin pressure; Dealer/retail network, not an OEM or product brand - sponsorship narrative is more local/hospitality</t>
        </is>
      </c>
      <c r="M14" s="11" t="inlineStr">
        <is>
          <t xml:space="preserve">[VERIFIED NEW W10] US hospitality/client-entertainment package tied to Miami, Austin, and Las Vegas GP weekends, potentially co-funded via OEM marketing-development funds from the brands Group 1 distributes. | </t>
        </is>
      </c>
    </row>
    <row r="15">
      <c r="A15" s="11" t="n">
        <v>12</v>
      </c>
      <c r="B15" s="11" t="inlineStr">
        <is>
          <t>W10</t>
        </is>
      </c>
      <c r="C15" s="11" t="inlineStr">
        <is>
          <t>24 Logistics</t>
        </is>
      </c>
      <c r="D15" s="11" t="n">
        <v>52</v>
      </c>
      <c r="E15" s="11" t="inlineStr">
        <is>
          <t>Rhenus Group</t>
        </is>
      </c>
      <c r="F15" s="11" t="inlineStr">
        <is>
          <t>rhenus.com</t>
        </is>
      </c>
      <c r="G15" s="11" t="inlineStr">
        <is>
          <t>Germany</t>
        </is>
      </c>
      <c r="H15" s="11" t="inlineStr">
        <is>
          <t>Contract logistics, freight forwarding, warehousing, port logistics</t>
        </is>
      </c>
      <c r="I15" s="11" t="inlineStr">
        <is>
          <t>~40,000+</t>
        </is>
      </c>
      <c r="J15" s="11" t="inlineStr">
        <is>
          <t>10k+</t>
        </is>
      </c>
      <c r="K15" s="11" t="inlineStr">
        <is>
          <t>verified-stretch</t>
        </is>
      </c>
      <c r="L15" s="11" t="inlineStr">
        <is>
          <t>EUR 8.2B (2025) - confirmed, matches input estimate exactly | N/A (private, family-owned); revenue well over $100M so family-ownership pass applies per policy, flagged for no public valuation | flags: Co-founder of Open Logistics Foundation alongside</t>
        </is>
      </c>
      <c r="M15" s="11" t="inlineStr">
        <is>
          <t xml:space="preserve">[VERIFIED NEW W10] Team-level European contract-logistics/warehousing partner for factory operations or European race-freight legs (regional, not series-wide) | Well-capitalized, fast-deciding family owner, but a B2B-only profile plus close industry </t>
        </is>
      </c>
    </row>
    <row r="16">
      <c r="A16" s="11" t="n">
        <v>13</v>
      </c>
      <c r="B16" s="11" t="inlineStr">
        <is>
          <t>W10</t>
        </is>
      </c>
      <c r="C16" s="11" t="inlineStr">
        <is>
          <t>24 Logistics</t>
        </is>
      </c>
      <c r="D16" s="11" t="n">
        <v>52</v>
      </c>
      <c r="E16" s="11" t="inlineStr">
        <is>
          <t>Dachser</t>
        </is>
      </c>
      <c r="F16" s="11" t="inlineStr">
        <is>
          <t>dachser.com</t>
        </is>
      </c>
      <c r="G16" s="11" t="inlineStr">
        <is>
          <t>Germany</t>
        </is>
      </c>
      <c r="H16" s="11" t="inlineStr">
        <is>
          <t>Road freight, air/sea freight forwarding, contract logistics</t>
        </is>
      </c>
      <c r="I16" s="11" t="inlineStr">
        <is>
          <t>~37,500 (updated from ~34,000 in input)</t>
        </is>
      </c>
      <c r="J16" s="11" t="inlineStr">
        <is>
          <t>10k+</t>
        </is>
      </c>
      <c r="K16" s="11" t="inlineStr">
        <is>
          <t>verified-stretch</t>
        </is>
      </c>
      <c r="L16" s="11" t="inlineStr">
        <is>
          <t>~EUR 8.3B (2025, record year, +3.1% YoY) - confirmed and updated from input's EUR 8.0B (2024) figure | N/A (private, family-owned); revenue well over $100M so family-ownership pass applies per policy, flagged for no public valuation | flags: Air &amp; Se</t>
        </is>
      </c>
      <c r="M16" s="11" t="inlineStr">
        <is>
          <t xml:space="preserve">[VERIFIED NEW W10] Team-level European road-freight/contract-logistics partner for team factory operations (regional, avoiding DHL's series category) | Financially sound, family-run European logistics leader, but B2B-only brand with zero sponsorship </t>
        </is>
      </c>
    </row>
    <row r="17">
      <c r="A17" s="11" t="n">
        <v>14</v>
      </c>
      <c r="B17" s="11" t="inlineStr">
        <is>
          <t>W10</t>
        </is>
      </c>
      <c r="C17" s="11" t="inlineStr">
        <is>
          <t>24 Logistics</t>
        </is>
      </c>
      <c r="D17" s="11" t="n">
        <v>52</v>
      </c>
      <c r="E17" s="11" t="inlineStr">
        <is>
          <t>Ekol Logistics</t>
        </is>
      </c>
      <c r="F17" s="11" t="inlineStr">
        <is>
          <t>ekol.com</t>
        </is>
      </c>
      <c r="G17" s="11" t="n"/>
      <c r="H17" s="11" t="n"/>
      <c r="I17" s="11" t="n"/>
      <c r="J17" s="11" t="inlineStr">
        <is>
          <t>unknown</t>
        </is>
      </c>
      <c r="K17" s="11" t="inlineStr">
        <is>
          <t>verified-stretch</t>
        </is>
      </c>
      <c r="L17" s="11" t="inlineStr">
        <is>
          <t>USD 755.6M (2025 actual, post-divestment) |  | flags: Sold its international Turkey-Europe transport network to DFDS in Nov 2024 for USD 277M - the remaining business is more domestic/regional-Turkey focused, narrowing the pan-European growth story o</t>
        </is>
      </c>
      <c r="M17" s="11" t="inlineStr">
        <is>
          <t xml:space="preserve">[VERIFIED NEW W10] Turkey-domestic activation narrative built around its automotive-sector client base (34% of revenue), best timed if Istanbul Park returns to the calendar or via Turkish fan-base engagement. | </t>
        </is>
      </c>
    </row>
    <row r="18">
      <c r="A18" s="11" t="n">
        <v>15</v>
      </c>
      <c r="B18" s="11" t="inlineStr">
        <is>
          <t>W11</t>
        </is>
      </c>
      <c r="C18" s="11" t="inlineStr">
        <is>
          <t>29 Tech Media &amp; Gaming</t>
        </is>
      </c>
      <c r="D18" s="11" t="n">
        <v>52</v>
      </c>
      <c r="E18" s="11" t="inlineStr">
        <is>
          <t>Nexstar Media Group</t>
        </is>
      </c>
      <c r="F18" s="11" t="inlineStr">
        <is>
          <t>nexstar.tv</t>
        </is>
      </c>
      <c r="G18" s="11" t="n"/>
      <c r="H18" s="11" t="n"/>
      <c r="I18" s="11" t="n"/>
      <c r="J18" s="11" t="inlineStr">
        <is>
          <t>unknown</t>
        </is>
      </c>
      <c r="K18" s="11" t="inlineStr">
        <is>
          <t>verified-stretch</t>
        </is>
      </c>
      <c r="L18" s="11" t="inlineStr">
        <is>
          <t xml:space="preserve">USD 4.95B (2025 actual, -8.5% YoY on tough political-ad-cycle comparison) |  | flags: The CW (Nexstar-owned) already broadcasts NASCAR Xfinity Series - an existing motorsport programming relationship that could create competitive-category tension in </t>
        </is>
      </c>
      <c r="M18" s="11" t="inlineStr">
        <is>
          <t xml:space="preserve">[VERIFIED NEW W11] National ad-inventory/promotional trade partnership across Nexstar's local stations for F1 race-weekend promotion in US markets, positioned as a media-buy trade rather than a livery sponsorship. | </t>
        </is>
      </c>
    </row>
    <row r="19">
      <c r="A19" s="11" t="n">
        <v>16</v>
      </c>
      <c r="B19" s="11" t="inlineStr">
        <is>
          <t>W11</t>
        </is>
      </c>
      <c r="C19" s="11" t="inlineStr">
        <is>
          <t>29 Tech Media &amp; Gaming</t>
        </is>
      </c>
      <c r="D19" s="11" t="n">
        <v>52</v>
      </c>
      <c r="E19" s="11" t="inlineStr">
        <is>
          <t>MFE-MediaForEurope N.V.</t>
        </is>
      </c>
      <c r="F19" s="11" t="inlineStr">
        <is>
          <t>mfemediaforeurope.com</t>
        </is>
      </c>
      <c r="G19" s="11" t="n"/>
      <c r="H19" s="11" t="n"/>
      <c r="I19" s="11" t="n"/>
      <c r="J19" s="11" t="inlineStr">
        <is>
          <t>unknown</t>
        </is>
      </c>
      <c r="K19" s="11" t="inlineStr">
        <is>
          <t>verified-stretch</t>
        </is>
      </c>
      <c r="L19" s="11" t="inlineStr">
        <is>
          <t>EUR 4,031.1M (2025 actual, +37% YoY, driven by ProSiebenSat.1 consolidation from Q4 2025; like-for-like Italy/Spain-only revenue actually fell 3.0% to EUR 2,861.9M) |  | flags: Family-controlled (Berlusconi/Fininvest) with majority voting power via a</t>
        </is>
      </c>
      <c r="M19" s="11" t="inlineStr">
        <is>
          <t xml:space="preserve">[VERIFIED NEW W11] Pan-European ad-inventory or content partnership (post-ProSieben integration) for F1-adjacent programming/promotion across Italy, Spain, Germany, Austria, and Switzerland, framed as a scale media buy rather than a broadcast-rights </t>
        </is>
      </c>
    </row>
    <row r="20">
      <c r="A20" s="11" t="n">
        <v>17</v>
      </c>
      <c r="B20" s="11" t="inlineStr">
        <is>
          <t>W11</t>
        </is>
      </c>
      <c r="C20" s="11" t="inlineStr">
        <is>
          <t>29 Tech Media &amp; Gaming</t>
        </is>
      </c>
      <c r="D20" s="11" t="n">
        <v>52</v>
      </c>
      <c r="E20" s="11" t="inlineStr">
        <is>
          <t>Kadokawa Corporation</t>
        </is>
      </c>
      <c r="F20" s="11" t="inlineStr">
        <is>
          <t>kadokawa.co.jp</t>
        </is>
      </c>
      <c r="G20" s="11" t="n"/>
      <c r="H20" s="11" t="inlineStr">
        <is>
          <t>Publishing, anime production, video game publishing (majority owner of FromSoftware - Elden Ring, Dark Souls), live ente</t>
        </is>
      </c>
      <c r="I20" s="11" t="n"/>
      <c r="J20" s="11" t="inlineStr">
        <is>
          <t>unknown</t>
        </is>
      </c>
      <c r="K20" s="11" t="inlineStr">
        <is>
          <t>verified-stretch</t>
        </is>
      </c>
      <c r="L20" s="11" t="inlineStr">
        <is>
          <t>JPY282.91B (~$1.9B) FY2026, +1.8% YoY (confirmed) - stockanalysis.com. However, company reported a ~60% profit drop as anime and publishing units struggled, per Outlook Respawn/company FY2026 report. |  | flags: Sony Group ~10.04% stake (confirmed 20</t>
        </is>
      </c>
      <c r="M20" s="11" t="inlineStr">
        <is>
          <t>[VERIFIED NEW W11] FromSoftware/Elden Ring gaming-audience activation is the strongest hook (bypasses the wobbly corporate-parent picture) - pitch at the game-franchise level rather than the holding-company level, and revisit once the Oasis/managemen</t>
        </is>
      </c>
    </row>
    <row r="21">
      <c r="A21" s="11" t="n">
        <v>18</v>
      </c>
      <c r="B21" s="11" t="inlineStr">
        <is>
          <t>W12</t>
        </is>
      </c>
      <c r="C21" s="11" t="inlineStr">
        <is>
          <t>17 AI Cloud &amp; Data</t>
        </is>
      </c>
      <c r="D21" s="11" t="n">
        <v>52</v>
      </c>
      <c r="E21" s="11" t="inlineStr">
        <is>
          <t>Cipher Mining</t>
        </is>
      </c>
      <c r="F21" s="11" t="inlineStr">
        <is>
          <t>ciphermining.com</t>
        </is>
      </c>
      <c r="G21" s="11" t="n"/>
      <c r="H21" s="11" t="inlineStr">
        <is>
          <t>AI/HPC data center capacity and colocation hosting (pivoted from bitcoin mining), large power-secured sites leased to hy</t>
        </is>
      </c>
      <c r="I21" s="11" t="n"/>
      <c r="J21" s="11" t="inlineStr">
        <is>
          <t>unknown</t>
        </is>
      </c>
      <c r="K21" s="11" t="inlineStr">
        <is>
          <t>verified-stretch</t>
        </is>
      </c>
      <c r="L21" s="11" t="inlineStr">
        <is>
          <t>$223.94M FY2025 (confirmed, +48% YoY) - stockanalysis.com/macrotrends.net. Q1 2026 revenue dipped to $34.8M as bitcoin-mining revenue winds down ahead of HPC ramp. Separately, the company has signed $11.4B of long-term CONTRACTED (not yet recognized)</t>
        </is>
      </c>
      <c r="M21" s="11" t="inlineStr">
        <is>
          <t>[VERIFIED NEW W12] Position as an emerging AI-infrastructure brand-awareness play (rebranding moment as 'Cipher Digital' + hyperscaler contract wins is a natural news hook) rather than a large stable-budget sponsor; revisit sizing once 2026-27 HPC re</t>
        </is>
      </c>
    </row>
    <row r="22">
      <c r="A22" s="11" t="n">
        <v>19</v>
      </c>
      <c r="B22" s="11" t="inlineStr">
        <is>
          <t>W11</t>
        </is>
      </c>
      <c r="C22" s="11" t="inlineStr">
        <is>
          <t>29 Tech Media &amp; Gaming</t>
        </is>
      </c>
      <c r="D22" s="11" t="n">
        <v>46</v>
      </c>
      <c r="E22" s="11" t="inlineStr">
        <is>
          <t>UTA (United Talent Agency)</t>
        </is>
      </c>
      <c r="F22" s="11" t="inlineStr">
        <is>
          <t>unitedtalent.com</t>
        </is>
      </c>
      <c r="G22" s="11" t="n"/>
      <c r="H22" s="11" t="inlineStr">
        <is>
          <t>Talent and creator representation (film/TV/music/sports/digital), agency and venture/brand-partnership services (UTA IQ)</t>
        </is>
      </c>
      <c r="I22" s="11" t="n"/>
      <c r="J22" s="11" t="inlineStr">
        <is>
          <t>unknown</t>
        </is>
      </c>
      <c r="K22" s="11" t="inlineStr">
        <is>
          <t>verified-stretch</t>
        </is>
      </c>
      <c r="L22" s="11" t="inlineStr">
        <is>
          <t>Private, undisclosed; third-party estimates range widely ($294M-$1B, most citations cluster ~$500M) (est) - search budget; ZoomInfo/RocketReach/LeadIQ, 2026. |  | flags: Conflict-of-interest class - agency represents athletes/celebrities across compe</t>
        </is>
      </c>
      <c r="M22" s="11" t="inlineStr">
        <is>
          <t xml:space="preserve">[VERIFIED NEW W11] UTA IQ brand-partnerships arm as a co-marketing or talent-booking partner for F1-adjacent activations (drivers' media/content deals, docuseries talent), rather than a race-title or team sponsorship pitch. | </t>
        </is>
      </c>
    </row>
  </sheetData>
  <autoFilter ref="A3:M2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9"/>
  <sheetViews>
    <sheetView workbookViewId="0">
      <pane ySplit="3" topLeftCell="A4" activePane="bottomLeft" state="frozen"/>
      <selection pane="bottomLeft" activeCell="A1" sqref="A1"/>
    </sheetView>
  </sheetViews>
  <sheetFormatPr baseColWidth="8" defaultRowHeight="15"/>
  <cols>
    <col width="5" customWidth="1" min="1" max="1"/>
    <col width="7" customWidth="1" min="2" max="2"/>
    <col width="24" customWidth="1" min="3" max="3"/>
    <col width="9" customWidth="1" min="4" max="4"/>
    <col width="30" customWidth="1" min="5" max="5"/>
    <col width="22" customWidth="1" min="6" max="6"/>
    <col width="20" customWidth="1" min="7" max="7"/>
    <col width="40" customWidth="1" min="8" max="8"/>
    <col width="16" customWidth="1" min="9" max="9"/>
    <col width="10" customWidth="1" min="10" max="10"/>
    <col width="14" customWidth="1" min="11" max="11"/>
    <col width="60" customWidth="1" min="12" max="12"/>
    <col width="70" customWidth="1" min="13" max="13"/>
  </cols>
  <sheetData>
    <row r="1">
      <c r="A1" s="1" t="inlineStr">
        <is>
          <t>Wave 13 - Deep pass on 42 under-covered sectors (regional champions, family-owned, PE-owned) - 56 brands</t>
        </is>
      </c>
    </row>
    <row r="2">
      <c r="A2" s="8" t="inlineStr">
        <is>
          <t>New brands only (not in the original master before this work). Blue = verified-new (all parameters pass), amber = verified-stretch. Source: F1-New-Brands-By-Wave-2026-09.xlsx tab "W13 Deep Pass".</t>
        </is>
      </c>
    </row>
    <row r="3" ht="30" customHeight="1">
      <c r="A3" s="9" t="inlineStr">
        <is>
          <t>#</t>
        </is>
      </c>
      <c r="B3" s="9" t="inlineStr">
        <is>
          <t>wave</t>
        </is>
      </c>
      <c r="C3" s="9" t="inlineStr">
        <is>
          <t>sector_tab</t>
        </is>
      </c>
      <c r="D3" s="9" t="inlineStr">
        <is>
          <t>priority_score</t>
        </is>
      </c>
      <c r="E3" s="9" t="inlineStr">
        <is>
          <t>company</t>
        </is>
      </c>
      <c r="F3" s="9" t="inlineStr">
        <is>
          <t>domain</t>
        </is>
      </c>
      <c r="G3" s="9" t="inlineStr">
        <is>
          <t>hq_country</t>
        </is>
      </c>
      <c r="H3" s="9" t="inlineStr">
        <is>
          <t>niche</t>
        </is>
      </c>
      <c r="I3" s="9" t="inlineStr">
        <is>
          <t>employees_est</t>
        </is>
      </c>
      <c r="J3" s="9" t="inlineStr">
        <is>
          <t>size_band</t>
        </is>
      </c>
      <c r="K3" s="9" t="inlineStr">
        <is>
          <t>tag</t>
        </is>
      </c>
      <c r="L3" s="9" t="inlineStr">
        <is>
          <t>affordability</t>
        </is>
      </c>
      <c r="M3" s="9" t="inlineStr">
        <is>
          <t>why_f1</t>
        </is>
      </c>
    </row>
    <row r="4">
      <c r="A4" s="10" t="n">
        <v>1</v>
      </c>
      <c r="B4" s="10" t="inlineStr">
        <is>
          <t>W13</t>
        </is>
      </c>
      <c r="C4" s="10" t="inlineStr">
        <is>
          <t>SaaS</t>
        </is>
      </c>
      <c r="D4" s="10" t="n">
        <v>92</v>
      </c>
      <c r="E4" s="10" t="inlineStr">
        <is>
          <t>Info Edge (India)</t>
        </is>
      </c>
      <c r="F4" s="10" t="inlineStr">
        <is>
          <t>infoedge.com</t>
        </is>
      </c>
      <c r="G4" s="10" t="inlineStr">
        <is>
          <t>Noida, India</t>
        </is>
      </c>
      <c r="H4" s="10" t="inlineStr">
        <is>
          <t>Online recruitment, real estate, and matrimony marketplace platforms (Naukri, Naukrigulf, 99acres, Jeevansathi)</t>
        </is>
      </c>
      <c r="I4" s="10" t="inlineStr">
        <is>
          <t>5k-10k</t>
        </is>
      </c>
      <c r="J4" s="10" t="inlineStr">
        <is>
          <t>5k-10k</t>
        </is>
      </c>
      <c r="K4" s="10" t="inlineStr">
        <is>
          <t>verified-new</t>
        </is>
      </c>
      <c r="L4" s="10" t="inlineStr">
        <is>
          <t>INR 31.65B (~$381M at ~INR83/$) FY2025, up from INR 27.57B FY2024 (~15% YoY) - source: stockanalysis.com / company filings | INR 863.43B market cap (~$10.4B) as of Sept 2026 - source: companiesmarketcap.com | flags: Sector fit debatable: primarily an</t>
        </is>
      </c>
      <c r="M4" s="10" t="inlineStr">
        <is>
          <t>[VERIFIED NEW W13] India + Gulf 'precision matching' campaign timed to the region's F1 calendar (Abu Dhabi, Saudi Arabia, Qatar, Bahrain GPs), positioning Naukri/Naukrigulf as the platform connecting ambitious talent to global opportunity, into the s</t>
        </is>
      </c>
    </row>
    <row r="5">
      <c r="A5" s="10" t="n">
        <v>2</v>
      </c>
      <c r="B5" s="10" t="inlineStr">
        <is>
          <t>W13</t>
        </is>
      </c>
      <c r="C5" s="10" t="inlineStr">
        <is>
          <t>Photonics &amp; Optical</t>
        </is>
      </c>
      <c r="D5" s="10" t="n">
        <v>92</v>
      </c>
      <c r="E5" s="10" t="inlineStr">
        <is>
          <t>Han's Laser Technology Industry Group Co., Ltd.</t>
        </is>
      </c>
      <c r="F5" s="10" t="inlineStr">
        <is>
          <t>hanslaser.com</t>
        </is>
      </c>
      <c r="G5" s="10" t="inlineStr">
        <is>
          <t>Shenzhen, China</t>
        </is>
      </c>
      <c r="H5" s="10" t="inlineStr">
        <is>
          <t>Industrial laser processing/cutting/welding equipment and PCB equipment to thousands of manufacturing customers in consumer electronics, PCB, and AI/new-energy sectors globally</t>
        </is>
      </c>
      <c r="I5" s="10" t="inlineStr">
        <is>
          <t>10k+ (~17,000-20,000, 2023-2025 company data)</t>
        </is>
      </c>
      <c r="J5" s="10" t="inlineStr">
        <is>
          <t>~17,000-20,000, 2023-2025 company data</t>
        </is>
      </c>
      <c r="K5" s="10" t="inlineStr">
        <is>
          <t>verified-new</t>
        </is>
      </c>
      <c r="L5" s="10" t="inlineStr">
        <is>
          <t>$2.67B / CNY18.7B, FY2025, +27% YoY, NPAT (excl. one-offs) +82% (Han's Laser investor release, reported via MarketScreener, 2026) | ~$15.3B market cap as of Sept 18, 2026 (PitchBook) | flags: Chinese tech exporter - general export-control/geopolitica</t>
        </is>
      </c>
      <c r="M5" s="10" t="inlineStr">
        <is>
          <t>[VERIFIED NEW W13] Position Han's Laser as the precision-engineering backbone behind F1's manufacturing supply chain - 'the laser technology shaping the cars before they hit the track' - claiming the open photonics/laser-tech category, timed to its r</t>
        </is>
      </c>
    </row>
    <row r="6">
      <c r="A6" s="10" t="n">
        <v>3</v>
      </c>
      <c r="B6" s="10" t="inlineStr">
        <is>
          <t>W13</t>
        </is>
      </c>
      <c r="C6" s="10" t="inlineStr">
        <is>
          <t>Test &amp; Measurement</t>
        </is>
      </c>
      <c r="D6" s="10" t="n">
        <v>92</v>
      </c>
      <c r="E6" s="10" t="inlineStr">
        <is>
          <t>Rohde &amp; Schwarz GmbH &amp; Co KG</t>
        </is>
      </c>
      <c r="F6" s="10" t="inlineStr">
        <is>
          <t>rohde-schwarz.com</t>
        </is>
      </c>
      <c r="G6" s="10" t="inlineStr">
        <is>
          <t>Munich, Germany</t>
        </is>
      </c>
      <c r="H6" s="10" t="inlineStr">
        <is>
          <t>RF/microwave test equipment, broadcast, cybersecurity and secure communications, to a broad global customer base across telecom, defense, automotive and broadcast</t>
        </is>
      </c>
      <c r="I6" s="10" t="inlineStr">
        <is>
          <t>10k+ (&gt;15,000 employees group-wide, ~10,000 in Germany, FY2024/25 company release)</t>
        </is>
      </c>
      <c r="J6" s="10" t="inlineStr">
        <is>
          <t>&gt;15,000 employees group-wide, ~10,000 in Germany, FY2024/25 company release</t>
        </is>
      </c>
      <c r="K6" s="10" t="inlineStr">
        <is>
          <t>verified-new</t>
        </is>
      </c>
      <c r="L6" s="10" t="inlineStr">
        <is>
          <t>€3.16B FY2024/25, +7.8% YoY, first time above €3B, record order backlog &gt;€5B (Rohde &amp; Schwarz press release, Nov 28, 2025) | Family-owned, no published valuation - passes on revenue alone per policy | flags: family-owned</t>
        </is>
      </c>
      <c r="M6" s="10" t="inlineStr">
        <is>
          <t>[VERIFIED NEW W13] Anchor on R&amp;S's core competency in precision timing, RF and broadcast technology - the invisible infrastructure behind live sports broadcast and telemetry - positioning R&amp;S as the 'signal integrity' partner to F1's technology story</t>
        </is>
      </c>
    </row>
    <row r="7">
      <c r="A7" s="10" t="n">
        <v>4</v>
      </c>
      <c r="B7" s="10" t="inlineStr">
        <is>
          <t>W13</t>
        </is>
      </c>
      <c r="C7" s="10" t="inlineStr">
        <is>
          <t>IoT &amp; Connectivity</t>
        </is>
      </c>
      <c r="D7" s="10" t="n">
        <v>92</v>
      </c>
      <c r="E7" s="10" t="inlineStr">
        <is>
          <t>Ruijie Networks Co., Ltd.</t>
        </is>
      </c>
      <c r="F7" s="10" t="inlineStr">
        <is>
          <t>ruijie.com</t>
        </is>
      </c>
      <c r="G7" s="10" t="inlineStr">
        <is>
          <t>Fuzhou, China</t>
        </is>
      </c>
      <c r="H7" s="10" t="inlineStr">
        <is>
          <t>Enterprise networking and IoT connectivity equipment, sold in 140+ countries via 1,400+ Tier-2 partners, to enterprise, education, government and international customers</t>
        </is>
      </c>
      <c r="I7" s="10" t="inlineStr">
        <is>
          <t>5k-10k (6,681-6,701 employees, 2025-2026, stockanalysis.com/Revelio Labs)</t>
        </is>
      </c>
      <c r="J7" s="10" t="inlineStr">
        <is>
          <t>6,681-6,701 employees, 2025-2026, stockanalysis.com/Revelio Labs</t>
        </is>
      </c>
      <c r="K7" s="10" t="inlineStr">
        <is>
          <t>verified-new</t>
        </is>
      </c>
      <c r="L7" s="10" t="inlineStr">
        <is>
          <t>RMB 14.32B (~$2.0B) FY2025, +22.37% YoY; overseas revenue growing even faster (+42-85% YoY across recent periods) (stockanalysis.com; BigGo Finance, 2026) | ~RMB 130.9B (~$18.4B) market cap as of Sept 18, 2026 (stockanalysis.com) | flags: internation</t>
        </is>
      </c>
      <c r="M7" s="10" t="inlineStr">
        <is>
          <t>[VERIFIED NEW W13] Frame Ruijie as the AI-native networking backbone for global enterprise, leveraging its rapid international expansion (140+ countries) to use F1 as a platform for its overseas brand-building push, in the still-open enterprise-netwo</t>
        </is>
      </c>
    </row>
    <row r="8">
      <c r="A8" s="10" t="n">
        <v>5</v>
      </c>
      <c r="B8" s="10" t="inlineStr">
        <is>
          <t>W13</t>
        </is>
      </c>
      <c r="C8" s="10" t="inlineStr">
        <is>
          <t>Machine Tools &amp; 3D Print</t>
        </is>
      </c>
      <c r="D8" s="10" t="n">
        <v>92</v>
      </c>
      <c r="E8" s="10" t="inlineStr">
        <is>
          <t>SCM Group S.p.A.</t>
        </is>
      </c>
      <c r="F8" s="10" t="inlineStr">
        <is>
          <t>scmgroup.com</t>
        </is>
      </c>
      <c r="G8" s="10" t="inlineStr">
        <is>
          <t>Rimini, Italy</t>
        </is>
      </c>
      <c r="H8" s="10" t="inlineStr">
        <is>
          <t>Woodworking and composite processing machinery</t>
        </is>
      </c>
      <c r="I8" s="10" t="inlineStr">
        <is>
          <t>1k-5k (cited range 1,000-5,000 employees; 26 locations worldwide)</t>
        </is>
      </c>
      <c r="J8" s="10" t="inlineStr">
        <is>
          <t>cited range 1,000-5,000 employees; 26 locations worldwide</t>
        </is>
      </c>
      <c r="K8" s="10" t="inlineStr">
        <is>
          <t>verified-new</t>
        </is>
      </c>
      <c r="L8" s="10" t="inlineStr">
        <is>
          <t>EUR900M consolidated group revenue, FY2024 (as of Dec 31, 2024), per SCM Group press release/RiminiToday (reported ~March 2025); parent SCM Group SpA standalone revenue EUR406.6M FY2024 with net profit EUR8.4M | n/a - family-owned, no published valua</t>
        </is>
      </c>
      <c r="M8" s="10" t="inlineStr">
        <is>
          <t xml:space="preserve">[VERIFIED NEW W13] Precision woodworking/composite-machinery technology story -- 'engineering the machines that shape performance materials' -- targeting the DACH/Italy manufacturing-technology seam, in a category not currently represented on the F1 </t>
        </is>
      </c>
    </row>
    <row r="9">
      <c r="A9" s="10" t="n">
        <v>6</v>
      </c>
      <c r="B9" s="10" t="inlineStr">
        <is>
          <t>W13</t>
        </is>
      </c>
      <c r="C9" s="10" t="inlineStr">
        <is>
          <t>Machine Tools &amp; 3D Print</t>
        </is>
      </c>
      <c r="D9" s="10" t="n">
        <v>92</v>
      </c>
      <c r="E9" s="10" t="inlineStr">
        <is>
          <t>Jyoti CNC Automation Limited</t>
        </is>
      </c>
      <c r="F9" s="10" t="inlineStr">
        <is>
          <t>jyoti.co.in</t>
        </is>
      </c>
      <c r="G9" s="10" t="inlineStr">
        <is>
          <t>Rajkot, India</t>
        </is>
      </c>
      <c r="H9" s="10" t="inlineStr">
        <is>
          <t>CNC machine tools (including simultaneous 5-axis machining centers)</t>
        </is>
      </c>
      <c r="I9" s="10" t="inlineStr">
        <is>
          <t>1k-5k (confirmed 3,845 employees as of Mar 2026, up 7.9% YoY, per company filings)</t>
        </is>
      </c>
      <c r="J9" s="10" t="inlineStr">
        <is>
          <t>confirmed 3,845 employees as of Mar 2026, up 7.9% YoY, per company filings</t>
        </is>
      </c>
      <c r="K9" s="10" t="inlineStr">
        <is>
          <t>verified-new</t>
        </is>
      </c>
      <c r="L9" s="10" t="inlineStr">
        <is>
          <t>FY2025 revenue ~INR2,191 crore / INR18.18B (~$249M est), up 35.8% YoY, per Screener.in/company financial filings | Market cap ~INR23,873 crore (~$2.85B) as of Sep 18, 2026, per stockanalysis.com/NSE -- clears the $1B bar | flags: recently listed (Jan</t>
        </is>
      </c>
      <c r="M9" s="10" t="inlineStr">
        <is>
          <t>[VERIFIED NEW W13] India's fastest-growing CNC machine-tool maker (35.8% YoY revenue growth, recent IPO) expanding into aerospace/EV/semiconductor machining -- a market-timing + 'engineering India's manufacturing rise' angle in an open category. | Al</t>
        </is>
      </c>
    </row>
    <row r="10">
      <c r="A10" s="10" t="n">
        <v>7</v>
      </c>
      <c r="B10" s="10" t="inlineStr">
        <is>
          <t>W13</t>
        </is>
      </c>
      <c r="C10" s="10" t="inlineStr">
        <is>
          <t>DC Power &amp; Cooling</t>
        </is>
      </c>
      <c r="D10" s="10" t="n">
        <v>92</v>
      </c>
      <c r="E10" s="10" t="inlineStr">
        <is>
          <t>Rittal GmbH &amp; Co. KG (Friedhelm Loh Group)</t>
        </is>
      </c>
      <c r="F10" s="10" t="inlineStr">
        <is>
          <t>rittal.com</t>
        </is>
      </c>
      <c r="G10" s="10" t="inlineStr">
        <is>
          <t>Herborn, Germany</t>
        </is>
      </c>
      <c r="H10" s="10" t="inlineStr">
        <is>
          <t>Enclosures, cooling and DC power infrastructure for data centers and industry</t>
        </is>
      </c>
      <c r="I10" s="10" t="inlineStr">
        <is>
          <t>10k+ (Rittal alone cited at 12,000+; Friedhelm Loh Group ~15,000+ across 95+ international subsidiaries)</t>
        </is>
      </c>
      <c r="J10" s="10" t="inlineStr">
        <is>
          <t>Rittal alone cited at 12,000+; Friedhelm Loh Group ~15,000+ across 95+ international subsidiaries</t>
        </is>
      </c>
      <c r="K10" s="10" t="inlineStr">
        <is>
          <t>verified-new</t>
        </is>
      </c>
      <c r="L10" s="10" t="inlineStr">
        <is>
          <t>Friedhelm Loh Group revenue EUR3.1B (2024) growing to EUR3.2B (2025), per company reporting/Wikipedia -- growing YoY | n/a - family-owned, no published valuation (private) -- passes on revenue alone | flags: family-owned, no published valuation</t>
        </is>
      </c>
      <c r="M10" s="10" t="inlineStr">
        <is>
          <t>[VERIFIED NEW W13] Data-center infrastructure boom angle -- Rittal's cooling/enclosure technology underpins the AI/data-center buildout, a live 'powering performance infrastructure' story that ties directly to F1's own technology-partner narrative, i</t>
        </is>
      </c>
    </row>
    <row r="11">
      <c r="A11" s="10" t="n">
        <v>8</v>
      </c>
      <c r="B11" s="10" t="inlineStr">
        <is>
          <t>W13</t>
        </is>
      </c>
      <c r="C11" s="10" t="inlineStr">
        <is>
          <t>Packaging &amp; Food Machinery</t>
        </is>
      </c>
      <c r="D11" s="10" t="n">
        <v>92</v>
      </c>
      <c r="E11" s="10" t="inlineStr">
        <is>
          <t>Coesia Group</t>
        </is>
      </c>
      <c r="F11" s="10" t="inlineStr">
        <is>
          <t>coesia.com</t>
        </is>
      </c>
      <c r="G11" s="10" t="inlineStr">
        <is>
          <t>Bologna, Italy</t>
        </is>
      </c>
      <c r="H11" s="10" t="inlineStr">
        <is>
          <t>Packaging and industrial process machinery (holding group of 21 companies)</t>
        </is>
      </c>
      <c r="I11" s="10" t="inlineStr">
        <is>
          <t>5k-10k (8,000+ employees, per company materials)</t>
        </is>
      </c>
      <c r="J11" s="10" t="inlineStr">
        <is>
          <t>8,000+ employees, per company materials</t>
        </is>
      </c>
      <c r="K11" s="10" t="inlineStr">
        <is>
          <t>verified-new</t>
        </is>
      </c>
      <c r="L11" s="10" t="inlineStr">
        <is>
          <t>EUR2,107M (~$2.3B est), FY2024, per Coesia 2024 Sustainability Report/company reporting | n/a - family-owned (single shareholder), no published valuation -- passes on revenue alone | flags: family-owned, no published valuation; single-shareholder own</t>
        </is>
      </c>
      <c r="M11" s="10" t="inlineStr">
        <is>
          <t>[VERIFIED NEW W13] Industrial-technology holding-group story -- Coesia's 21 companies engineer the precision machinery behind global packaging and manufacturing supply chains, an 'engineering behind the scenes' angle in an open category. | All hard f</t>
        </is>
      </c>
    </row>
    <row r="12">
      <c r="A12" s="10" t="n">
        <v>9</v>
      </c>
      <c r="B12" s="10" t="inlineStr">
        <is>
          <t>W13</t>
        </is>
      </c>
      <c r="C12" s="10" t="inlineStr">
        <is>
          <t>Packaging &amp; Food Machinery</t>
        </is>
      </c>
      <c r="D12" s="10" t="n">
        <v>92</v>
      </c>
      <c r="E12" s="10" t="inlineStr">
        <is>
          <t>Marchesini Group S.p.A.</t>
        </is>
      </c>
      <c r="F12" s="10" t="inlineStr">
        <is>
          <t>marchesini.com</t>
        </is>
      </c>
      <c r="G12" s="10" t="inlineStr">
        <is>
          <t>Bologna, Italy</t>
        </is>
      </c>
      <c r="H12" s="10" t="inlineStr">
        <is>
          <t>Pharmaceutical and packaging machinery</t>
        </is>
      </c>
      <c r="I12" s="10" t="inlineStr">
        <is>
          <t>1k-5k (1,612 employees, per company filings)</t>
        </is>
      </c>
      <c r="J12" s="10" t="inlineStr">
        <is>
          <t>1,612 employees, per company filings</t>
        </is>
      </c>
      <c r="K12" s="10" t="inlineStr">
        <is>
          <t>verified-new</t>
        </is>
      </c>
      <c r="L12" s="10" t="inlineStr">
        <is>
          <t>EUR369.4M FY2024, per company filings (aziende.it/Bilancio 2024); net result EUR62.7M -- strong margin | n/a - family-owned, no published valuation -- passes on revenue alone | flags: family-owned, no published valuation</t>
        </is>
      </c>
      <c r="M12" s="10" t="inlineStr">
        <is>
          <t>[VERIFIED NEW W13] Precision pharma-machinery story -- Marchesini engineers the automated lines behind global medicine packaging, a 'precision at speed' angle resonant with F1 engineering culture, in an open category. | All hard filters pass: revenue</t>
        </is>
      </c>
    </row>
    <row r="13">
      <c r="A13" s="10" t="n">
        <v>10</v>
      </c>
      <c r="B13" s="10" t="inlineStr">
        <is>
          <t>W13</t>
        </is>
      </c>
      <c r="C13" s="10" t="inlineStr">
        <is>
          <t>TIC</t>
        </is>
      </c>
      <c r="D13" s="10" t="n">
        <v>92</v>
      </c>
      <c r="E13" s="10" t="inlineStr">
        <is>
          <t>Applus Services, S.A. (Applus+)</t>
        </is>
      </c>
      <c r="F13" s="10" t="inlineStr">
        <is>
          <t>applus.com</t>
        </is>
      </c>
      <c r="G13" s="10" t="inlineStr">
        <is>
          <t>Barcelona, Spain</t>
        </is>
      </c>
      <c r="H13" s="10" t="inlineStr">
        <is>
          <t>Testing, inspection, certification (TIC) services across automotive, energy, industry and infrastructure sectors, 70+ countries</t>
        </is>
      </c>
      <c r="I13" s="10" t="inlineStr">
        <is>
          <t>10k-10k+ (~26,000 employees, per company/TDR Capital materials, 2024)</t>
        </is>
      </c>
      <c r="J13" s="10" t="inlineStr">
        <is>
          <t>~26,000 employees, per company/TDR Capital materials, 2024</t>
        </is>
      </c>
      <c r="K13" s="10" t="inlineStr">
        <is>
          <t>verified-new</t>
        </is>
      </c>
      <c r="L13" s="10" t="inlineStr">
        <is>
          <t>9-month 2024 revenue EUR1.63B (+7.5% YoY, +7.6% organic); implies FY2024 ~EUR2.2-2.3B (source: Applus+ Q3 2024 Trading Update, applus.com) | Taken private June 2024 by TDR Capital + I Squared Capital for ~EUR1.7B deal value (source: TDR Capital, PE H</t>
        </is>
      </c>
      <c r="M13" s="10" t="inlineStr">
        <is>
          <t>[VERIFIED NEW W13] Position Applus+ as F1's 'independent verification' story: the same rigor F1 uses to certify car legality, safety cells and parts maps onto Applus+'s testing/inspection/certification business - an open category with no incumbent TI</t>
        </is>
      </c>
    </row>
    <row r="14">
      <c r="A14" s="10" t="n">
        <v>11</v>
      </c>
      <c r="B14" s="10" t="inlineStr">
        <is>
          <t>W13</t>
        </is>
      </c>
      <c r="C14" s="10" t="inlineStr">
        <is>
          <t>Grid &amp; Transformers</t>
        </is>
      </c>
      <c r="D14" s="10" t="n">
        <v>92</v>
      </c>
      <c r="E14" s="10" t="inlineStr">
        <is>
          <t>Elecnor, S.A.</t>
        </is>
      </c>
      <c r="F14" s="10" t="inlineStr">
        <is>
          <t>elecnor.com</t>
        </is>
      </c>
      <c r="G14" s="10" t="inlineStr">
        <is>
          <t>Madrid, Spain</t>
        </is>
      </c>
      <c r="H14" s="10" t="inlineStr">
        <is>
          <t>Electrical grid/transmission infrastructure EPC, energy, telecoms, water, rail and environmental project development across 50+ countries</t>
        </is>
      </c>
      <c r="I14" s="10" t="inlineStr">
        <is>
          <t>10k+ (21,431 employees, per BME Exchange listing / 2024-2025 disclosures)</t>
        </is>
      </c>
      <c r="J14" s="10" t="inlineStr">
        <is>
          <t>21,431 employees, per BME Exchange listing / 2024-2025 disclosures</t>
        </is>
      </c>
      <c r="K14" s="10" t="inlineStr">
        <is>
          <t>verified-new</t>
        </is>
      </c>
      <c r="L14" s="10" t="inlineStr">
        <is>
          <t>EUR4.39B in FY2025 (+14.89% YoY vs EUR3.81B in FY2024) (source: MarketScreener 2025 Annual Results Report) | Market cap ~EUR3.25B (~$3.76-3.83B) as of May-June 2026 (source: stockanalysis.com/GuruFocus, 2026) | flags: est figures (input flag) - now s</t>
        </is>
      </c>
      <c r="M14" s="10" t="inlineStr">
        <is>
          <t>[VERIFIED NEW W13] Grid modernization and electrification-of-everything narrative - Elecnor's transmission/grid EPC expertise pairs naturally with F1's push toward sustainable fuels, hybrid power units and race-weekend electrification (est). | All ha</t>
        </is>
      </c>
    </row>
    <row r="15">
      <c r="A15" s="10" t="n">
        <v>12</v>
      </c>
      <c r="B15" s="10" t="inlineStr">
        <is>
          <t>W13</t>
        </is>
      </c>
      <c r="C15" s="10" t="inlineStr">
        <is>
          <t>Materials &amp; Mech Parts</t>
        </is>
      </c>
      <c r="D15" s="10" t="n">
        <v>92</v>
      </c>
      <c r="E15" s="10" t="inlineStr">
        <is>
          <t>voestalpine AG</t>
        </is>
      </c>
      <c r="F15" s="10" t="inlineStr">
        <is>
          <t>voestalpine.com</t>
        </is>
      </c>
      <c r="G15" s="10" t="inlineStr">
        <is>
          <t>Linz, Austria</t>
        </is>
      </c>
      <c r="H15" s="10" t="inlineStr">
        <is>
          <t>Specialty steel, high-performance metals and materials technology for automotive, aerospace, rail, energy and industrial sectors</t>
        </is>
      </c>
      <c r="I15" s="10" t="inlineStr">
        <is>
          <t>10k+ (~49,700 employees, FY2024/25, per voestalpine annual report)</t>
        </is>
      </c>
      <c r="J15" s="10" t="inlineStr">
        <is>
          <t>~49,700 employees, FY2024/25, per voestalpine annual report</t>
        </is>
      </c>
      <c r="K15" s="10" t="inlineStr">
        <is>
          <t>verified-new</t>
        </is>
      </c>
      <c r="L15" s="10" t="inlineStr">
        <is>
          <t xml:space="preserve">EUR15.7B in business year 2024/25 (source: voestalpine press release, June 2025) | Market cap ~$8.99B as of September 2026 (source: companiesmarketcap.com); clearly above the $1B bar under any recent measurement | flags: already a materials SUPPLIER </t>
        </is>
      </c>
      <c r="M15" s="10" t="inlineStr">
        <is>
          <t>[VERIFIED NEW W13] Turn an existing supplier relationship into a headline story: voestalpine already supplies precision components into F1 drivetrains via its Racing/HPM division - an official 'materials partner' deal would make that visible, credibl</t>
        </is>
      </c>
    </row>
    <row r="16">
      <c r="A16" s="10" t="n">
        <v>13</v>
      </c>
      <c r="B16" s="10" t="inlineStr">
        <is>
          <t>W13</t>
        </is>
      </c>
      <c r="C16" s="10" t="inlineStr">
        <is>
          <t>Automation &amp; Robotics</t>
        </is>
      </c>
      <c r="D16" s="10" t="n">
        <v>92</v>
      </c>
      <c r="E16" s="10" t="inlineStr">
        <is>
          <t>Phoenix Contact GmbH &amp; Co. KG</t>
        </is>
      </c>
      <c r="F16" s="10" t="inlineStr">
        <is>
          <t>phoenixcontact.com</t>
        </is>
      </c>
      <c r="G16" s="10" t="inlineStr">
        <is>
          <t>Blomberg, Germany</t>
        </is>
      </c>
      <c r="H16" s="10" t="inlineStr">
        <is>
          <t>Industrial connectivity, automation and electrification components sold in 100+ countries</t>
        </is>
      </c>
      <c r="I16" s="10" t="inlineStr">
        <is>
          <t>10k+ (~22,000 employees group-wide, per company communications, 2022-2025)</t>
        </is>
      </c>
      <c r="J16" s="10" t="inlineStr">
        <is>
          <t>~22,000 employees group-wide, per company communications, 2022-2025</t>
        </is>
      </c>
      <c r="K16" s="10" t="inlineStr">
        <is>
          <t>verified-new</t>
        </is>
      </c>
      <c r="L16" s="10" t="inlineStr">
        <is>
          <t xml:space="preserve">EUR3.04B in FY2024 (source: company disclosures cited via Zippia/craft.co, 2024); FY2024/2025 guidance from CEO Ulrich Leidecker anticipated revenue softening to ~EUR3.0B amid inventory de-stocking and geopolitical headwinds | n/a - family-owned, no </t>
        </is>
      </c>
      <c r="M16" s="10" t="inlineStr">
        <is>
          <t>[VERIFIED NEW W13] Industrial IoT/connectivity-powers-performance narrative: Phoenix Contact's connectivity and automation components could be framed as the 'nervous system' technology behind trackside and factory data systems (est). | All hard filte</t>
        </is>
      </c>
    </row>
    <row r="17">
      <c r="A17" s="10" t="n">
        <v>14</v>
      </c>
      <c r="B17" s="10" t="inlineStr">
        <is>
          <t>W13</t>
        </is>
      </c>
      <c r="C17" s="10" t="inlineStr">
        <is>
          <t>Automation &amp; Robotics</t>
        </is>
      </c>
      <c r="D17" s="10" t="n">
        <v>92</v>
      </c>
      <c r="E17" s="10" t="inlineStr">
        <is>
          <t>Weidmuller Group</t>
        </is>
      </c>
      <c r="F17" s="10" t="inlineStr">
        <is>
          <t>weidmuller.com</t>
        </is>
      </c>
      <c r="G17" s="10" t="inlineStr">
        <is>
          <t>Detmold, Germany</t>
        </is>
      </c>
      <c r="H17" s="10" t="inlineStr">
        <is>
          <t>Industrial connectivity and automation components</t>
        </is>
      </c>
      <c r="I17" s="10" t="inlineStr">
        <is>
          <t>5k-10k (~5,500 employees group-wide, per company facts &amp; figures, 2024)</t>
        </is>
      </c>
      <c r="J17" s="10" t="inlineStr">
        <is>
          <t>~5,500 employees group-wide, per company facts &amp; figures, 2024</t>
        </is>
      </c>
      <c r="K17" s="10" t="inlineStr">
        <is>
          <t>verified-new</t>
        </is>
      </c>
      <c r="L17" s="10" t="inlineStr">
        <is>
          <t>EUR980M in 2024 (source: company disclosures, 2024) | n/a - family-owned, no published valuation; passes on revenue alone per family-owned exception | flags: est figures (input flag) - revenue confirmed at EUR980M vs the input's EUR1.1B estimate; dir</t>
        </is>
      </c>
      <c r="M17" s="10" t="inlineStr">
        <is>
          <t>[VERIFIED NEW W13] Same industrial-connectivity-meets-precision-engineering story as larger peers, pitched at a scrappier/challenger-brand tier given its smaller-but-still-qualifying scale (est). | All hard filters pass: revenue EUR980M clears the $1</t>
        </is>
      </c>
    </row>
    <row r="18">
      <c r="A18" s="10" t="n">
        <v>15</v>
      </c>
      <c r="B18" s="10" t="inlineStr">
        <is>
          <t>W13</t>
        </is>
      </c>
      <c r="C18" s="10" t="inlineStr">
        <is>
          <t>Packaging &amp; Food Machinery</t>
        </is>
      </c>
      <c r="D18" s="10" t="n">
        <v>92</v>
      </c>
      <c r="E18" s="10" t="inlineStr">
        <is>
          <t>GEA Group Aktiengesellschaft</t>
        </is>
      </c>
      <c r="F18" s="10" t="inlineStr">
        <is>
          <t>gea.com</t>
        </is>
      </c>
      <c r="G18" s="10" t="inlineStr">
        <is>
          <t>Duesseldorf, Germany</t>
        </is>
      </c>
      <c r="H18" s="10" t="inlineStr">
        <is>
          <t>Food and beverage processing machinery and process technology, global</t>
        </is>
      </c>
      <c r="I18" s="10" t="inlineStr">
        <is>
          <t>10k+ (19,670 employees, per company disclosures)</t>
        </is>
      </c>
      <c r="J18" s="10" t="inlineStr">
        <is>
          <t>19,670 employees, per company disclosures</t>
        </is>
      </c>
      <c r="K18" s="10" t="inlineStr">
        <is>
          <t>verified-new</t>
        </is>
      </c>
      <c r="L18" s="10" t="inlineStr">
        <is>
          <t>EUR5.5B in FY2025 (source: GEA 'reports profitable growth for 2025' press release, gea.com, 2026) | Market cap ~$10.4-12B as of 2026 (source: PitchBook/companiesmarketcap.com) | flags: input flag 'check dupe - may already be covered given scale' - no</t>
        </is>
      </c>
      <c r="M18" s="10" t="inlineStr">
        <is>
          <t>[VERIFIED NEW W13] Precision process-engineering/technology-transfer narrative - GEA's food-tech engineering rigor and global-ambition scale mirror F1's own engineering-excellence story (est). | All hard filters pass: revenue EUR5.5B and market cap ~</t>
        </is>
      </c>
    </row>
    <row r="19">
      <c r="A19" s="10" t="n">
        <v>16</v>
      </c>
      <c r="B19" s="10" t="inlineStr">
        <is>
          <t>W13</t>
        </is>
      </c>
      <c r="C19" s="10" t="inlineStr">
        <is>
          <t>Packaging &amp; Food Machinery</t>
        </is>
      </c>
      <c r="D19" s="10" t="n">
        <v>92</v>
      </c>
      <c r="E19" s="10" t="inlineStr">
        <is>
          <t>SACMI Imola S.C.</t>
        </is>
      </c>
      <c r="F19" s="10" t="inlineStr">
        <is>
          <t>sacmi.com</t>
        </is>
      </c>
      <c r="G19" s="10" t="inlineStr">
        <is>
          <t>Imola, Italy</t>
        </is>
      </c>
      <c r="H19" s="10" t="inlineStr">
        <is>
          <t>Packaging, ceramics and beverage processing machinery, global</t>
        </is>
      </c>
      <c r="I19" s="10" t="inlineStr">
        <is>
          <t>1k-5k (4,756 employees at end of 2024, per SACMI Group 2024 results)</t>
        </is>
      </c>
      <c r="J19" s="10" t="inlineStr">
        <is>
          <t>4,756 employees at end of 2024, per SACMI Group 2024 results</t>
        </is>
      </c>
      <c r="K19" s="10" t="inlineStr">
        <is>
          <t>verified-new</t>
        </is>
      </c>
      <c r="L19" s="10" t="inlineStr">
        <is>
          <t>EUR1.728B in 2024, a record year (+12% per some coverage); net profit &gt;EUR200M, EBITDA &gt;EUR323M (source: SACMI Group 2024 results, sacmi.it, 2025) | n/a - cooperative-owned, no published valuation; passes on revenue alone under the family/cooperative</t>
        </is>
      </c>
      <c r="M19" s="10" t="inlineStr">
        <is>
          <t>[VERIFIED NEW W13] Italian precision-engineering and 'record year' growth-momentum story, positioned alongside (or in place of) GEA Group in the Packaging &amp; Food Machinery slot given the two overlap (est). | All hard filters pass: revenue EUR1.728B c</t>
        </is>
      </c>
    </row>
    <row r="20">
      <c r="A20" s="10" t="n">
        <v>17</v>
      </c>
      <c r="B20" s="10" t="inlineStr">
        <is>
          <t>W13</t>
        </is>
      </c>
      <c r="C20" s="10" t="inlineStr">
        <is>
          <t>Grid &amp; Transformers</t>
        </is>
      </c>
      <c r="D20" s="10" t="n">
        <v>92</v>
      </c>
      <c r="E20" s="10" t="inlineStr">
        <is>
          <t>Hitachi Energy India Limited</t>
        </is>
      </c>
      <c r="F20" s="10" t="inlineStr">
        <is>
          <t>hitachienergy.com</t>
        </is>
      </c>
      <c r="G20" s="10" t="inlineStr">
        <is>
          <t>Chennai, India</t>
        </is>
      </c>
      <c r="H20" s="10" t="inlineStr">
        <is>
          <t>Transformers, grid automation and HVDC equipment</t>
        </is>
      </c>
      <c r="I20" s="10" t="inlineStr">
        <is>
          <t>1k-5k</t>
        </is>
      </c>
      <c r="J20" s="10" t="inlineStr">
        <is>
          <t>1k-5k</t>
        </is>
      </c>
      <c r="K20" s="10" t="inlineStr">
        <is>
          <t>verified-new</t>
        </is>
      </c>
      <c r="L20" s="10" t="inlineStr">
        <is>
          <t>Annual revenue Rs.63.85B for FY ending Dec 2025 (~$768M USD, est FX conversion), +21.91% YoY (stockanalysis.com, 2026); Q1 FY27 (Jun 2026) revenue Rs.2,441 Cr | Market cap Rs.1,45,751.60 Cr (~$17.5B USD, est FX conversion) as of 18 Sep 2026, +54.5% o</t>
        </is>
      </c>
      <c r="M20" s="10" t="inlineStr">
        <is>
          <t>[VERIFIED NEW W13] Lead with the HVDC/grid-modernization and energy-transition technology story, timed to F1's hybrid power-unit/sustainability narrative - grid/energy-infrastructure is an open sponsorship category on the current grid (est). | All ha</t>
        </is>
      </c>
    </row>
    <row r="21">
      <c r="A21" s="10" t="n">
        <v>18</v>
      </c>
      <c r="B21" s="10" t="inlineStr">
        <is>
          <t>W13</t>
        </is>
      </c>
      <c r="C21" s="10" t="inlineStr">
        <is>
          <t>Grid &amp; Transformers</t>
        </is>
      </c>
      <c r="D21" s="10" t="n">
        <v>92</v>
      </c>
      <c r="E21" s="10" t="inlineStr">
        <is>
          <t>GE Vernova T&amp;D India Limited</t>
        </is>
      </c>
      <c r="F21" s="10" t="inlineStr">
        <is>
          <t>gevernova.com</t>
        </is>
      </c>
      <c r="G21" s="10" t="inlineStr">
        <is>
          <t>Chennai, India</t>
        </is>
      </c>
      <c r="H21" s="10" t="inlineStr">
        <is>
          <t>Transformers, switchgear and grid equipment</t>
        </is>
      </c>
      <c r="I21" s="10" t="inlineStr">
        <is>
          <t>1k-5k</t>
        </is>
      </c>
      <c r="J21" s="10" t="inlineStr">
        <is>
          <t>1k-5k</t>
        </is>
      </c>
      <c r="K21" s="10" t="inlineStr">
        <is>
          <t>verified-new</t>
        </is>
      </c>
      <c r="L21" s="10" t="inlineStr">
        <is>
          <t>Rs.6,206.31 Cr FY2026 (~$746M USD, est FX conversion), +44.59% YoY; record order intake, EBITDA more than doubled, margins 27.2% (company FY25-26 results, 2026) | Market cap Rs.1,12,436.68 Cr (~$13.5B USD, est FX conversion) as of 21 Sep 2026 (NSE li</t>
        </is>
      </c>
      <c r="M21" s="10" t="inlineStr">
        <is>
          <t>[VERIFIED NEW W13] Energy-transition and grid-reliability technology story - GE Vernova's 'electrify and decarbonize' positioning pairs with F1's sustainability push, and the grid-equipment sponsor category is currently unclaimed on the grid (est). |</t>
        </is>
      </c>
    </row>
    <row r="22">
      <c r="A22" s="10" t="n">
        <v>19</v>
      </c>
      <c r="B22" s="10" t="inlineStr">
        <is>
          <t>W13</t>
        </is>
      </c>
      <c r="C22" s="10" t="inlineStr">
        <is>
          <t>Materials &amp; Mech Parts</t>
        </is>
      </c>
      <c r="D22" s="10" t="n">
        <v>92</v>
      </c>
      <c r="E22" s="10" t="inlineStr">
        <is>
          <t>The Timken Company</t>
        </is>
      </c>
      <c r="F22" s="10" t="inlineStr">
        <is>
          <t>timken.com</t>
        </is>
      </c>
      <c r="G22" s="10" t="inlineStr">
        <is>
          <t>North Canton, Ohio, USA</t>
        </is>
      </c>
      <c r="H22" s="10" t="inlineStr">
        <is>
          <t>Bearings and mechanical power transmission products</t>
        </is>
      </c>
      <c r="I22" s="10" t="inlineStr">
        <is>
          <t>10k+</t>
        </is>
      </c>
      <c r="J22" s="10" t="inlineStr">
        <is>
          <t>10k+</t>
        </is>
      </c>
      <c r="K22" s="10" t="inlineStr">
        <is>
          <t>verified-new</t>
        </is>
      </c>
      <c r="L22" s="10" t="inlineStr">
        <is>
          <t>$4.6B in FY2025, +0.2% YoY (Timken Q4/FY2025 results press release, 4 Feb 2026) - far exceeds the $100M hard bar | Market cap ~$9.61B USD as of Jul 2026 (stockanalysis.com) - far exceeds the $1B hard bar | flags: Revenue growth essentially flat (+0.2</t>
        </is>
      </c>
      <c r="M22" s="10" t="inlineStr">
        <is>
          <t>[VERIFIED NEW W13] Precision-engineering/performance-under-extreme-load story - bearings and power-transmission components are a natural technical fit for F1's engineering narrative, and the category is open on the current grid (est). | All hard filt</t>
        </is>
      </c>
    </row>
    <row r="23">
      <c r="A23" s="10" t="n">
        <v>20</v>
      </c>
      <c r="B23" s="10" t="inlineStr">
        <is>
          <t>W13</t>
        </is>
      </c>
      <c r="C23" s="10" t="inlineStr">
        <is>
          <t>OT &amp; Physical Security</t>
        </is>
      </c>
      <c r="D23" s="10" t="n">
        <v>92</v>
      </c>
      <c r="E23" s="10" t="inlineStr">
        <is>
          <t>Brinks Company</t>
        </is>
      </c>
      <c r="F23" s="10" t="inlineStr">
        <is>
          <t>brinks.com</t>
        </is>
      </c>
      <c r="G23" s="10" t="inlineStr">
        <is>
          <t>Richmond, Virginia, US</t>
        </is>
      </c>
      <c r="H23" s="10" t="inlineStr">
        <is>
          <t>Cash logistics, ATM services and secure valuables transport to thousands of bank and retail customers globally</t>
        </is>
      </c>
      <c r="I23" s="10" t="inlineStr">
        <is>
          <t>10k+ (~20,000-21,000, est)</t>
        </is>
      </c>
      <c r="J23" s="10" t="inlineStr">
        <is>
          <t>~20,000-21,000, est</t>
        </is>
      </c>
      <c r="K23" s="10" t="inlineStr">
        <is>
          <t>verified-new</t>
        </is>
      </c>
      <c r="L23" s="10" t="inlineStr">
        <is>
          <t>$5.26B FY2025, +4.97% YoY (confirmed via WebSearch, Brink's Q4/FY2025 results release, reported ~Feb 2026) | Market cap ~$4.4-4.5B as of Sep 17, 2026 (confirmed via WebSearch, stockanalysis.com/companiesmarketcap.com)</t>
        </is>
      </c>
      <c r="M23" s="10" t="inlineStr">
        <is>
          <t>[VERIFIED NEW W13] Global secure-logistics/fintech-infrastructure story - 'trusted at speed' - open category, timed to Brink's tech-driven cash-management modernization push. | All hard filters pass cleanly: revenue and valuation well above bars, pro</t>
        </is>
      </c>
    </row>
    <row r="24">
      <c r="A24" s="10" t="n">
        <v>21</v>
      </c>
      <c r="B24" s="10" t="inlineStr">
        <is>
          <t>W13</t>
        </is>
      </c>
      <c r="C24" s="10" t="inlineStr">
        <is>
          <t>Trading &amp; Crypto</t>
        </is>
      </c>
      <c r="D24" s="10" t="n">
        <v>92</v>
      </c>
      <c r="E24" s="10" t="inlineStr">
        <is>
          <t>XTB S.A.</t>
        </is>
      </c>
      <c r="F24" s="10" t="inlineStr">
        <is>
          <t>xtb.com</t>
        </is>
      </c>
      <c r="G24" s="10" t="inlineStr">
        <is>
          <t>Warsaw, Poland</t>
        </is>
      </c>
      <c r="H24" s="10" t="inlineStr">
        <is>
          <t>Retail CFD/forex brokerage and trading platform, pan-European reach</t>
        </is>
      </c>
      <c r="I24" s="10" t="inlineStr">
        <is>
          <t>1k-5k</t>
        </is>
      </c>
      <c r="J24" s="10" t="inlineStr">
        <is>
          <t>1k-5k</t>
        </is>
      </c>
      <c r="K24" s="10" t="inlineStr">
        <is>
          <t>verified-new</t>
        </is>
      </c>
      <c r="L24" s="10" t="inlineStr">
        <is>
          <t>PLN 2.12B / ~$570M FY2025 (+14.3% YoY); TTM ~$833M as of Sept 2026 (stockanalysis.com) | Market cap ~$4.9B as of early Sept 2026 (stockanalysis.com) | flags: compliance-frame: leveraged retail CFD trading faces gambling-adjacent advertising/regulator</t>
        </is>
      </c>
      <c r="M24" s="10" t="inlineStr">
        <is>
          <t>[VERIFIED NEW W13] 'Return to the grid' angle - XTB already has a 2010 McLaren precedent; reintroduce as a modern trading-technology partner in an open CFD/retail-investing category, leaning on real-time data/precision parallels with F1. | All hard f</t>
        </is>
      </c>
    </row>
    <row r="25">
      <c r="A25" s="10" t="n">
        <v>22</v>
      </c>
      <c r="B25" s="10" t="inlineStr">
        <is>
          <t>W13</t>
        </is>
      </c>
      <c r="C25" s="10" t="inlineStr">
        <is>
          <t>Travel &amp; Hospitality</t>
        </is>
      </c>
      <c r="D25" s="10" t="n">
        <v>92</v>
      </c>
      <c r="E25" s="10" t="inlineStr">
        <is>
          <t>Barcelo Hotel Group</t>
        </is>
      </c>
      <c r="F25" s="10" t="inlineStr">
        <is>
          <t>barcelo.com</t>
        </is>
      </c>
      <c r="G25" s="10" t="inlineStr">
        <is>
          <t>Palma de Mallorca, Spain</t>
        </is>
      </c>
      <c r="H25" s="10" t="inlineStr">
        <is>
          <t>Multinational hotel group (Royal Hideaway, Occidental brands), Spain, Caribbean, Americas, Europe, Africa</t>
        </is>
      </c>
      <c r="I25" s="10" t="inlineStr">
        <is>
          <t>10k+</t>
        </is>
      </c>
      <c r="J25" s="10" t="inlineStr">
        <is>
          <t>10k+</t>
        </is>
      </c>
      <c r="K25" s="10" t="inlineStr">
        <is>
          <t>verified-new</t>
        </is>
      </c>
      <c r="L25" s="10" t="inlineStr">
        <is>
          <t>Barceló Group turnover &gt;€7.5B FY2024 (+~12-16% YoY vs €6.7B in 2023), €661M EBITDA, €301.8M net profit, debt eliminated (dominicantoday.com / Barceló Group 2024 Annual Report) | Private, no published valuation; family-owned, passes on revenue alone p</t>
        </is>
      </c>
      <c r="M25" s="10" t="inlineStr">
        <is>
          <t>[VERIFIED NEW W13] Global-hospitality-scale angle - a debt-free, family-run multinational hotel group spanning the Americas, Europe and Africa, offering F1 an open hospitality-category partner untouched by existing grid sponsors. | All hard filters p</t>
        </is>
      </c>
    </row>
    <row r="26">
      <c r="A26" s="10" t="n">
        <v>23</v>
      </c>
      <c r="B26" s="10" t="inlineStr">
        <is>
          <t>W13</t>
        </is>
      </c>
      <c r="C26" s="10" t="inlineStr">
        <is>
          <t>56 Robotics AI</t>
        </is>
      </c>
      <c r="D26" s="10" t="n">
        <v>84</v>
      </c>
      <c r="E26" s="10" t="inlineStr">
        <is>
          <t>Delta Electronics</t>
        </is>
      </c>
      <c r="F26" s="10" t="inlineStr">
        <is>
          <t>deltaww.com</t>
        </is>
      </c>
      <c r="G26" s="10" t="inlineStr">
        <is>
          <t>Taipei, Taiwan</t>
        </is>
      </c>
      <c r="H26" s="10" t="inlineStr">
        <is>
          <t>Industrial automation and robotics (robot arms, machine vision) plus power electronics</t>
        </is>
      </c>
      <c r="I26" s="10" t="inlineStr">
        <is>
          <t>10k+</t>
        </is>
      </c>
      <c r="J26" s="10" t="inlineStr">
        <is>
          <t>10k+</t>
        </is>
      </c>
      <c r="K26" s="10" t="inlineStr">
        <is>
          <t>verified-new</t>
        </is>
      </c>
      <c r="L26" s="10" t="inlineStr">
        <is>
          <t>$14B+ group revenue, FY2024 (public results) | ~$30B+ market cap (Taiwan Stock Exchange, public) | flags: robotics is only one of several segments -- power electronics, EV components and ICT infrastructure make up most of group revenue</t>
        </is>
      </c>
      <c r="M26" s="10" t="inlineStr">
        <is>
          <t>[VERIFIED NEW W13] "Invisible engineering" angle: Delta's power electronics and robotics as the precision technology powering both EV drivetrains and the pit garage -- a supplier story for an unclaimed robotics/automation category. | All hard filters</t>
        </is>
      </c>
    </row>
    <row r="27">
      <c r="A27" s="10" t="n">
        <v>24</v>
      </c>
      <c r="B27" s="10" t="inlineStr">
        <is>
          <t>W13</t>
        </is>
      </c>
      <c r="C27" s="10" t="inlineStr">
        <is>
          <t>32 Defense &amp; Industrial AI</t>
        </is>
      </c>
      <c r="D27" s="10" t="n">
        <v>84</v>
      </c>
      <c r="E27" s="10" t="inlineStr">
        <is>
          <t>Diehl Stiftung &amp; Co. KG (Diehl Group)</t>
        </is>
      </c>
      <c r="F27" s="10" t="inlineStr">
        <is>
          <t>diehl.com</t>
        </is>
      </c>
      <c r="G27" s="10" t="inlineStr">
        <is>
          <t>Nuremberg, Germany</t>
        </is>
      </c>
      <c r="H27" s="10" t="inlineStr">
        <is>
          <t>Precision-guided munitions and air-defense systems (Diehl Defence), plus industrial/metering technology</t>
        </is>
      </c>
      <c r="I27" s="10" t="inlineStr">
        <is>
          <t>10k+</t>
        </is>
      </c>
      <c r="J27" s="10" t="inlineStr">
        <is>
          <t>10k+</t>
        </is>
      </c>
      <c r="K27" s="10" t="inlineStr">
        <is>
          <t>verified-new</t>
        </is>
      </c>
      <c r="L27" s="10" t="inlineStr">
        <is>
          <t>€4,695.8M (2024, +20.9% YoY, per Diehl Group annual report) | No published valuation (family-owned) -- passes on revenue alone per the family-owned exemption | flags: family-owned with limited public financial disclosure beyond headline figures; defe</t>
        </is>
      </c>
      <c r="M27" s="10" t="inlineStr">
        <is>
          <t>[VERIFIED NEW W13] Precision-under-pressure engineering story: Diehl's guided-systems and aerospace-grade manufacturing tolerances as a natural technology-partner narrative for F1's own precision-engineering culture, told through its commercial (non-</t>
        </is>
      </c>
    </row>
    <row r="28">
      <c r="A28" s="10" t="n">
        <v>25</v>
      </c>
      <c r="B28" s="10" t="inlineStr">
        <is>
          <t>W13</t>
        </is>
      </c>
      <c r="C28" s="10" t="inlineStr">
        <is>
          <t>IoT &amp; Connectivity</t>
        </is>
      </c>
      <c r="D28" s="10" t="n">
        <v>84</v>
      </c>
      <c r="E28" s="10" t="inlineStr">
        <is>
          <t>Nordic Semiconductor ASA</t>
        </is>
      </c>
      <c r="F28" s="10" t="inlineStr">
        <is>
          <t>nordicsemi.com</t>
        </is>
      </c>
      <c r="G28" s="10" t="inlineStr">
        <is>
          <t>Trondheim, Norway</t>
        </is>
      </c>
      <c r="H28" s="10" t="inlineStr">
        <is>
          <t>Low-power wireless (Bluetooth LE, cellular IoT) chips and modules</t>
        </is>
      </c>
      <c r="I28" s="10" t="inlineStr">
        <is>
          <t>1k-5k</t>
        </is>
      </c>
      <c r="J28" s="10" t="inlineStr">
        <is>
          <t>1k-5k</t>
        </is>
      </c>
      <c r="K28" s="10" t="inlineStr">
        <is>
          <t>verified-new</t>
        </is>
      </c>
      <c r="L28" s="10" t="inlineStr">
        <is>
          <t>Q2 2025 revenue $164M, +28-33% YoY (investing.com); FY2025 run-rate est. ~$600M+ | $2.59B (Q2 2025) rising to ~$4B (June 2026) market cap (Oslo: NOD) | flags: search did not confirm or rule out a minority stake by a Norwegian state fund (e.g., Folket</t>
        </is>
      </c>
      <c r="M28" s="10" t="inlineStr">
        <is>
          <t>[VERIFIED NEW W13] "Connectivity at the edge" story: Nordic's ultra-low-power wireless chips as the invisible nervous system analogy for F1's trackside and in-car telemetry sensor networks -- an open IoT-silicon category on the grid. | All hard filte</t>
        </is>
      </c>
    </row>
    <row r="29">
      <c r="A29" s="10" t="n">
        <v>26</v>
      </c>
      <c r="B29" s="10" t="inlineStr">
        <is>
          <t>W13</t>
        </is>
      </c>
      <c r="C29" s="10" t="inlineStr">
        <is>
          <t>Commercial Vehicles</t>
        </is>
      </c>
      <c r="D29" s="10" t="n">
        <v>84</v>
      </c>
      <c r="E29" s="10" t="inlineStr">
        <is>
          <t>Bucher Industries AG</t>
        </is>
      </c>
      <c r="F29" s="10" t="inlineStr">
        <is>
          <t>bucherindustries.com</t>
        </is>
      </c>
      <c r="G29" s="10" t="inlineStr">
        <is>
          <t>Niederweningen, Switzerland</t>
        </is>
      </c>
      <c r="H29" s="10" t="inlineStr">
        <is>
          <t>Municipal vehicles (street sweepers, Bucher Municipal), agricultural machinery (Kuhn) and specialty vehicle equipment</t>
        </is>
      </c>
      <c r="I29" s="10" t="inlineStr">
        <is>
          <t>10k+</t>
        </is>
      </c>
      <c r="J29" s="10" t="inlineStr">
        <is>
          <t>10k+</t>
        </is>
      </c>
      <c r="K29" s="10" t="inlineStr">
        <is>
          <t>verified-new</t>
        </is>
      </c>
      <c r="L29" s="10" t="inlineStr">
        <is>
          <t>CHF 2.9B (~$3.68B USD) in FY2025, reported with 2026 annual results (companiesmarketcap.com/investing.com, Mar 2026) - far exceeds the $100M hard bar | Market cap ranged ~CHF 2.88B-$4.9B across 2026 reporting dates (disfold.com/companiesmarketcap.com</t>
        </is>
      </c>
      <c r="M29" s="10" t="inlineStr">
        <is>
          <t xml:space="preserve">[VERIFIED NEW W13] Precision-agriculture technology story via the Kuhn brand (data-driven farming, efficiency/performance) paired with Bucher's global-champion narrative as a Swiss engineering group - commercial/municipal vehicles is an open sponsor </t>
        </is>
      </c>
    </row>
    <row r="30">
      <c r="A30" s="10" t="n">
        <v>27</v>
      </c>
      <c r="B30" s="10" t="inlineStr">
        <is>
          <t>W13</t>
        </is>
      </c>
      <c r="C30" s="10" t="inlineStr">
        <is>
          <t>Staffing &amp; Talent</t>
        </is>
      </c>
      <c r="D30" s="10" t="n">
        <v>84</v>
      </c>
      <c r="E30" s="10" t="inlineStr">
        <is>
          <t>Gi Group Holding S.p.A.</t>
        </is>
      </c>
      <c r="F30" s="10" t="inlineStr">
        <is>
          <t>gigroup.com</t>
        </is>
      </c>
      <c r="G30" s="10" t="inlineStr">
        <is>
          <t>Milan, Italy</t>
        </is>
      </c>
      <c r="H30" s="10" t="inlineStr">
        <is>
          <t>Staffing, HR services and workforce solutions across 37+ countries</t>
        </is>
      </c>
      <c r="I30" s="10" t="inlineStr">
        <is>
          <t>10k+</t>
        </is>
      </c>
      <c r="J30" s="10" t="inlineStr">
        <is>
          <t>10k+</t>
        </is>
      </c>
      <c r="K30" s="10" t="inlineStr">
        <is>
          <t>verified-new</t>
        </is>
      </c>
      <c r="L30" s="10" t="inlineStr">
        <is>
          <t>€4.7B / ~$4.9B FY2024, up 22.7% YoY (Il Sole 24 Ore / Gi Group Holding 2024 Annual Report, reported 2025) | Private, no published valuation; founder-owned, passes on revenue alone per policy | flags: founder/family-owned, no published valuation; head</t>
        </is>
      </c>
      <c r="M30" s="10" t="inlineStr">
        <is>
          <t>[VERIFIED NEW W13] Open category on the 2026 grid - position as the workforce/talent partner behind the pit crews, engineers and global operations teams that keep an F1 team running, tying into Gi Group's 37-country reach and growth story. | All hard</t>
        </is>
      </c>
    </row>
    <row r="31">
      <c r="A31" s="11" t="n">
        <v>28</v>
      </c>
      <c r="B31" s="11" t="inlineStr">
        <is>
          <t>W13</t>
        </is>
      </c>
      <c r="C31" s="11" t="inlineStr">
        <is>
          <t>Devtools &amp; Integration</t>
        </is>
      </c>
      <c r="D31" s="11" t="n">
        <v>64</v>
      </c>
      <c r="E31" s="11" t="inlineStr">
        <is>
          <t>Cockroach Labs</t>
        </is>
      </c>
      <c r="F31" s="11" t="inlineStr">
        <is>
          <t>cockroachlabs.com</t>
        </is>
      </c>
      <c r="G31" s="11" t="inlineStr">
        <is>
          <t>New York, NY, USA</t>
        </is>
      </c>
      <c r="H31" s="11" t="inlineStr">
        <is>
          <t>Distributed SQL database (CockroachDB) for enterprise developers/infrastructure teams</t>
        </is>
      </c>
      <c r="I31" s="11" t="inlineStr">
        <is>
          <t>201-1k</t>
        </is>
      </c>
      <c r="J31" s="11" t="inlineStr">
        <is>
          <t>201-1k</t>
        </is>
      </c>
      <c r="K31" s="11" t="inlineStr">
        <is>
          <t>verified-stretch</t>
        </is>
      </c>
      <c r="L31" s="11" t="inlineStr">
        <is>
          <t>$145.8M FY2024 (company-disclosed); ARR reported to have tripled YoY heading into 2025 - source: Contrary Research / Cockroach Labs press materials | $5B post-money, Dec 2021 Series F - source: PitchBook/Crunchbase; no updated public valuation disclo</t>
        </is>
      </c>
      <c r="M31" s="11" t="inlineStr">
        <is>
          <t>[VERIFIED NEW W13] Position CockroachDB as the always-on, zero-downtime data infrastructure behind split-second telemetry and strategy decisions, into the still-open enterprise database/infra sponsorship slot. | All hard filters pass (revenue $145.8M</t>
        </is>
      </c>
    </row>
    <row r="32">
      <c r="A32" s="11" t="n">
        <v>29</v>
      </c>
      <c r="B32" s="11" t="inlineStr">
        <is>
          <t>W13</t>
        </is>
      </c>
      <c r="C32" s="11" t="inlineStr">
        <is>
          <t>13 AI Agents</t>
        </is>
      </c>
      <c r="D32" s="11" t="n">
        <v>64</v>
      </c>
      <c r="E32" s="11" t="inlineStr">
        <is>
          <t>Ada Support</t>
        </is>
      </c>
      <c r="F32" s="11" t="inlineStr">
        <is>
          <t>ada.cx</t>
        </is>
      </c>
      <c r="G32" s="11" t="inlineStr">
        <is>
          <t>Toronto, Canada</t>
        </is>
      </c>
      <c r="H32" s="11" t="inlineStr">
        <is>
          <t>Agentic AI customer-service platform for enterprise support teams</t>
        </is>
      </c>
      <c r="I32" s="11" t="inlineStr">
        <is>
          <t>201-1k</t>
        </is>
      </c>
      <c r="J32" s="11" t="inlineStr">
        <is>
          <t>201-1k</t>
        </is>
      </c>
      <c r="K32" s="11" t="inlineStr">
        <is>
          <t>verified-stretch</t>
        </is>
      </c>
      <c r="L32" s="11" t="inlineStr">
        <is>
          <t>~$70.6M ARR (2024, third-party est., getlatka.com); company reports &gt;100% YoY ARR growth in FY ending ~Mar 2026 (Ada press release/BusinessWire, Mar 2026) -- implies ARR now well above $50M and growing &gt;50% YoY (est) | $1.2B (Series C, 2021, reaffirm</t>
        </is>
      </c>
      <c r="M32" s="11" t="inlineStr">
        <is>
          <t xml:space="preserve">[VERIFIED NEW W13] "Always-on precision" story: agentic AI that never misses a customer call, echoing pit-wall decision speed -- first mover into an unclaimed AI customer-service category on the grid. | Hard filters appear to pass (ARR growing 100%+ </t>
        </is>
      </c>
    </row>
    <row r="33">
      <c r="A33" s="11" t="n">
        <v>30</v>
      </c>
      <c r="B33" s="11" t="inlineStr">
        <is>
          <t>W13</t>
        </is>
      </c>
      <c r="C33" s="11" t="inlineStr">
        <is>
          <t>Electronic Parts</t>
        </is>
      </c>
      <c r="D33" s="11" t="n">
        <v>64</v>
      </c>
      <c r="E33" s="11" t="inlineStr">
        <is>
          <t>AT&amp;S Austria Technologie &amp; Systemtechnik AG</t>
        </is>
      </c>
      <c r="F33" s="11" t="inlineStr">
        <is>
          <t>ats.net</t>
        </is>
      </c>
      <c r="G33" s="11" t="inlineStr">
        <is>
          <t>Leoben, Austria</t>
        </is>
      </c>
      <c r="H33" s="11" t="inlineStr">
        <is>
          <t>Printed circuit boards and IC substrates to mobile devices, automotive, industrial and medical customers globally, including AI/data-center substrate demand</t>
        </is>
      </c>
      <c r="I33" s="11" t="inlineStr">
        <is>
          <t>10k+ (~14,000 est.)</t>
        </is>
      </c>
      <c r="J33" s="11" t="inlineStr">
        <is>
          <t>~14,000 est.</t>
        </is>
      </c>
      <c r="K33" s="11" t="inlineStr">
        <is>
          <t>verified-stretch</t>
        </is>
      </c>
      <c r="L33" s="11" t="inlineStr">
        <is>
          <t>€1.7-1.8B FY2025/26 with a 23% EBITDA margin, driven by AI/data-center substrate demand (AT&amp;S investor release, 2026) | ~€5.95B (~$6.4B) market cap, early Sept 2026 (companiesmarketcap.com) | flags: customer concentration: Apple is ~20-25% of the Mob</t>
        </is>
      </c>
      <c r="M33" s="11" t="inlineStr">
        <is>
          <t>[VERIFIED NEW W13] Lead with AT&amp;S's AI/data-center substrate growth story - positioning it as the precision-substrate technology enabling next-gen high-performance computing, tying into F1's own compute/AI-driven engineering narrative, in the open PC</t>
        </is>
      </c>
    </row>
    <row r="34">
      <c r="A34" s="11" t="n">
        <v>31</v>
      </c>
      <c r="B34" s="11" t="inlineStr">
        <is>
          <t>W13</t>
        </is>
      </c>
      <c r="C34" s="11" t="inlineStr">
        <is>
          <t>Machine Tools &amp; 3D Print</t>
        </is>
      </c>
      <c r="D34" s="11" t="n">
        <v>64</v>
      </c>
      <c r="E34" s="11" t="inlineStr">
        <is>
          <t>Fair Friend Group (FFG)</t>
        </is>
      </c>
      <c r="F34" s="11" t="inlineStr">
        <is>
          <t>ffg-tw.com</t>
        </is>
      </c>
      <c r="G34" s="11" t="inlineStr">
        <is>
          <t>Taipei, Taiwan</t>
        </is>
      </c>
      <c r="H34" s="11" t="inlineStr">
        <is>
          <t>Machine tools (CNC lathes/mills, multiple brands including Feeler, Victor, MAG) via ~94 companies/50 factories in 10 countries</t>
        </is>
      </c>
      <c r="I34" s="11" t="inlineStr">
        <is>
          <t>10k+ (est ~13,000; group scale of 94 companies/50 factories across 10 countries is consistent with 10k+, but not independently itemized in an official filing)</t>
        </is>
      </c>
      <c r="J34" s="11" t="inlineStr">
        <is>
          <t>est ~13,000; group scale of 94 companies/50 factories across 10 countries is consistent with 10k+, but not independently itemized in an official filing</t>
        </is>
      </c>
      <c r="K34" s="11" t="inlineStr">
        <is>
          <t>verified-stretch</t>
        </is>
      </c>
      <c r="L34" s="11" t="inlineStr">
        <is>
          <t>Estimates vary and are not tightly dated: ~$1.4B (ZoomInfo, dated ~May 2026) vs ~$3.3B group-wide turnover (FFG corporate materials, undated) vs ~$1.8B machine-tool-division-only (CENS, 2014). All comfortably clear the &gt;$100M hard bar regardless of w</t>
        </is>
      </c>
      <c r="M34" s="11" t="inlineStr">
        <is>
          <t>[VERIFIED NEW W13] Global manufacturing-technology story: FFG is described as the world's #3 machine-tool group supplying precision equipment to automotive/aerospace primes across 10 countries -- an 'engineering the machines behind performance' angle</t>
        </is>
      </c>
    </row>
    <row r="35">
      <c r="A35" s="11" t="n">
        <v>32</v>
      </c>
      <c r="B35" s="11" t="inlineStr">
        <is>
          <t>W13</t>
        </is>
      </c>
      <c r="C35" s="11" t="inlineStr">
        <is>
          <t>Automation &amp; Robotics</t>
        </is>
      </c>
      <c r="D35" s="11" t="n">
        <v>64</v>
      </c>
      <c r="E35" s="11" t="inlineStr">
        <is>
          <t>Hans Turck GmbH &amp; Co. KG</t>
        </is>
      </c>
      <c r="F35" s="11" t="inlineStr">
        <is>
          <t>turck.com</t>
        </is>
      </c>
      <c r="G35" s="11" t="inlineStr">
        <is>
          <t>Muelheim an der Ruhr, Germany</t>
        </is>
      </c>
      <c r="H35" s="11" t="inlineStr">
        <is>
          <t>Industrial sensors and connectivity products for factory automation</t>
        </is>
      </c>
      <c r="I35" s="11" t="inlineStr">
        <is>
          <t>1k-5k (est ~4,600; company-published figures conflict, ranging from ~2,510 (2021) to ~5,000 across data aggregators - none current or official)</t>
        </is>
      </c>
      <c r="J35" s="11" t="inlineStr">
        <is>
          <t>2021) to ~5,000 across data aggregators - none current or official</t>
        </is>
      </c>
      <c r="K35" s="11" t="inlineStr">
        <is>
          <t>verified-stretch</t>
        </is>
      </c>
      <c r="L35" s="11" t="inlineStr">
        <is>
          <t>Uncertain/conflicting: most recent confirmed official figure is EUR470.3M (2021); third-party aggregators show a very wide and unreliable range (some as low as $50-100M, clearly inconsistent with the company's own 2019-2021 disclosures of EUR600-640M</t>
        </is>
      </c>
      <c r="M35" s="11" t="inlineStr">
        <is>
          <t>[VERIFIED NEW W13] Sensor/connectivity precision-engineering narrative in the same vein as Phoenix Contact/Weidmuller, best pursued once current financials are confirmed directly with the company (est). | Likely clears all hard filters (revenue almos</t>
        </is>
      </c>
    </row>
    <row r="36">
      <c r="A36" s="11" t="n">
        <v>33</v>
      </c>
      <c r="B36" s="11" t="inlineStr">
        <is>
          <t>W13</t>
        </is>
      </c>
      <c r="C36" s="11" t="inlineStr">
        <is>
          <t>Automation &amp; Robotics</t>
        </is>
      </c>
      <c r="D36" s="11" t="n">
        <v>64</v>
      </c>
      <c r="E36" s="11" t="inlineStr">
        <is>
          <t>Pilz GmbH &amp; Co. KG</t>
        </is>
      </c>
      <c r="F36" s="11" t="inlineStr">
        <is>
          <t>pilz.com</t>
        </is>
      </c>
      <c r="G36" s="11" t="inlineStr">
        <is>
          <t>Ostfildern, Germany</t>
        </is>
      </c>
      <c r="H36" s="11" t="inlineStr">
        <is>
          <t>Safety automation systems for industrial machinery</t>
        </is>
      </c>
      <c r="I36" s="11" t="inlineStr">
        <is>
          <t>1k-5k (2,504 employees worldwide as of Dec 31, 2024, +1.1% YoY, per Pilz 2024 annual press release)</t>
        </is>
      </c>
      <c r="J36" s="11" t="inlineStr">
        <is>
          <t>2,504 employees worldwide as of Dec 31, 2024, +1.1% YoY, per Pilz 2024 annual press release</t>
        </is>
      </c>
      <c r="K36" s="11" t="inlineStr">
        <is>
          <t>verified-stretch</t>
        </is>
      </c>
      <c r="L36" s="11" t="inlineStr">
        <is>
          <t>EUR341M in 2024, down 21% YoY after three very good prior years - weak, particularly in Germany/Europe; export share rose to 79% (source: Pilz 2024 financial-year press release) | n/a - family-owned, no published valuation; passes on revenue alone pe</t>
        </is>
      </c>
      <c r="M36" s="11" t="inlineStr">
        <is>
          <t>[VERIFIED NEW W13] Safety-culture/engineering-excellence narrative tying Pilz's industrial safety-automation expertise to F1's own uncompromising approach to driver and crew safety - best timed for when the company's order book recovers (est). | Reve</t>
        </is>
      </c>
    </row>
    <row r="37">
      <c r="A37" s="11" t="n">
        <v>34</v>
      </c>
      <c r="B37" s="11" t="inlineStr">
        <is>
          <t>W13</t>
        </is>
      </c>
      <c r="C37" s="11" t="inlineStr">
        <is>
          <t>Construction &amp; Field Svc</t>
        </is>
      </c>
      <c r="D37" s="11" t="n">
        <v>64</v>
      </c>
      <c r="E37" s="11" t="inlineStr">
        <is>
          <t>SafetyCulture Pty Ltd</t>
        </is>
      </c>
      <c r="F37" s="11" t="inlineStr">
        <is>
          <t>safetyculture.com</t>
        </is>
      </c>
      <c r="G37" s="11" t="inlineStr">
        <is>
          <t>Sydney, Australia</t>
        </is>
      </c>
      <c r="H37" s="11" t="inlineStr">
        <is>
          <t>Field inspection, safety and workflow software (iAuditor/SafetyCulture platform) used across construction, industrial and field operations</t>
        </is>
      </c>
      <c r="I37" s="11" t="inlineStr">
        <is>
          <t>201-1k (~910 employees as of mid-2026, per CB Insights/company data)</t>
        </is>
      </c>
      <c r="J37" s="11" t="inlineStr">
        <is>
          <t>~910 employees as of mid-2026, per CB Insights/company data</t>
        </is>
      </c>
      <c r="K37" s="11" t="inlineStr">
        <is>
          <t>verified-stretch</t>
        </is>
      </c>
      <c r="L37" s="11" t="inlineStr">
        <is>
          <t>Conflicting third-party estimates: ~$90.3M ARR (2025, per one aggregator) vs. ~$197.6M total revenue (2025, per another); an earlier confirmed data point showed $84.4M revenue in FY2023 (+32% YoY). No official company-disclosed figure found in this p</t>
        </is>
      </c>
      <c r="M37" s="11" t="inlineStr">
        <is>
          <t>[VERIFIED NEW W13] Safety-technology narrative: SafetyCulture's inspection/safety-workflow software mirrors F1's rigorous approach to pit-crew, marshal and paddock safety - a natural 'safety innovation partner' story once current financials are confi</t>
        </is>
      </c>
    </row>
    <row r="38">
      <c r="A38" s="11" t="n">
        <v>35</v>
      </c>
      <c r="B38" s="11" t="inlineStr">
        <is>
          <t>W13</t>
        </is>
      </c>
      <c r="C38" s="11" t="inlineStr">
        <is>
          <t>Commercial Vehicles</t>
        </is>
      </c>
      <c r="D38" s="11" t="n">
        <v>64</v>
      </c>
      <c r="E38" s="11" t="inlineStr">
        <is>
          <t>Zoomlion Heavy Industry Science and Technology Co., Ltd.</t>
        </is>
      </c>
      <c r="F38" s="11" t="inlineStr">
        <is>
          <t>zoomlion.com</t>
        </is>
      </c>
      <c r="G38" s="11" t="inlineStr">
        <is>
          <t>Changsha, China</t>
        </is>
      </c>
      <c r="H38" s="11" t="inlineStr">
        <is>
          <t>Construction machinery, cranes and heavy equipment</t>
        </is>
      </c>
      <c r="I38" s="11" t="inlineStr">
        <is>
          <t>10k+</t>
        </is>
      </c>
      <c r="J38" s="11" t="inlineStr">
        <is>
          <t>10k+</t>
        </is>
      </c>
      <c r="K38" s="11" t="inlineStr">
        <is>
          <t>verified-stretch</t>
        </is>
      </c>
      <c r="L38" s="11" t="inlineStr">
        <is>
          <t>RMB 52.107B in FY2025 (~$7.2B USD, est FX conversion), +14.58% YoY; net profit RMB 4.858B, +38.01% YoY (Zoomlion 2025 results, PR Newswire, 2 Apr 2026) - far exceeds the $100M hard bar | Market cap (est) in the multi-billion-dollar range for this dua</t>
        </is>
      </c>
      <c r="M38" s="11" t="inlineStr">
        <is>
          <t>[VERIFIED NEW W13] Global-expansion and heavy-engineering performance story - Zoomlion's rapid international growth (59% of revenue, manufacturing across 8+ countries) pairs with F1's global-market growth narrative; heavy machinery/construction is an</t>
        </is>
      </c>
    </row>
    <row r="39">
      <c r="A39" s="11" t="n">
        <v>36</v>
      </c>
      <c r="B39" s="11" t="inlineStr">
        <is>
          <t>W13</t>
        </is>
      </c>
      <c r="C39" s="11" t="inlineStr">
        <is>
          <t>Commercial Vehicles</t>
        </is>
      </c>
      <c r="D39" s="11" t="n">
        <v>64</v>
      </c>
      <c r="E39" s="11" t="inlineStr">
        <is>
          <t>Krone Commercial Vehicle Group</t>
        </is>
      </c>
      <c r="F39" s="11" t="inlineStr">
        <is>
          <t>krone-cv.com</t>
        </is>
      </c>
      <c r="G39" s="11" t="inlineStr">
        <is>
          <t>Werlte, Germany</t>
        </is>
      </c>
      <c r="H39" s="11" t="inlineStr">
        <is>
          <t>Truck trailers and semi-trailers to thousands of logistics and trucking fleets, mainly in Europe</t>
        </is>
      </c>
      <c r="I39" s="11" t="inlineStr">
        <is>
          <t>1k-5k (~4,500, est; not independently reconfirmed)</t>
        </is>
      </c>
      <c r="J39" s="11" t="inlineStr">
        <is>
          <t>~4,500, est; not independently reconfirmed</t>
        </is>
      </c>
      <c r="K39" s="11" t="inlineStr">
        <is>
          <t>verified-stretch</t>
        </is>
      </c>
      <c r="L39" s="11" t="inlineStr">
        <is>
          <t xml:space="preserve">Group turnover ~€2.3B (FY2024/25) / ~€2.4B ($2.6B) FY2024, down from €3.2B prior year (confirmed via WebSearch, krone-trailer.com press release &amp; Commercial Motor, Feb 2026) | Private, no published valuation (family-owned; passes hard bar on revenue </t>
        </is>
      </c>
      <c r="M39" s="11" t="inlineStr">
        <is>
          <t>[VERIFIED NEW W13] Open commercial-logistics/trailer-manufacturing category; European trade/logistics visibility angle timed to Krone's demand-recovery narrative. | All hard filters pass (still profitable per company statement, headcount/audience/own</t>
        </is>
      </c>
    </row>
    <row r="40">
      <c r="A40" s="11" t="n">
        <v>37</v>
      </c>
      <c r="B40" s="11" t="inlineStr">
        <is>
          <t>W13</t>
        </is>
      </c>
      <c r="C40" s="11" t="inlineStr">
        <is>
          <t>OT &amp; Physical Security</t>
        </is>
      </c>
      <c r="D40" s="11" t="n">
        <v>64</v>
      </c>
      <c r="E40" s="11" t="inlineStr">
        <is>
          <t>Eulen S.A.</t>
        </is>
      </c>
      <c r="F40" s="11" t="inlineStr">
        <is>
          <t>eulen.com</t>
        </is>
      </c>
      <c r="G40" s="11" t="inlineStr">
        <is>
          <t>Madrid, Spain</t>
        </is>
      </c>
      <c r="H40" s="11" t="inlineStr">
        <is>
          <t>Facility management and security services (incl. converged physical/cyber security) to thousands of client contracts across 11 countries, mainly Spain/LatAm</t>
        </is>
      </c>
      <c r="I40" s="11" t="inlineStr">
        <is>
          <t>10k+ (~73,000-82,000, confirmed via WebSearch, Sep 2026)</t>
        </is>
      </c>
      <c r="J40" s="11" t="inlineStr">
        <is>
          <t>~73,000-82,000, confirmed via WebSearch, Sep 2026</t>
        </is>
      </c>
      <c r="K40" s="11" t="inlineStr">
        <is>
          <t>verified-stretch</t>
        </is>
      </c>
      <c r="L40" s="11" t="inlineStr">
        <is>
          <t>~€1.79B (~$1.9-2B) consolidated sales, FY2024 (confirmed via WebSearch, Sep 2026) | Private, no published valuation (family-owned; passes hard bar on revenue per brief rule) | flags: family-owned, no published valuation; historically thin net margins</t>
        </is>
      </c>
      <c r="M40" s="11" t="inlineStr">
        <is>
          <t>[VERIFIED NEW W13] Iberian/LatAm growth story leveraging Eulen's converged security/tech (SOC, IP surveillance) positioning; open category; best pursued once the succession dispute resolves. | Hard filters technically pass (revenue clears the family-</t>
        </is>
      </c>
    </row>
    <row r="41">
      <c r="A41" s="11" t="n">
        <v>38</v>
      </c>
      <c r="B41" s="11" t="inlineStr">
        <is>
          <t>W13</t>
        </is>
      </c>
      <c r="C41" s="11" t="inlineStr">
        <is>
          <t>Staffing &amp; Talent</t>
        </is>
      </c>
      <c r="D41" s="11" t="n">
        <v>64</v>
      </c>
      <c r="E41" s="11" t="inlineStr">
        <is>
          <t>Outsourcing Inc.</t>
        </is>
      </c>
      <c r="F41" s="11" t="inlineStr">
        <is>
          <t>outsourcing.co.jp</t>
        </is>
      </c>
      <c r="G41" s="11" t="inlineStr">
        <is>
          <t>Tokyo, Japan</t>
        </is>
      </c>
      <c r="H41" s="11" t="inlineStr">
        <is>
          <t>Staffing, engineering and business-process outsourcing services, Japan and internationally</t>
        </is>
      </c>
      <c r="I41" s="11" t="inlineStr">
        <is>
          <t>10k+</t>
        </is>
      </c>
      <c r="J41" s="11" t="inlineStr">
        <is>
          <t>10k+</t>
        </is>
      </c>
      <c r="K41" s="11" t="inlineStr">
        <is>
          <t>verified-stretch</t>
        </is>
      </c>
      <c r="L41" s="11" t="inlineStr">
        <is>
          <t>JPY 749.6B / ~$4.99B FY2023 (+8.6% YoY; staffingindustry.com, reported Feb 2024) - most recent figure independently confirmed in search; FY2024/25 results not verified | Market cap ~¥221bn (~$1.4-1.5B) per a 2026-dated Stockopedia pull, though the un</t>
        </is>
      </c>
      <c r="M41" s="11" t="inlineStr">
        <is>
          <t>[VERIFIED NEW W13] Precision-engineering and global-workforce-logistics story - Outsourcing Inc. keeps aviation, automotive and manufacturing lines staffed worldwide, a natural tie-in to F1's own high-precision, globally-mobile operations. | Hard fil</t>
        </is>
      </c>
    </row>
    <row r="42">
      <c r="A42" s="11" t="n">
        <v>39</v>
      </c>
      <c r="B42" s="11" t="inlineStr">
        <is>
          <t>W13</t>
        </is>
      </c>
      <c r="C42" s="11" t="inlineStr">
        <is>
          <t>Travel &amp; Hospitality</t>
        </is>
      </c>
      <c r="D42" s="11" t="n">
        <v>64</v>
      </c>
      <c r="E42" s="11" t="inlineStr">
        <is>
          <t>Hotelbeds Group (HBX Group)</t>
        </is>
      </c>
      <c r="F42" s="11" t="inlineStr">
        <is>
          <t>hotelbeds.com</t>
        </is>
      </c>
      <c r="G42" s="11" t="inlineStr">
        <is>
          <t>Palma de Mallorca, Spain</t>
        </is>
      </c>
      <c r="H42" s="11" t="inlineStr">
        <is>
          <t>B2B hotel-bed bank / travel wholesaler serving 60,000+ travel-trade distributors globally</t>
        </is>
      </c>
      <c r="I42" s="11" t="inlineStr">
        <is>
          <t>5k-10k</t>
        </is>
      </c>
      <c r="J42" s="11" t="inlineStr">
        <is>
          <t>5k-10k</t>
        </is>
      </c>
      <c r="K42" s="11" t="inlineStr">
        <is>
          <t>verified-stretch</t>
        </is>
      </c>
      <c r="L42" s="11" t="inlineStr">
        <is>
          <t xml:space="preserve">€693M with €363M core profit, FY2024 (Reuters/dominicantoday-sourced coverage of Barceló... [Hotelbeds figures per company reporting, 2025) | Post-IPO market cap ~€2.84-2.93B / ~$2.9-3.0B as of Feb 2025 listing (Reuters/MarketScreener/TradingView) | </t>
        </is>
      </c>
      <c r="M42" s="11" t="inlineStr">
        <is>
          <t>[VERIFIED NEW W13] Global travel-logistics story - position Hotelbeds/HBX as the infrastructure behind the travel trade that gets fans, teams and hospitality guests to Grand Prix weekends worldwide. | Hard filters pass (revenue and post-IPO market ca</t>
        </is>
      </c>
    </row>
    <row r="43">
      <c r="A43" s="11" t="n">
        <v>40</v>
      </c>
      <c r="B43" s="11" t="inlineStr">
        <is>
          <t>W13</t>
        </is>
      </c>
      <c r="C43" s="11" t="inlineStr">
        <is>
          <t>17 AI Cloud &amp; Data</t>
        </is>
      </c>
      <c r="D43" s="11" t="n">
        <v>58</v>
      </c>
      <c r="E43" s="11" t="inlineStr">
        <is>
          <t>Iris Energy (IREN)</t>
        </is>
      </c>
      <c r="F43" s="11" t="inlineStr">
        <is>
          <t>irisenergy.co</t>
        </is>
      </c>
      <c r="G43" s="11" t="inlineStr">
        <is>
          <t>Sydney, Australia</t>
        </is>
      </c>
      <c r="H43" s="11" t="inlineStr">
        <is>
          <t>AI/GPU cloud infrastructure and data centers (pivoted from bitcoin mining)</t>
        </is>
      </c>
      <c r="I43" s="11" t="inlineStr">
        <is>
          <t>201-1k</t>
        </is>
      </c>
      <c r="J43" s="11" t="inlineStr">
        <is>
          <t>201-1k</t>
        </is>
      </c>
      <c r="K43" s="11" t="inlineStr">
        <is>
          <t>verified-stretch</t>
        </is>
      </c>
      <c r="L43" s="11" t="inlineStr">
        <is>
          <t xml:space="preserve">$501M FY2025 (macrotrends/stockanalysis); AI Cloud ARR surpassed $500M annualized by early 2026 (company blog/press) | ~$14-18B market cap (NASDAQ, Sept 2026, stockanalysis.com/CNN) | flags: heavy single-customer concentration: Microsoft is expected </t>
        </is>
      </c>
      <c r="M43" s="11" t="inlineStr">
        <is>
          <t>[VERIFIED NEW W13] "Engine behind the AI era" story: IREN's data-center/power-engineering precision (renewable-powered AI compute at scale) paired against F1 teams' own AI/compute-hungry strategy operations. | Hard bars pass comfortably (revenue, val</t>
        </is>
      </c>
    </row>
    <row r="44">
      <c r="A44" s="11" t="n">
        <v>41</v>
      </c>
      <c r="B44" s="11" t="inlineStr">
        <is>
          <t>W13</t>
        </is>
      </c>
      <c r="C44" s="11" t="inlineStr">
        <is>
          <t>32 Defense &amp; Industrial AI</t>
        </is>
      </c>
      <c r="D44" s="11" t="n">
        <v>58</v>
      </c>
      <c r="E44" s="11" t="inlineStr">
        <is>
          <t>Poongsan Corporation</t>
        </is>
      </c>
      <c r="F44" s="11" t="inlineStr">
        <is>
          <t>poongsan.co.kr</t>
        </is>
      </c>
      <c r="G44" s="11" t="inlineStr">
        <is>
          <t>Seoul, South Korea</t>
        </is>
      </c>
      <c r="H44" s="11" t="inlineStr">
        <is>
          <t>Ammunition/defense systems and copper alloy materials</t>
        </is>
      </c>
      <c r="I44" s="11" t="inlineStr">
        <is>
          <t>1k-5k</t>
        </is>
      </c>
      <c r="J44" s="11" t="inlineStr">
        <is>
          <t>1k-5k</t>
        </is>
      </c>
      <c r="K44" s="11" t="inlineStr">
        <is>
          <t>verified-stretch</t>
        </is>
      </c>
      <c r="L44" s="11" t="inlineStr">
        <is>
          <t>$3.68B trailing 12 months (mid-2026, stockanalysis.com) | ~$1.54B market cap (Korea Exchange, Sept 2026, PitchBook/MarketScreener) | flags: National Pension Service (a state pension fund) holds ~11.4% -- a minority state-linked stake; ammunition/defe</t>
        </is>
      </c>
      <c r="M44" s="11" t="inlineStr">
        <is>
          <t>[VERIFIED NEW W13] Precision-engineering-under-pressure story: position Poongsan's defense-grade metallurgy and copper-alloy engineering as an 'the margins matter' technology-supplier narrative, distinct from ammunition messaging. | Hard filters pass</t>
        </is>
      </c>
    </row>
    <row r="45">
      <c r="A45" s="11" t="n">
        <v>42</v>
      </c>
      <c r="B45" s="11" t="inlineStr">
        <is>
          <t>W13</t>
        </is>
      </c>
      <c r="C45" s="11" t="inlineStr">
        <is>
          <t>Electronic Parts</t>
        </is>
      </c>
      <c r="D45" s="11" t="n">
        <v>58</v>
      </c>
      <c r="E45" s="11" t="inlineStr">
        <is>
          <t>Walsin Lihwa Corporation</t>
        </is>
      </c>
      <c r="F45" s="11" t="inlineStr">
        <is>
          <t>walsin.com</t>
        </is>
      </c>
      <c r="G45" s="11" t="inlineStr">
        <is>
          <t>Taipei, Taiwan</t>
        </is>
      </c>
      <c r="H45" s="11" t="inlineStr">
        <is>
          <t>Wire and cable, stainless steel and electronic materials to industrial, construction, utility and manufacturing customers across Asia, the US and Europe</t>
        </is>
      </c>
      <c r="I45" s="11" t="inlineStr">
        <is>
          <t>5k-10k (7,651 employees, company/GlobalData data, 2025-2026)</t>
        </is>
      </c>
      <c r="J45" s="11" t="inlineStr">
        <is>
          <t>7,651 employees, company/GlobalData data, 2025-2026</t>
        </is>
      </c>
      <c r="K45" s="11" t="inlineStr">
        <is>
          <t>verified-stretch</t>
        </is>
      </c>
      <c r="L45" s="11" t="inlineStr">
        <is>
          <t>NT$174.24B (~$5.6B) FY2025, down -2.83% YoY; 9-month 2025 net sales NT$132.38B (stockanalysis.com; Walsin Lihwa investor release, 2026) | ~NT$143.58B (~$4.6B) market cap, Sept 2026 (stockanalysis.com) | flags: thin and volatile margins - gross margin</t>
        </is>
      </c>
      <c r="M45" s="11" t="inlineStr">
        <is>
          <t>[VERIFIED NEW W13] Position Walsin Lihwa around the materials science behind next-gen EV charging and grid infrastructure (its wire &amp; cable and electronic-materials lines) - an infrastructure-of-the-future angle distinct from typical high-tech F1 spo</t>
        </is>
      </c>
    </row>
    <row r="46">
      <c r="A46" s="11" t="n">
        <v>43</v>
      </c>
      <c r="B46" s="11" t="inlineStr">
        <is>
          <t>W13</t>
        </is>
      </c>
      <c r="C46" s="11" t="inlineStr">
        <is>
          <t>Machine Tools &amp; 3D Print</t>
        </is>
      </c>
      <c r="D46" s="11" t="n">
        <v>58</v>
      </c>
      <c r="E46" s="11" t="inlineStr">
        <is>
          <t>Ace Micromatic Group</t>
        </is>
      </c>
      <c r="F46" s="11" t="inlineStr">
        <is>
          <t>acemicromatic.net</t>
        </is>
      </c>
      <c r="G46" s="11" t="inlineStr">
        <is>
          <t>Bengaluru, India</t>
        </is>
      </c>
      <c r="H46" s="11" t="inlineStr">
        <is>
          <t>CNC machine tools</t>
        </is>
      </c>
      <c r="I46" s="11" t="inlineStr">
        <is>
          <t>1k-5k (est; group-wide figure uncertain -- flagship Ace Designers Ltd confirmed at ~1,600-1,700 employees, but multi-entity group total not independently verified; input estimate ~4,000)</t>
        </is>
      </c>
      <c r="J46" s="11" t="inlineStr">
        <is>
          <t>est; group-wide figure uncertain -- flagship Ace Designers Ltd confirmed at ~1,600-1,700 employees, but multi-entity group total not independently verified; input estimate ~4,000</t>
        </is>
      </c>
      <c r="K46" s="11" t="inlineStr">
        <is>
          <t>verified-stretch</t>
        </is>
      </c>
      <c r="L46" s="11" t="inlineStr">
        <is>
          <t>Confirmed only at the flagship-entity level: Ace Designers Ltd revenue ~INR2,240 crore (~$269M est) for FY ended Mar 2024, per company filings/Tofler. Group-wide consolidated revenue could not be independently confirmed; the group has publicly target</t>
        </is>
      </c>
      <c r="M46" s="11" t="inlineStr">
        <is>
          <t>[VERIFIED NEW W13] India's largest machine-tool group riding the 'Make in India' manufacturing-growth story -- an angle built on India's industrial rise, pending firmer confirmation of export reach and consolidated financials. | Hard filters technica</t>
        </is>
      </c>
    </row>
    <row r="47">
      <c r="A47" s="11" t="n">
        <v>44</v>
      </c>
      <c r="B47" s="11" t="inlineStr">
        <is>
          <t>W13</t>
        </is>
      </c>
      <c r="C47" s="11" t="inlineStr">
        <is>
          <t>Materials &amp; Mech Parts</t>
        </is>
      </c>
      <c r="D47" s="11" t="n">
        <v>58</v>
      </c>
      <c r="E47" s="11" t="inlineStr">
        <is>
          <t>fischerwerke GmbH &amp; Co. KG</t>
        </is>
      </c>
      <c r="F47" s="11" t="inlineStr">
        <is>
          <t>fischer.group</t>
        </is>
      </c>
      <c r="G47" s="11" t="inlineStr">
        <is>
          <t>Waldachtal, Germany</t>
        </is>
      </c>
      <c r="H47" s="11" t="inlineStr">
        <is>
          <t>Fixing systems and fasteners (construction, DIY, automotive)</t>
        </is>
      </c>
      <c r="I47" s="11" t="inlineStr">
        <is>
          <t>5k-10k (confirmed ~5,900 employees, 2023, up ~300 YoY)</t>
        </is>
      </c>
      <c r="J47" s="11" t="inlineStr">
        <is>
          <t>confirmed ~5,900 employees, 2023, up ~300 YoY</t>
        </is>
      </c>
      <c r="K47" s="11" t="inlineStr">
        <is>
          <t>verified-stretch</t>
        </is>
      </c>
      <c r="L47" s="11" t="inlineStr">
        <is>
          <t>EUR1.16B group turnover, FY2023 (reported Feb 2024) -- a company record, up 2% YoY; no independently confirmed 2024/2025 total-group figure found in this search pass (est for currency; separately, its Automotive division alone was projected at ~EUR20</t>
        </is>
      </c>
      <c r="M47" s="11" t="inlineStr">
        <is>
          <t>[VERIFIED NEW W13] German engineering-heritage story (75+ years, record 2023 turnover) -- a 'precision fixing technology' angle tying fischer's fastening/engineering innovation to F1 performance-engineering themes, in an open category. | Hard filters</t>
        </is>
      </c>
    </row>
    <row r="48">
      <c r="A48" s="11" t="n">
        <v>45</v>
      </c>
      <c r="B48" s="11" t="inlineStr">
        <is>
          <t>W13</t>
        </is>
      </c>
      <c r="C48" s="11" t="inlineStr">
        <is>
          <t>Grid &amp; Transformers</t>
        </is>
      </c>
      <c r="D48" s="11" t="n">
        <v>58</v>
      </c>
      <c r="E48" s="11" t="inlineStr">
        <is>
          <t>Siemens Energy India Limited</t>
        </is>
      </c>
      <c r="F48" s="11" t="inlineStr">
        <is>
          <t>siemensenergy.com</t>
        </is>
      </c>
      <c r="G48" s="11" t="inlineStr">
        <is>
          <t>Mumbai, India</t>
        </is>
      </c>
      <c r="H48" s="11" t="inlineStr">
        <is>
          <t>Transformers, switchgear and grid equipment for power generation, transmission and renewable integration</t>
        </is>
      </c>
      <c r="I48" s="11" t="inlineStr">
        <is>
          <t>1k-5k</t>
        </is>
      </c>
      <c r="J48" s="11" t="inlineStr">
        <is>
          <t>1k-5k</t>
        </is>
      </c>
      <c r="K48" s="11" t="inlineStr">
        <is>
          <t>verified-stretch</t>
        </is>
      </c>
      <c r="L48" s="11" t="inlineStr">
        <is>
          <t>Revenue ~Rs.9,436 Cr (~$1.1B USD, est FX conversion) per FY figures cited via Screener.in/INDmoney (2026); Q4 FY26 quarterly revenue Rs.2,394 Cr | Market cap Rs.1,13,214 Cr (~$13.6B USD, est FX conversion) as of 11 Sep 2026 (INDmoney) | flags: Brand-</t>
        </is>
      </c>
      <c r="M48" s="11" t="inlineStr">
        <is>
          <t>[VERIFIED NEW W13] Position explicitly as 'Siemens Energy' (distinct from Siemens AG) and lead with the energy-transition/grid-modernization story, timed to a team's sustainability or power-unit announcement, while proactively clarifying the entity s</t>
        </is>
      </c>
    </row>
    <row r="49">
      <c r="A49" s="11" t="n">
        <v>46</v>
      </c>
      <c r="B49" s="11" t="inlineStr">
        <is>
          <t>W13</t>
        </is>
      </c>
      <c r="C49" s="11" t="inlineStr">
        <is>
          <t>OT &amp; Physical Security</t>
        </is>
      </c>
      <c r="D49" s="11" t="n">
        <v>58</v>
      </c>
      <c r="E49" s="11" t="inlineStr">
        <is>
          <t>Sohgo Security Services Co., Ltd. (ALSOK)</t>
        </is>
      </c>
      <c r="F49" s="11" t="inlineStr">
        <is>
          <t>alsok.co.jp</t>
        </is>
      </c>
      <c r="G49" s="11" t="inlineStr">
        <is>
          <t>Tokyo, Japan</t>
        </is>
      </c>
      <c r="H49" s="11" t="inlineStr">
        <is>
          <t>Guarding, alarm monitoring and cash transport security services to thousands of corporate and individual clients, ~15% Japan market share</t>
        </is>
      </c>
      <c r="I49" s="11" t="inlineStr">
        <is>
          <t>10k+ (~40,000, est)</t>
        </is>
      </c>
      <c r="J49" s="11" t="inlineStr">
        <is>
          <t>~40,000, est</t>
        </is>
      </c>
      <c r="K49" s="11" t="inlineStr">
        <is>
          <t>verified-stretch</t>
        </is>
      </c>
      <c r="L49" s="11" t="inlineStr">
        <is>
          <t>Consolidated net sales &gt;¥520B (~$3.96B) for FY ended March 2025 (confirmed via WebSearch, financial data aggregators, Sep 2026) | Market cap ~$3.62B as of Aug 24, 2026 (confirmed via WebSearch) | flags: predominantly domestic-Japan revenue base despi</t>
        </is>
      </c>
      <c r="M49" s="11" t="inlineStr">
        <is>
          <t>[VERIFIED NEW W13] Anchor to the Japanese Grand Prix (Suzuka) as home-market activation; security-tech/monitoring innovation story, timed to the 2025 ALSOK rebrand seeking greater global visibility. | Hard filters pass (revenue, valuation, headcount,</t>
        </is>
      </c>
    </row>
    <row r="50">
      <c r="A50" s="11" t="n">
        <v>47</v>
      </c>
      <c r="B50" s="11" t="inlineStr">
        <is>
          <t>W13</t>
        </is>
      </c>
      <c r="C50" s="11" t="inlineStr">
        <is>
          <t>Travel &amp; Hospitality</t>
        </is>
      </c>
      <c r="D50" s="11" t="n">
        <v>58</v>
      </c>
      <c r="E50" s="11" t="inlineStr">
        <is>
          <t>EIH Limited (Oberoi Hotels)</t>
        </is>
      </c>
      <c r="F50" s="11" t="inlineStr">
        <is>
          <t>oberoihotels.com</t>
        </is>
      </c>
      <c r="G50" s="11" t="inlineStr">
        <is>
          <t>New Delhi, India</t>
        </is>
      </c>
      <c r="H50" s="11" t="inlineStr">
        <is>
          <t>Ultra-luxury hospitality under the Oberoi and Trident hotel brands, ~30 properties across India, Egypt, Mauritius, Indonesia and Saudi Arabia</t>
        </is>
      </c>
      <c r="I50" s="11" t="inlineStr">
        <is>
          <t>5k-10k (est) - EIH Limited reported ~5,708 employees per recent aggregator data (2025/2026); note source figures conflict across trackers, treat as uncertain (est)</t>
        </is>
      </c>
      <c r="J50" s="11" t="inlineStr">
        <is>
          <t>est</t>
        </is>
      </c>
      <c r="K50" s="11" t="inlineStr">
        <is>
          <t>verified-stretch</t>
        </is>
      </c>
      <c r="L50" s="11" t="inlineStr">
        <is>
          <t>~$310-335M USD (est conversion) - consolidated revenue of INR 2,743.15 crore in FY25 (year ended Mar 2025), +9.23% YoY; Q4 FY25 PAT grew 6% YoY to INR 263 crore, confirming profitability (source: Business Standard, May 2025; screener.in FY25 filings)</t>
        </is>
      </c>
      <c r="M50" s="11" t="inlineStr">
        <is>
          <t>[VERIFIED NEW W13] Position Oberoi/Trident as F1's first dedicated ultra-luxury hospitality partner - VIP paddock-adjacent stays and bespoke travel packages for teams/sponsors/high-net-worth fans around Middle East and Asia-Pacific race weekends, lev</t>
        </is>
      </c>
    </row>
    <row r="51">
      <c r="A51" s="11" t="n">
        <v>48</v>
      </c>
      <c r="B51" s="11" t="inlineStr">
        <is>
          <t>W13</t>
        </is>
      </c>
      <c r="C51" s="11" t="inlineStr">
        <is>
          <t>09 Fintech</t>
        </is>
      </c>
      <c r="D51" s="11" t="n">
        <v>52</v>
      </c>
      <c r="E51" s="11" t="inlineStr">
        <is>
          <t>Stone Co</t>
        </is>
      </c>
      <c r="F51" s="11" t="inlineStr">
        <is>
          <t>stone.co</t>
        </is>
      </c>
      <c r="G51" s="11" t="inlineStr">
        <is>
          <t>Sao Paulo, Brazil</t>
        </is>
      </c>
      <c r="H51" s="11" t="inlineStr">
        <is>
          <t>Payments, digital banking, and software platform for Brazilian merchants (SMBs)</t>
        </is>
      </c>
      <c r="I51" s="11" t="inlineStr">
        <is>
          <t>10k+</t>
        </is>
      </c>
      <c r="J51" s="11" t="inlineStr">
        <is>
          <t>10k+</t>
        </is>
      </c>
      <c r="K51" s="11" t="inlineStr">
        <is>
          <t>verified-stretch</t>
        </is>
      </c>
      <c r="L51" s="11" t="inlineStr">
        <is>
          <t>R$13.4B (2025), +16% YoY, ~$2.5B USD equiv. - source: SEC Form 20-F/6-K filings, stockanalysis.com | $3.91B market cap (2026) - source: stockanalysis.com | flags: Single-market (Brazil-only) concentration is a real reservation on global-brand fit des</t>
        </is>
      </c>
      <c r="M51" s="11" t="inlineStr">
        <is>
          <t>[VERIFIED NEW W13] A Sao Paulo Grand Prix (Interlagos)-timed activation showcasing Stone's payments infrastructure as 'the engine behind Brazilian commerce', framed as a stepping stone toward the company's stated future international expansion. | All</t>
        </is>
      </c>
    </row>
    <row r="52">
      <c r="A52" s="11" t="n">
        <v>49</v>
      </c>
      <c r="B52" s="11" t="inlineStr">
        <is>
          <t>W13</t>
        </is>
      </c>
      <c r="C52" s="11" t="inlineStr">
        <is>
          <t>09 Fintech</t>
        </is>
      </c>
      <c r="D52" s="11" t="n">
        <v>52</v>
      </c>
      <c r="E52" s="11" t="inlineStr">
        <is>
          <t>Globe Fintech Innovations (GCash / Mynt)</t>
        </is>
      </c>
      <c r="F52" s="11" t="inlineStr">
        <is>
          <t>gcash.com</t>
        </is>
      </c>
      <c r="G52" s="11" t="inlineStr">
        <is>
          <t>Manila, Philippines</t>
        </is>
      </c>
      <c r="H52" s="11" t="inlineStr">
        <is>
          <t>Mobile wallet, digital payments, and financial services super-app for Philippine consumers/merchants</t>
        </is>
      </c>
      <c r="I52" s="11" t="inlineStr">
        <is>
          <t>1k-5k</t>
        </is>
      </c>
      <c r="J52" s="11" t="inlineStr">
        <is>
          <t>1k-5k</t>
        </is>
      </c>
      <c r="K52" s="11" t="inlineStr">
        <is>
          <t>verified-stretch</t>
        </is>
      </c>
      <c r="L52" s="11" t="inlineStr">
        <is>
          <t>Highly variable estimates: ~$1.4B (Oct 2025 est.) vs. other estimates of $100-200M/yr; Globe's equity-earnings share from Mynt grew 64% YoY (PHP3.8B to PHP6.1B) in 2025 - sources: Caproasia, Bloomberg (Aug 2025), insiderph.com - figure genuinely unce</t>
        </is>
      </c>
      <c r="M52" s="11" t="inlineStr">
        <is>
          <t>[VERIFIED NEW W13] A Southeast Asia financial-inclusion growth story timed to the Singapore Grand Prix's regional reach, positioning GCash as the super-app powering millions of underbanked consumers, into an open digital-wallet sponsorship slot. | Ha</t>
        </is>
      </c>
    </row>
    <row r="53">
      <c r="A53" s="11" t="n">
        <v>50</v>
      </c>
      <c r="B53" s="11" t="inlineStr">
        <is>
          <t>W13</t>
        </is>
      </c>
      <c r="C53" s="11" t="inlineStr">
        <is>
          <t>09 Fintech</t>
        </is>
      </c>
      <c r="D53" s="11" t="n">
        <v>52</v>
      </c>
      <c r="E53" s="11" t="inlineStr">
        <is>
          <t>Fawry</t>
        </is>
      </c>
      <c r="F53" s="11" t="inlineStr">
        <is>
          <t>fawry.com</t>
        </is>
      </c>
      <c r="G53" s="11" t="inlineStr">
        <is>
          <t>Cairo, Egypt</t>
        </is>
      </c>
      <c r="H53" s="11" t="inlineStr">
        <is>
          <t>Digital payments and e-finance platform for Egyptian consumers and merchants</t>
        </is>
      </c>
      <c r="I53" s="11" t="inlineStr">
        <is>
          <t>1k-5k</t>
        </is>
      </c>
      <c r="J53" s="11" t="inlineStr">
        <is>
          <t>1k-5k</t>
        </is>
      </c>
      <c r="K53" s="11" t="inlineStr">
        <is>
          <t>verified-stretch</t>
        </is>
      </c>
      <c r="L53" s="11" t="inlineStr">
        <is>
          <t>EGP 8.65B (2025), +57% YoY (from EGP 5.51B) ~ $175-180M USD equiv. - source: stockanalysis.com/company filings | EGP 66.26B market cap as of Sept 2026 (~$1.3-1.4B USD at ~EGP48-50/USD); note the market cap was as low as EGP 49.74B (~$1.0B) as recentl</t>
        </is>
      </c>
      <c r="M53" s="11" t="inlineStr">
        <is>
          <t>[VERIFIED NEW W13] A MENA digital-payments growth story timed to the region's F1 races (Bahrain, Saudi Arabia, Qatar, Abu Dhabi GPs), positioning Fawry as the infrastructure behind Egypt's cashless-economy shift, into an open MENA fintech sponsorship</t>
        </is>
      </c>
    </row>
    <row r="54">
      <c r="A54" s="11" t="n">
        <v>51</v>
      </c>
      <c r="B54" s="11" t="inlineStr">
        <is>
          <t>W13</t>
        </is>
      </c>
      <c r="C54" s="11" t="inlineStr">
        <is>
          <t>Commercial Vehicles</t>
        </is>
      </c>
      <c r="D54" s="11" t="n">
        <v>52</v>
      </c>
      <c r="E54" s="11" t="inlineStr">
        <is>
          <t>TAFE (Tractors and Farm Equipment Limited)</t>
        </is>
      </c>
      <c r="F54" s="11" t="inlineStr">
        <is>
          <t>tafe.com</t>
        </is>
      </c>
      <c r="G54" s="11" t="inlineStr">
        <is>
          <t>Chennai, India</t>
        </is>
      </c>
      <c r="H54" s="11" t="inlineStr">
        <is>
          <t>Tractors and farm equipment (Massey Ferguson India license, Eicher tractors) to hundreds of thousands of Indian and export-market farmers</t>
        </is>
      </c>
      <c r="I54" s="11" t="inlineStr">
        <is>
          <t>5k-10k (~10,000, est; not independently reconfirmed)</t>
        </is>
      </c>
      <c r="J54" s="11" t="inlineStr">
        <is>
          <t>~10,000, est; not independently reconfirmed</t>
        </is>
      </c>
      <c r="K54" s="11" t="inlineStr">
        <is>
          <t>verified-stretch</t>
        </is>
      </c>
      <c r="L54" s="11" t="inlineStr">
        <is>
          <t>~$1.6B / INR 16,000+ crore annual turnover, current/general figure not broken out by fiscal year (confirmed via WebSearch of TAFE corporate profile, Sep 2026) | Private, no published valuation (family-owned; passes hard bar on revenue per brief rule)</t>
        </is>
      </c>
      <c r="M54" s="11" t="inlineStr">
        <is>
          <t>[VERIFIED NEW W13] Open 'agriculture/heavy machinery' category; tie to TAFE's global-expansion push (Africa/Asia export growth) and precision-engineering story rather than the mass-farmer buyer base. | All hard filters pass (revenue, family-owned no-</t>
        </is>
      </c>
    </row>
    <row r="55">
      <c r="A55" s="11" t="n">
        <v>52</v>
      </c>
      <c r="B55" s="11" t="inlineStr">
        <is>
          <t>W13</t>
        </is>
      </c>
      <c r="C55" s="11" t="inlineStr">
        <is>
          <t>Gulf Sovereign &amp; Tourism</t>
        </is>
      </c>
      <c r="D55" s="11" t="n">
        <v>52</v>
      </c>
      <c r="E55" s="11" t="inlineStr">
        <is>
          <t>Dubai Investments PJSC</t>
        </is>
      </c>
      <c r="F55" s="11" t="inlineStr">
        <is>
          <t>dubaiinvestments.com</t>
        </is>
      </c>
      <c r="G55" s="11" t="inlineStr">
        <is>
          <t>Dubai, UAE</t>
        </is>
      </c>
      <c r="H55" s="11" t="inlineStr">
        <is>
          <t>Diversified investment holding - real estate, industrial manufacturing, financial investments - across Gulf subsidiaries</t>
        </is>
      </c>
      <c r="I55" s="11" t="inlineStr">
        <is>
          <t>1k-5k (~5,000, est, across subsidiaries)</t>
        </is>
      </c>
      <c r="J55" s="11" t="inlineStr">
        <is>
          <t>~5,000, est, across subsidiaries</t>
        </is>
      </c>
      <c r="K55" s="11" t="inlineStr">
        <is>
          <t>verified-stretch</t>
        </is>
      </c>
      <c r="L55" s="11" t="inlineStr">
        <is>
          <t>~$729M annual revenue as of Feb 2026 reporting; AED 1.5B net profit in 2025 (confirmed via WebSearch, Sep 2026) | ~AED 7B / $1.9B market cap, DFM-listed (est, not independently reconfirmed with a current 2026 figure) | flags: diversified holding stru</t>
        </is>
      </c>
      <c r="M55" s="11" t="inlineStr">
        <is>
          <t>[VERIFIED NEW W13] Industrial/real-estate diversification story tied to UAE's non-oil private-investment growth narrative; open 'diversified holding' category, though brand focus would need sharpening. | Hard filters pass (revenue, valuation, headcou</t>
        </is>
      </c>
    </row>
    <row r="56">
      <c r="A56" s="11" t="n">
        <v>53</v>
      </c>
      <c r="B56" s="11" t="inlineStr">
        <is>
          <t>W13</t>
        </is>
      </c>
      <c r="C56" s="11" t="inlineStr">
        <is>
          <t>Gulf Sovereign &amp; Tourism</t>
        </is>
      </c>
      <c r="D56" s="11" t="n">
        <v>52</v>
      </c>
      <c r="E56" s="11" t="inlineStr">
        <is>
          <t>Jabal Omar Development Company</t>
        </is>
      </c>
      <c r="F56" s="11" t="inlineStr">
        <is>
          <t>jabalomar.com.sa</t>
        </is>
      </c>
      <c r="G56" s="11" t="inlineStr">
        <is>
          <t>Mecca, Saudi Arabia</t>
        </is>
      </c>
      <c r="H56" s="11" t="inlineStr">
        <is>
          <t>Hospitality and real estate development adjacent to the Grand Mosque (hotel towers, retail) serving the global pilgrim/tourist market</t>
        </is>
      </c>
      <c r="I56" s="11" t="inlineStr">
        <is>
          <t>1k-5k (~1,500, est)</t>
        </is>
      </c>
      <c r="J56" s="11" t="inlineStr">
        <is>
          <t>~1,500, est</t>
        </is>
      </c>
      <c r="K56" s="11" t="inlineStr">
        <is>
          <t>verified-stretch</t>
        </is>
      </c>
      <c r="L56" s="11" t="inlineStr">
        <is>
          <t xml:space="preserve">SAR 2.11B (~$560M) FY2025, +11.17% YoY; net profit surged to SAR 2.39B (from SAR 200M in 2024) (confirmed via WebSearch, Argaam/stockanalysis.com, Sep 2026) | ~SAR 16.7B / $4.46B market cap as of March 2026 (confirmed via search, carried from input) </t>
        </is>
      </c>
      <c r="M56" s="11" t="inlineStr">
        <is>
          <t>[VERIFIED NEW W13] Tie to Jabal Omar's explosive 2025 profit growth and Saudi Vision 2030 tourism/sports diversification narrative; open 'hospitality/pilgrimage tourism development' category. | Hard filters pass on available evidence (revenue, valuat</t>
        </is>
      </c>
    </row>
    <row r="57">
      <c r="A57" s="11" t="n">
        <v>54</v>
      </c>
      <c r="B57" s="11" t="inlineStr">
        <is>
          <t>W13</t>
        </is>
      </c>
      <c r="C57" s="11" t="inlineStr">
        <is>
          <t>Gulf Sovereign &amp; Tourism</t>
        </is>
      </c>
      <c r="D57" s="11" t="n">
        <v>52</v>
      </c>
      <c r="E57" s="11" t="inlineStr">
        <is>
          <t>Lulu Retail Holdings PLC</t>
        </is>
      </c>
      <c r="F57" s="11" t="inlineStr">
        <is>
          <t>luluretail.com</t>
        </is>
      </c>
      <c r="G57" s="11" t="inlineStr">
        <is>
          <t>Abu Dhabi, UAE</t>
        </is>
      </c>
      <c r="H57" s="11" t="inlineStr">
        <is>
          <t>Hypermarkets and retail (GCC's largest grocery/retail chain, also a tourist shopping destination) to tens of millions of shoppers</t>
        </is>
      </c>
      <c r="I57" s="11" t="inlineStr">
        <is>
          <t>10k+ (53,459 employees, Lulu Group International, as of June 2026, confirmed via WebSearch)</t>
        </is>
      </c>
      <c r="J57" s="11" t="inlineStr">
        <is>
          <t>53,459 employees, Lulu Group International, as of June 2026, confirmed via WebSearch</t>
        </is>
      </c>
      <c r="K57" s="11" t="inlineStr">
        <is>
          <t>verified-stretch</t>
        </is>
      </c>
      <c r="L57" s="11" t="inlineStr">
        <is>
          <t>H1 2025 revenue $4.1B, +5.9% YoY; net income $127M, +9.1% YoY (confirmed via WebSearch, luluretail.com H1 2025 results); full-year ~$8.3B (est, consistent with input) | ~$6.5B market cap, ADX-listed post Nov-2024 IPO (est, carried from input, not ind</t>
        </is>
      </c>
      <c r="M57" s="11" t="inlineStr">
        <is>
          <t>[VERIFIED NEW W13] GCC's largest hypermarket chain as a consumer-facing regional retail sponsor, tied to Abu Dhabi GP home-market activation and the recent landmark IPO growth story; open grocery/retail category. | Hard filters pass (revenue, valuati</t>
        </is>
      </c>
    </row>
    <row r="58">
      <c r="A58" s="11" t="n">
        <v>55</v>
      </c>
      <c r="B58" s="11" t="inlineStr">
        <is>
          <t>W13</t>
        </is>
      </c>
      <c r="C58" s="11" t="inlineStr">
        <is>
          <t>Staffing &amp; Talent</t>
        </is>
      </c>
      <c r="D58" s="11" t="n">
        <v>52</v>
      </c>
      <c r="E58" s="11" t="inlineStr">
        <is>
          <t>Kanzhun Limited (Boss Zhipin)</t>
        </is>
      </c>
      <c r="F58" s="11" t="inlineStr">
        <is>
          <t>ir.kanzhun.com</t>
        </is>
      </c>
      <c r="G58" s="11" t="inlineStr">
        <is>
          <t>Beijing, China</t>
        </is>
      </c>
      <c r="H58" s="11" t="inlineStr">
        <is>
          <t>Online recruitment platform (Boss Zhipin) connecting job seekers and employers</t>
        </is>
      </c>
      <c r="I58" s="11" t="inlineStr">
        <is>
          <t>5k-10k</t>
        </is>
      </c>
      <c r="J58" s="11" t="inlineStr">
        <is>
          <t>5k-10k</t>
        </is>
      </c>
      <c r="K58" s="11" t="inlineStr">
        <is>
          <t>verified-stretch</t>
        </is>
      </c>
      <c r="L58" s="11" t="inlineStr">
        <is>
          <t>RMB 7,355.7M / $1,007.7M FY2024 (Kanzhun IR/Nasdaq press release, March 2025); RMB 8,267.5M / $1,182.2M FY2025 | Market cap ~$6-7B through 2025, $7.14B as of Aug 2026 (stockanalysis.com/Yahoo Finance) | flags: revenue and user base overwhelmingly Chi</t>
        </is>
      </c>
      <c r="M58" s="11" t="inlineStr">
        <is>
          <t xml:space="preserve">[VERIFIED NEW W13] China/APAC market-entry story for F1 - use Kanzhun's AI-driven hiring technology and stated push into new geographies (Vietnam, Argentina, Brazil) as the hook for an emerging-market or technology-partner angle. | Hard filters pass </t>
        </is>
      </c>
    </row>
    <row r="59">
      <c r="A59" s="11" t="n">
        <v>56</v>
      </c>
      <c r="B59" s="11" t="inlineStr">
        <is>
          <t>W13</t>
        </is>
      </c>
      <c r="C59" s="11" t="inlineStr">
        <is>
          <t>Trading &amp; Crypto</t>
        </is>
      </c>
      <c r="D59" s="11" t="n">
        <v>52</v>
      </c>
      <c r="E59" s="11" t="inlineStr">
        <is>
          <t>CoinDCX</t>
        </is>
      </c>
      <c r="F59" s="11" t="inlineStr">
        <is>
          <t>coindcx.com</t>
        </is>
      </c>
      <c r="G59" s="11" t="inlineStr">
        <is>
          <t>Mumbai, India</t>
        </is>
      </c>
      <c r="H59" s="11" t="inlineStr">
        <is>
          <t>Cryptocurrency exchange and trading platform, India and UAE/MENA (via BitOasis acquisition)</t>
        </is>
      </c>
      <c r="I59" s="11" t="inlineStr">
        <is>
          <t>201-1k</t>
        </is>
      </c>
      <c r="J59" s="11" t="inlineStr">
        <is>
          <t>201-1k</t>
        </is>
      </c>
      <c r="K59" s="11" t="inlineStr">
        <is>
          <t>verified-stretch</t>
        </is>
      </c>
      <c r="L59" s="11" t="inlineStr">
        <is>
          <t>~$141M ARR as of June 2025 (getlatka.com); YoY growth rate not independently confirmed | $2.45B post-money, Oct 15, 2025 (Coinbase minority investment; TradingView/Coinbase blog) | flags: revenue figure is ARR, not confirmed audited FY/TTM revenue; g</t>
        </is>
      </c>
      <c r="M59" s="11" t="inlineStr">
        <is>
          <t>[VERIFIED NEW W13] India/MENA growth-market story - CoinDCX as the exchange of record for the world's fastest-growing crypto user base, offering F1 a foothold distinct from the Western crypto sponsors already on the grid. | Valuation and capacity-to-</t>
        </is>
      </c>
    </row>
  </sheetData>
  <autoFilter ref="A3:M5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57"/>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Asset Mgmt, PE &amp; Trading Fir — existing New-Sectors book, now verified — 54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"01 Asset Mgmt, PE &amp; Trading Fir".</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0" t="n">
        <v>1</v>
      </c>
      <c r="B4" s="10" t="n">
        <v>92</v>
      </c>
      <c r="C4" s="10" t="inlineStr">
        <is>
          <t>Citadel</t>
        </is>
      </c>
      <c r="D4" s="10" t="inlineStr">
        <is>
          <t>citadel.com</t>
        </is>
      </c>
      <c r="E4" s="10" t="inlineStr">
        <is>
          <t>USA</t>
        </is>
      </c>
      <c r="F4" s="10" t="inlineStr">
        <is>
          <t>Private, founder-controlled (Ken Griffin holds majority ownership); no state, sovereign, gambling, alcohol, or sanctioned-country ties</t>
        </is>
      </c>
      <c r="G4" s="10" t="inlineStr">
        <is>
          <t>Multi-strategy hedge fund</t>
        </is>
      </c>
      <c r="H4" s="10" t="inlineStr">
        <is>
          <t>1k-5k</t>
        </is>
      </c>
      <c r="I4" s="10" t="inlineStr">
        <is>
          <t>Not publicly disclosed; AUM $66B (Dec 2024, CNBC/Insider Monkey). Fee revenue not itemized by the firm but industry reporting has put annual fee take in the multi-billion-dollar range in strong years (e.g., ~$7B cited for 2022, Yahoo Finance/Bloomberg-sourced reporting) — comfortably clears the $100M bar (est).</t>
        </is>
      </c>
      <c r="J4" s="10" t="inlineStr">
        <is>
          <t>No published enterprise valuation (private, founder-owned) — passes hard bar on revenue alone per protocol; flag: founder-owned, no published valuation.</t>
        </is>
      </c>
      <c r="K4" s="10" t="inlineStr">
        <is>
          <t>N/A (self-funded/founder-owned; not a funding-round company)</t>
        </is>
      </c>
      <c r="L4" s="10" t="inlineStr">
        <is>
          <t>exceeds - mega-brand</t>
        </is>
      </c>
      <c r="M4" s="10" t="n">
        <v>4</v>
      </c>
      <c r="N4" s="10" t="inlineStr">
        <is>
          <t>Yes</t>
        </is>
      </c>
      <c r="O4" s="10" t="inlineStr">
        <is>
          <t>All hard filters pass: revenue clears $100M bar (est, AUM-based); no F1 conflicts found (WebSearch, Sep 2026); ownership clean (private, US, founder-controlled); headcount well above 51-person floor; firm is highly profitable (+15.1% flagship fund return, 2024, CNBC) with clear capacity to spend; audience is a diversified base of large institutional LPs, not concentrated on ~20 accounts. Fit score 4/4.</t>
        </is>
      </c>
      <c r="P4" s="10" t="inlineStr">
        <is>
          <t>Position Citadel as the data-driven, split-second decision-making engine behind global markets — a direct analog to F1's real-time engineering edge under pressure. Category is open: no major hedge fund or prop-trading sponsor currently on the grid.</t>
        </is>
      </c>
      <c r="Q4" s="10" t="inlineStr">
        <is>
          <t>founder-owned, no published valuation</t>
        </is>
      </c>
      <c r="R4" s="10" t="inlineStr">
        <is>
          <t>verified-existing</t>
        </is>
      </c>
      <c r="S4" s="10" t="inlineStr">
        <is>
          <t>2026-09-28</t>
        </is>
      </c>
    </row>
    <row r="5">
      <c r="A5" s="10" t="n">
        <v>2</v>
      </c>
      <c r="B5" s="10" t="n">
        <v>92</v>
      </c>
      <c r="C5" s="10" t="inlineStr">
        <is>
          <t>ICG (Intermediate Capital Group)</t>
        </is>
      </c>
      <c r="D5" s="10" t="inlineStr">
        <is>
          <t>icgam.com</t>
        </is>
      </c>
      <c r="E5" s="10" t="inlineStr">
        <is>
          <t>UK</t>
        </is>
      </c>
      <c r="F5" s="10" t="inlineStr">
        <is>
          <t>Public (LSE: ICG), FTSE 100 constituent — no majority state, gambling, alcohol, or sanctioned-country ownership</t>
        </is>
      </c>
      <c r="G5" s="10" t="inlineStr">
        <is>
          <t>Alternative asset manager / private credit</t>
        </is>
      </c>
      <c r="H5" s="10" t="inlineStr">
        <is>
          <t>201-1k</t>
        </is>
      </c>
      <c r="I5" s="10" t="inlineStr">
        <is>
          <t>£1,036.0M (FY2026) / ~$1.22B (FY2025, up from ~$1.17B in FY2024) — official results via GlobeNewswire (May 21, 2025, "final results for the financial year ended 31 March 2025") and companiesmarketcap.com aggregation (2026). Clears the $100M bar comfortably.</t>
        </is>
      </c>
      <c r="J5" s="10" t="inlineStr">
        <is>
          <t>Market cap £5.96B (Nov 2025, companiesmarketcap.com) — roughly $7.5B, clears the $1B hard bar.</t>
        </is>
      </c>
      <c r="K5" s="10" t="inlineStr">
        <is>
          <t>N/A (public company); AUM $112bn at Mar 31, 2025, growing to $126bn (2026, firm data).</t>
        </is>
      </c>
      <c r="L5" s="10" t="inlineStr">
        <is>
          <t>meets parameters</t>
        </is>
      </c>
      <c r="M5" s="10" t="n">
        <v>4</v>
      </c>
      <c r="N5" s="10" t="inlineStr">
        <is>
          <t>Yes</t>
        </is>
      </c>
      <c r="O5" s="10" t="inlineStr">
        <is>
          <t>All hard filters pass cleanly with strong, well-sourced figures: revenue and valuation both independently verified via official/aggregated public-company reporting (well above both the $100M revenue and $1B valuation bars); no F1 conflicts found; clean public UK ownership; growing, profitable business with clear capacity to spend; diversified institutional LP base across many funds/geographies. Fit score 4/4.</t>
        </is>
      </c>
      <c r="P5" s="10" t="inlineStr">
        <is>
          <t>Global alternative-capital / private-credit growth story — ICG's expansion across 18+ countries mirrors F1's own global market expansion (new races, new markets); open category for a dedicated private-credit sponsor.</t>
        </is>
      </c>
      <c r="Q5" s="10" t="n"/>
      <c r="R5" s="10" t="inlineStr">
        <is>
          <t>verified-existing</t>
        </is>
      </c>
      <c r="S5" s="10" t="inlineStr">
        <is>
          <t>2026-09-28</t>
        </is>
      </c>
    </row>
    <row r="6">
      <c r="A6" s="10" t="n">
        <v>3</v>
      </c>
      <c r="B6" s="10" t="n">
        <v>92</v>
      </c>
      <c r="C6" s="10" t="inlineStr">
        <is>
          <t>Squarepoint Capital</t>
        </is>
      </c>
      <c r="D6" s="10" t="inlineStr">
        <is>
          <t>squarepoint-capital.com</t>
        </is>
      </c>
      <c r="E6" s="10" t="inlineStr">
        <is>
          <t>UK/USA (London/New York, Paris HQ for management entity)</t>
        </is>
      </c>
      <c r="F6" s="10" t="inlineStr">
        <is>
          <t>Private, founder-owned; no published valuation</t>
        </is>
      </c>
      <c r="G6" s="10" t="inlineStr">
        <is>
          <t>Quantitative hedge fund (statistical arbitrage, ML alpha)</t>
        </is>
      </c>
      <c r="H6" s="10" t="inlineStr">
        <is>
          <t>1k-5k</t>
        </is>
      </c>
      <c r="I6" s="10" t="inlineStr">
        <is>
          <t>Not officially disclosed; est. $2.7-3.6B/yr derived from $182B regulatory AUM (Nov 2025) and industry-standard fee structures - clears the $100M bar with very large margin even allowing for estimate error</t>
        </is>
      </c>
      <c r="J6" s="10" t="inlineStr">
        <is>
          <t>N/A - private, founder-owned, no published valuation; scale (est. revenue, $182B AUM) clears the financial-capacity bar independently</t>
        </is>
      </c>
      <c r="K6" s="10" t="inlineStr">
        <is>
          <t>N/A - not a funding-round company; self-funded/founder-owned quant manager</t>
        </is>
      </c>
      <c r="L6" s="10" t="inlineStr">
        <is>
          <t>exceeds - mega-brand</t>
        </is>
      </c>
      <c r="M6" s="10" t="n">
        <v>4</v>
      </c>
      <c r="N6" s="10" t="inlineStr">
        <is>
          <t>Yes</t>
        </is>
      </c>
      <c r="O6" s="10" t="inlineStr">
        <is>
          <t>All hard filters pass with wide margin: even a heavily discounted revenue estimate (based on $182B AUM, Nov 2025) clears &gt;$100M by a large multiple; headcount 2,429 (2025, Revelio Labs) bands 1k-5k; AUM growth and scale imply strong capacity to spend; diversified institutional LP base; no F1 team/series/driver/GP tie found; private, founder-owned, no sovereign ties. Fit score 4 (&gt;=2), no material reservations identified.</t>
        </is>
      </c>
      <c r="P6" s="10" t="inlineStr">
        <is>
          <t>One of the largest quantitative hedge funds globally ($182B AUM) - position as a marquee 'data science &amp; AI' partner in an open category, with a brand story built entirely around statistical precision and split-second computation, mirroring F1 strategy (est).</t>
        </is>
      </c>
      <c r="Q6" s="10" t="n"/>
      <c r="R6" s="10" t="inlineStr">
        <is>
          <t>verified-existing</t>
        </is>
      </c>
      <c r="S6" s="10" t="inlineStr">
        <is>
          <t>2026-09-28</t>
        </is>
      </c>
    </row>
    <row r="7">
      <c r="A7" s="10" t="n">
        <v>4</v>
      </c>
      <c r="B7" s="10" t="n">
        <v>92</v>
      </c>
      <c r="C7" s="10" t="inlineStr">
        <is>
          <t>Tikehau Capital</t>
        </is>
      </c>
      <c r="D7" s="10" t="inlineStr">
        <is>
          <t>tikehaucapital.com</t>
        </is>
      </c>
      <c r="E7" s="10" t="inlineStr">
        <is>
          <t>France</t>
        </is>
      </c>
      <c r="F7" s="10" t="inlineStr">
        <is>
          <t>Public (Euronext Paris: TKO); no state/sovereign ownership found</t>
        </is>
      </c>
      <c r="G7" s="10" t="inlineStr">
        <is>
          <t>Alternative asset management (private equity, private debt, real assets, capital markets strategies)</t>
        </is>
      </c>
      <c r="H7" s="10" t="inlineStr">
        <is>
          <t>201-1k</t>
        </is>
      </c>
      <c r="I7" s="10" t="inlineStr">
        <is>
          <t>€380.3M asset-management revenue, +8% YoY, FY2025, reported 19 Feb 2026 (Tikehau Capital FY2025 results press release) — clears &gt;$100M hard bar</t>
        </is>
      </c>
      <c r="J7" s="10" t="inlineStr">
        <is>
          <t>$3.4B market capitalization as of Sept 2026 (public markets data) — clears &gt;$1B hard bar</t>
        </is>
      </c>
      <c r="K7" s="10" t="inlineStr">
        <is>
          <t>N/A — publicly listed, not VC-backed</t>
        </is>
      </c>
      <c r="L7" s="10" t="inlineStr">
        <is>
          <t>meets parameters</t>
        </is>
      </c>
      <c r="M7" s="10" t="n">
        <v>4</v>
      </c>
      <c r="N7" s="10" t="inlineStr">
        <is>
          <t>Yes</t>
        </is>
      </c>
      <c r="O7" s="10" t="inlineStr">
        <is>
          <t>All hard filters clear: revenue €380.3M FY2025 (&gt;$100M bar), market cap $3.4B (&gt;$1B bar), 201-1k employees, public and clearly improving (record fee-related-earnings margin, +8% AUM to €52.8B, record €10.5B fundraising in 2025), diversified institutional/retail investor base, no F1 sponsorship ties found (team, series, driver or GP), no compliance issues. Fit 4/4.</t>
        </is>
      </c>
      <c r="P7" s="10" t="inlineStr">
        <is>
          <t>Position as a high-growth global alternative-asset manager ('capital built for performance') targeting affluent/institutional decision-makers — an open alternative-investment category on the grid, timed to its record 2025 fundraising and public €60bn AUM target for 2026.</t>
        </is>
      </c>
      <c r="Q7" s="10" t="n"/>
      <c r="R7" s="10" t="inlineStr">
        <is>
          <t>verified-existing</t>
        </is>
      </c>
      <c r="S7" s="10" t="inlineStr">
        <is>
          <t>2026-09-28</t>
        </is>
      </c>
    </row>
    <row r="8">
      <c r="A8" s="10" t="n">
        <v>5</v>
      </c>
      <c r="B8" s="10" t="n">
        <v>92</v>
      </c>
      <c r="C8" s="10" t="inlineStr">
        <is>
          <t>Two Sigma</t>
        </is>
      </c>
      <c r="D8" s="10" t="inlineStr">
        <is>
          <t>twosigma.com</t>
        </is>
      </c>
      <c r="E8" s="10" t="inlineStr">
        <is>
          <t>USA</t>
        </is>
      </c>
      <c r="F8" s="10" t="inlineStr">
        <is>
          <t>Private, founder-owned (John Overdeck &amp; David Siegel)</t>
        </is>
      </c>
      <c r="G8" s="10" t="inlineStr">
        <is>
          <t>Systematic/quantitative hedge fund ('financial sciences' company)</t>
        </is>
      </c>
      <c r="H8" s="10" t="inlineStr">
        <is>
          <t>1k-5k</t>
        </is>
      </c>
      <c r="I8" s="10" t="inlineStr">
        <is>
          <t>~$667M (est., aggregator data, as of Apr 2026) — clears &gt;$100M bar with comfortable margin</t>
        </is>
      </c>
      <c r="J8" s="10" t="inlineStr">
        <is>
          <t>No published valuation (private, founder-owned); $70B AUM (2025) used as scale proxy — treated like the family-owned exception</t>
        </is>
      </c>
      <c r="K8" s="10" t="inlineStr">
        <is>
          <t>N/A — hedge fund manager, not VC-backed</t>
        </is>
      </c>
      <c r="L8" s="10" t="inlineStr">
        <is>
          <t>meets parameters</t>
        </is>
      </c>
      <c r="M8" s="10" t="n">
        <v>4</v>
      </c>
      <c r="N8" s="10" t="inlineStr">
        <is>
          <t>Yes</t>
        </is>
      </c>
      <c r="O8" s="10" t="inlineStr">
        <is>
          <t>All hard filters clear: ~$667M est. revenue (&gt;$100M bar), $70B AUM, ~1,700-2,400 employees (1k-5k band), founder-owned/private with no published valuation treated like the family-owned exception given comfortable revenue scale, no F1 sponsorship ties found, and a strong technology/data-science brand story. Fit 4/4.</t>
        </is>
      </c>
      <c r="P8" s="10" t="inlineStr">
        <is>
          <t>Lean into its 'financial sciences / data &amp; AI' identity — a technology-and-precision narrative that maps directly to F1's engineering story, in an open quant/fintech sponsorship category (est).</t>
        </is>
      </c>
      <c r="Q8" s="10" t="inlineStr">
        <is>
          <t>no published valuation (founder-owned, private) — treated like the family-owned exception as a judgment call</t>
        </is>
      </c>
      <c r="R8" s="10" t="inlineStr">
        <is>
          <t>verified-existing</t>
        </is>
      </c>
      <c r="S8" s="10" t="inlineStr">
        <is>
          <t>2026-09-28</t>
        </is>
      </c>
    </row>
    <row r="9">
      <c r="A9" s="10" t="n">
        <v>6</v>
      </c>
      <c r="B9" s="10" t="n">
        <v>92</v>
      </c>
      <c r="C9" s="10" t="inlineStr">
        <is>
          <t>VanEck</t>
        </is>
      </c>
      <c r="D9" s="10" t="inlineStr">
        <is>
          <t>vaneck.com</t>
        </is>
      </c>
      <c r="E9" s="10" t="inlineStr">
        <is>
          <t>USA</t>
        </is>
      </c>
      <c r="F9" s="10" t="inlineStr">
        <is>
          <t>Private, 100% family-owned (Van Eck family, CEO Jan van Eck and family hold all shares)</t>
        </is>
      </c>
      <c r="G9" s="10" t="inlineStr">
        <is>
          <t>ETF issuer / asset manager (equities, fixed income, digital assets, thematic strategies)</t>
        </is>
      </c>
      <c r="H9" s="10" t="inlineStr">
        <is>
          <t>201-1k</t>
        </is>
      </c>
      <c r="I9" s="10" t="inlineStr">
        <is>
          <t>Not publicly disclosed (private); est. several hundred million $ given $181B+ AUM (Dec 2025) at typical ETF/asset-management fee rates (est.) — clears &gt;$100M bar</t>
        </is>
      </c>
      <c r="J9" s="10" t="inlineStr">
        <is>
          <t>N/A (family-owned, no published valuation) — passes on revenue/scale alone per brief exception</t>
        </is>
      </c>
      <c r="K9" s="10" t="inlineStr">
        <is>
          <t>N/A — family-owned asset manager, not VC-backed</t>
        </is>
      </c>
      <c r="L9" s="10" t="inlineStr">
        <is>
          <t>meets parameters</t>
        </is>
      </c>
      <c r="M9" s="10" t="n">
        <v>4</v>
      </c>
      <c r="N9" s="10" t="inlineStr">
        <is>
          <t>Yes</t>
        </is>
      </c>
      <c r="O9" s="10" t="inlineStr">
        <is>
          <t>All hard filters clear: 100% Van Eck family-owned with no published valuation (explicit brief exception — passes on revenue/scale alone), $181B AUM (Dec 2025) implying revenue well above $100M, 487 employees (201-1k band), global retail/institutional audience in the millions, no F1 sponsorship ties found. Fit 4/4.</t>
        </is>
      </c>
      <c r="P9" s="10" t="inlineStr">
        <is>
          <t>Use its innovation-led ETF lineup (gold, Bitcoin/crypto, thematic strategies) to tell an 'access to what's next' story for affluent global investors — an open ETF-issuer category on the grid.</t>
        </is>
      </c>
      <c r="Q9" s="10" t="inlineStr">
        <is>
          <t>family-owned, no published valuation</t>
        </is>
      </c>
      <c r="R9" s="10" t="inlineStr">
        <is>
          <t>verified-existing</t>
        </is>
      </c>
      <c r="S9" s="10" t="inlineStr">
        <is>
          <t>2026-09-28</t>
        </is>
      </c>
    </row>
    <row r="10">
      <c r="A10" s="10" t="n">
        <v>7</v>
      </c>
      <c r="B10" s="10" t="n">
        <v>92</v>
      </c>
      <c r="C10" s="10" t="inlineStr">
        <is>
          <t>Millennium Management</t>
        </is>
      </c>
      <c r="D10" s="10" t="inlineStr">
        <is>
          <t>millennium.com</t>
        </is>
      </c>
      <c r="E10" s="10" t="inlineStr">
        <is>
          <t>USA</t>
        </is>
      </c>
      <c r="F10" s="10" t="inlineStr">
        <is>
          <t>Private, founder-owned (Israel 'Izzy' Englander)</t>
        </is>
      </c>
      <c r="G10" s="10" t="inlineStr">
        <is>
          <t>Multi-strategy hedge fund</t>
        </is>
      </c>
      <c r="H10" s="10" t="inlineStr">
        <is>
          <t>5k-10k</t>
        </is>
      </c>
      <c r="I10" s="10" t="inlineStr">
        <is>
          <t>Not publicly disclosed; est. well &gt;$100M (likely well into the billions) given $92B AUM (Jul 2026) and the multi-strategy pass-through fee model widely reported in trade press (est.)</t>
        </is>
      </c>
      <c r="J10" s="10" t="inlineStr">
        <is>
          <t>No published valuation (private, founder-owned); $92B AUM as of Jul 2026 (up from ~$76-79B in 2025, trade press) used as scale proxy — treated like the family-owned exception</t>
        </is>
      </c>
      <c r="K10" s="10" t="inlineStr">
        <is>
          <t>N/A — hedge fund manager, not VC-backed</t>
        </is>
      </c>
      <c r="L10" s="10" t="inlineStr">
        <is>
          <t>meets parameters</t>
        </is>
      </c>
      <c r="M10" s="10" t="n">
        <v>4</v>
      </c>
      <c r="N10" s="10" t="inlineStr">
        <is>
          <t>Yes</t>
        </is>
      </c>
      <c r="O10" s="10" t="inlineStr">
        <is>
          <t>All hard filters clear: $92B AUM (Jul 2026, up from ~$76-79B in 2025) with revenue almost certainly well above $100M given the fund's pass-through fee model, 6,800+ employees (5k-10k band), founder-owned/private with no published valuation treated like the family-owned exception given clear scale, no F1 sponsorship ties found, strong growth trajectory (10.5% 2025 return, rising AUM). Fit 4/4.</t>
        </is>
      </c>
      <c r="P10" s="10" t="inlineStr">
        <is>
          <t>Multi-strategy, data-driven trading platform with fast-growing AUM (~$76B to $92B) — an 'engineering consistent returns' narrative for an open quant/hedge-fund sponsorship category (est).</t>
        </is>
      </c>
      <c r="Q10" s="10" t="inlineStr">
        <is>
          <t>no published valuation (founder-owned, private) — treated like the family-owned exception as a judgment call</t>
        </is>
      </c>
      <c r="R10" s="10" t="inlineStr">
        <is>
          <t>verified-existing</t>
        </is>
      </c>
      <c r="S10" s="10" t="inlineStr">
        <is>
          <t>2026-09-28</t>
        </is>
      </c>
    </row>
    <row r="11">
      <c r="A11" s="10" t="n">
        <v>8</v>
      </c>
      <c r="B11" s="10" t="n">
        <v>92</v>
      </c>
      <c r="C11" s="10" t="inlineStr">
        <is>
          <t>Raisin</t>
        </is>
      </c>
      <c r="D11" s="10" t="inlineStr">
        <is>
          <t>raisin.com</t>
        </is>
      </c>
      <c r="E11" s="10" t="inlineStr">
        <is>
          <t>Germany</t>
        </is>
      </c>
      <c r="F11" s="10" t="inlineStr">
        <is>
          <t>Private, VC-backed (investors include PayPal, Goldman Sachs)</t>
        </is>
      </c>
      <c r="G11" s="10" t="inlineStr">
        <is>
          <t>Savings and investment marketplace</t>
        </is>
      </c>
      <c r="H11" s="10" t="inlineStr">
        <is>
          <t>201-1k</t>
        </is>
      </c>
      <c r="I11" s="10" t="inlineStr">
        <is>
          <t>Revenue doubled to €160M (~$170M) in the most recently reported fiscal year, while remaining profitable (per Dealroom/press coverage, cited 2025-2026)</t>
        </is>
      </c>
      <c r="J11" s="10" t="inlineStr">
        <is>
          <t>Valuation exceeds €2B (~$2.1B) following a 2025-2026 secondary share sale (per Dealroom.co reporting)</t>
        </is>
      </c>
      <c r="K11" s="10" t="inlineStr">
        <is>
          <t>Secondary funding round valuing the company above €2B (reported ahead of a planned IPO); prior primary round was a $65M Series E in 2023</t>
        </is>
      </c>
      <c r="L11" s="10" t="inlineStr">
        <is>
          <t>meets parameters</t>
        </is>
      </c>
      <c r="M11" s="10" t="n">
        <v>4</v>
      </c>
      <c r="N11" s="10" t="inlineStr">
        <is>
          <t>Yes</t>
        </is>
      </c>
      <c r="O11" s="10" t="inlineStr">
        <is>
          <t>All hard filters pass: revenue (€160M, doubled YoY) well above $100M and profitable, valuation (&gt;€2B secondary round) above $1B, headcount 500-1,000, capacity to spend supported by being profitable (satisfies the VC-backed 'or clearly profitable' clause even though its last primary raise was 2023), audience is 1M+ customers across 11 countries (broad, not concentrated), no F1 sponsorship conflict found, ownership clean (private, VC-backed, no state ties). Fit score 4.</t>
        </is>
      </c>
      <c r="P11" s="10" t="inlineStr">
        <is>
          <t>Cross-border savings-growth story - Raisin's mission of unlocking better returns for savers across borders pairs naturally with F1's pan-European/global fanbase; pursue an open 'official savings/investment partner' category ahead of its planned IPO.</t>
        </is>
      </c>
      <c r="Q11" s="10" t="n"/>
      <c r="R11" s="10" t="inlineStr">
        <is>
          <t>verified-existing</t>
        </is>
      </c>
      <c r="S11" s="10" t="inlineStr">
        <is>
          <t>2026-09-28</t>
        </is>
      </c>
    </row>
    <row r="12">
      <c r="A12" s="10" t="n">
        <v>9</v>
      </c>
      <c r="B12" s="10" t="n">
        <v>84</v>
      </c>
      <c r="C12" s="10" t="inlineStr">
        <is>
          <t>ExodusPoint Capital Management</t>
        </is>
      </c>
      <c r="D12" s="10" t="inlineStr">
        <is>
          <t>exoduspoint.com</t>
        </is>
      </c>
      <c r="E12" s="10" t="inlineStr">
        <is>
          <t>USA</t>
        </is>
      </c>
      <c r="F12" s="10" t="inlineStr">
        <is>
          <t>Private, founder-controlled (Michael Gelband and Hyung Lee, co-founders, 2017) — no state, gambling, alcohol, or sanctioned-country ties</t>
        </is>
      </c>
      <c r="G12" s="10" t="inlineStr">
        <is>
          <t>Multi-strategy hedge fund</t>
        </is>
      </c>
      <c r="H12" s="10" t="inlineStr">
        <is>
          <t>201-1k</t>
        </is>
      </c>
      <c r="I12" s="10" t="inlineStr">
        <is>
          <t>Not disclosed; AUM ~$11.7B (Dec 31, 2025, Wikipedia/regulatory filings). Firm had its best year on record in 2025 with an 18% return (Wikipedia, 2026); applying typical multi-strategy fee structures (management + performance fees) to that AUM/return implies fee revenue well over $100M (est).</t>
        </is>
      </c>
      <c r="J12" s="10" t="inlineStr">
        <is>
          <t>No published enterprise valuation (private, founder-owned) — passes hard bar on revenue alone; flag: founder-owned, no published valuation.</t>
        </is>
      </c>
      <c r="K12" s="10" t="inlineStr">
        <is>
          <t>N/A (established fund, not a funding-round company)</t>
        </is>
      </c>
      <c r="L12" s="10" t="inlineStr">
        <is>
          <t>meets parameters</t>
        </is>
      </c>
      <c r="M12" s="10" t="n">
        <v>3</v>
      </c>
      <c r="N12" s="10" t="inlineStr">
        <is>
          <t>Yes</t>
        </is>
      </c>
      <c r="O12" s="10" t="inlineStr">
        <is>
          <t>All hard filters pass: revenue est. clears $100M bar; no F1 conflicts found; clean US private ownership; headcount above floor; firm is thriving (best year on record, 2025) with clear capacity to spend; diversified institutional LP base, not concentrated. Fit score 3/4.</t>
        </is>
      </c>
      <c r="P12" s="10" t="inlineStr">
        <is>
          <t>Multi-strategy risk-engineering story — ExodusPoint's platform for managing risk across shifting market conditions mirrors F1 team strategy adapting to variable race conditions; open category.</t>
        </is>
      </c>
      <c r="Q12" s="10" t="inlineStr">
        <is>
          <t>founder-owned, no published valuation</t>
        </is>
      </c>
      <c r="R12" s="10" t="inlineStr">
        <is>
          <t>verified-existing</t>
        </is>
      </c>
      <c r="S12" s="10" t="inlineStr">
        <is>
          <t>2026-09-28</t>
        </is>
      </c>
    </row>
    <row r="13">
      <c r="A13" s="10" t="n">
        <v>10</v>
      </c>
      <c r="B13" s="10" t="n">
        <v>84</v>
      </c>
      <c r="C13" s="10" t="inlineStr">
        <is>
          <t>Jump Trading</t>
        </is>
      </c>
      <c r="D13" s="10" t="inlineStr">
        <is>
          <t>jumptrading.com</t>
        </is>
      </c>
      <c r="E13" s="10" t="inlineStr">
        <is>
          <t>USA (Chicago)</t>
        </is>
      </c>
      <c r="F13" s="10" t="inlineStr">
        <is>
          <t>Private, founder-owned (est. 1999); no published valuation</t>
        </is>
      </c>
      <c r="G13" s="10" t="inlineStr">
        <is>
          <t>Proprietary/HFT trading and market making</t>
        </is>
      </c>
      <c r="H13" s="10" t="inlineStr">
        <is>
          <t>1k-5k</t>
        </is>
      </c>
      <c r="I13" s="10" t="inlineStr">
        <is>
          <t>~$546M annual revenue (est, third-party aggregator BitScale, updated Nov 2025); private firm, no official disclosure</t>
        </is>
      </c>
      <c r="J13" s="10" t="inlineStr">
        <is>
          <t>N/A - private, no published valuation; not required since revenue bar is met independently</t>
        </is>
      </c>
      <c r="K13" s="10" t="inlineStr">
        <is>
          <t>N/A - self-funded proprietary trading firm, no external funding rounds disclosed</t>
        </is>
      </c>
      <c r="L13" s="10" t="inlineStr">
        <is>
          <t>meets parameters</t>
        </is>
      </c>
      <c r="M13" s="10" t="n">
        <v>3</v>
      </c>
      <c r="N13" s="10" t="inlineStr">
        <is>
          <t>Yes</t>
        </is>
      </c>
      <c r="O13" s="10" t="inlineStr">
        <is>
          <t>All hard filters pass: revenue ~$546M (est, Nov 2025) clears the &gt;$100M bar with wide margin; headcount 2,084 (2025, Revelio Labs) bands 1k-5k; no distress signals, thriving 25+ year HFT firm (capacity to spend); no customer-concentration issue (proprietary trading, no external clients); no F1 team/series/driver/GP tie found; private founder-owned, no sovereign/sanctioned ownership. Fit score 3 (&gt;=2).</t>
        </is>
      </c>
      <c r="P13" s="10" t="inlineStr">
        <is>
          <t>Global HFT/market-making brand in an open prop-trading category - lean into split-second algorithmic decision-making as a direct parallel to F1 race strategy and real-time data processing (est).</t>
        </is>
      </c>
      <c r="Q13" s="10" t="n"/>
      <c r="R13" s="10" t="inlineStr">
        <is>
          <t>verified-existing</t>
        </is>
      </c>
      <c r="S13" s="10" t="inlineStr">
        <is>
          <t>2026-09-28</t>
        </is>
      </c>
    </row>
    <row r="14">
      <c r="A14" s="10" t="n">
        <v>11</v>
      </c>
      <c r="B14" s="10" t="n">
        <v>84</v>
      </c>
      <c r="C14" s="10" t="inlineStr">
        <is>
          <t>M&amp;G plc</t>
        </is>
      </c>
      <c r="D14" s="10" t="inlineStr">
        <is>
          <t>mandg.com</t>
        </is>
      </c>
      <c r="E14" s="10" t="inlineStr">
        <is>
          <t>UK (London)</t>
        </is>
      </c>
      <c r="F14" s="10" t="inlineStr">
        <is>
          <t>Public (LSE: MNG), FTSE 100; no state/sovereign majority ownership found</t>
        </is>
      </c>
      <c r="G14" s="10" t="inlineStr">
        <is>
          <t>Retail savings/insurance and institutional asset management</t>
        </is>
      </c>
      <c r="H14" s="10" t="inlineStr">
        <is>
          <t>5k-10k</t>
        </is>
      </c>
      <c r="I14" s="10" t="inlineStr">
        <is>
          <t>~$9.5B total group revenue, FY2024 (reported around FY2024 results announcement, 19 Mar 2025, LSE News); figure includes insurance/investment revenue, well above the $100M hard bar</t>
        </is>
      </c>
      <c r="J14" s="10" t="inlineStr">
        <is>
          <t>~£7.6-7.9B market cap (~$10B), as of Feb 2026 (stockanalysis.com / companiesmarketcap.com) - clears the &gt;$1B hard bar decisively</t>
        </is>
      </c>
      <c r="K14" s="10" t="inlineStr">
        <is>
          <t>N/A - publicly listed company (demerged from Prudential plc, 2019), no private funding rounds</t>
        </is>
      </c>
      <c r="L14" s="10" t="inlineStr">
        <is>
          <t>meets parameters</t>
        </is>
      </c>
      <c r="M14" s="10" t="n">
        <v>3</v>
      </c>
      <c r="N14" s="10" t="inlineStr">
        <is>
          <t>Yes</t>
        </is>
      </c>
      <c r="O14" s="10" t="inlineStr">
        <is>
          <t>All hard filters pass: revenue (~$9.5B, FY2024) and market cap (~$7.6-7.9B/~$10B, Feb 2026) both clear their hard bars by a wide margin; headcount ~6,151-8,282 (Dec 2024/2025 sources) bands 5k-10k; public FTSE100 company, FY2024 results reported with no distress signals (capacity to spend); mass-market retail + institutional client base (no concentration risk); no F1 team/series/driver/GP tie found; publicly listed, no state/sovereign ownership. Fit score 3 (&gt;=2).</t>
        </is>
      </c>
      <c r="P14" s="10" t="inlineStr">
        <is>
          <t>Global wealth &amp; savings brand seeking a younger affluent audience - position M&amp;G as 'the smart money behind performance' with a savings/wealth-management activation in an open insurance/asset-management category (est).</t>
        </is>
      </c>
      <c r="Q14" s="10" t="n"/>
      <c r="R14" s="10" t="inlineStr">
        <is>
          <t>verified-existing</t>
        </is>
      </c>
      <c r="S14" s="10" t="inlineStr">
        <is>
          <t>2026-09-28</t>
        </is>
      </c>
    </row>
    <row r="15">
      <c r="A15" s="10" t="n">
        <v>12</v>
      </c>
      <c r="B15" s="10" t="n">
        <v>84</v>
      </c>
      <c r="C15" s="10" t="inlineStr">
        <is>
          <t>Bridgepoint Group</t>
        </is>
      </c>
      <c r="D15" s="10" t="inlineStr">
        <is>
          <t>bridgepoint.eu</t>
        </is>
      </c>
      <c r="E15" s="10" t="inlineStr">
        <is>
          <t>UK</t>
        </is>
      </c>
      <c r="F15" s="10" t="inlineStr">
        <is>
          <t>Public (London Stock Exchange: BPT, FTSE 250)</t>
        </is>
      </c>
      <c r="G15" s="10" t="inlineStr">
        <is>
          <t>Mid-market private equity / asset management</t>
        </is>
      </c>
      <c r="H15" s="10" t="inlineStr">
        <is>
          <t>201-1k</t>
        </is>
      </c>
      <c r="I15" s="10" t="inlineStr">
        <is>
          <t>£629.9M (~$800M) in FY2025; TTM revenue £558.4M (per Yahoo Finance/TipRanks data, 2026)</t>
        </is>
      </c>
      <c r="J15" s="10" t="inlineStr">
        <is>
          <t>Market capitalization ~£2.66B (~$3.4B) as of 2026 (per LSE/Yahoo Finance data)</t>
        </is>
      </c>
      <c r="K15" s="10" t="inlineStr">
        <is>
          <t>N/A (public company); acquired Interpath for £800M (Jan 2026) and secured &gt;€6B first close for Bridgepoint Europe VIII fund (April 2026)</t>
        </is>
      </c>
      <c r="L15" s="10" t="inlineStr">
        <is>
          <t>meets parameters</t>
        </is>
      </c>
      <c r="M15" s="10" t="n">
        <v>3</v>
      </c>
      <c r="N15" s="10" t="inlineStr">
        <is>
          <t>Yes</t>
        </is>
      </c>
      <c r="O15" s="10" t="inlineStr">
        <is>
          <t>All hard filters pass comfortably: revenue (£629.9M, 2025) well above $100M, valuation (~£2.66B/$3.4B, 2026) well above $1B and not currently borderline despite the original triage flag, headcount 200-500, clearly profitable and expanding (Interpath acquisition, new fund close), no F1 sponsorship conflict found (its MotoGP/Dorna ownership is a different series). Fit score 3.</t>
        </is>
      </c>
      <c r="P15" s="10" t="inlineStr">
        <is>
          <t>Growth-and-scale-up narrative - Bridgepoint backs high-performance mid-market businesses; pair this with its existing motorsport affinity (Dorna/MotoGP) to pitch a natural extension into F1 as an 'official investment partner' in an open category.</t>
        </is>
      </c>
      <c r="Q15" s="10" t="inlineStr">
        <is>
          <t>customer base is institutional LPs (dozens to low hundreds), not a broad consumer audience; owns Dorna Sports (MotoGP) - a different racing series, not a direct F1 conflict but worth noting as an existing motorsport relationship</t>
        </is>
      </c>
      <c r="R15" s="10" t="inlineStr">
        <is>
          <t>verified-existing</t>
        </is>
      </c>
      <c r="S15" s="10" t="inlineStr">
        <is>
          <t>2026-09-28</t>
        </is>
      </c>
    </row>
    <row r="16">
      <c r="A16" s="10" t="n">
        <v>13</v>
      </c>
      <c r="B16" s="10" t="n">
        <v>84</v>
      </c>
      <c r="C16" s="10" t="inlineStr">
        <is>
          <t>WisdomTree</t>
        </is>
      </c>
      <c r="D16" s="10" t="inlineStr">
        <is>
          <t>wisdomtree.com</t>
        </is>
      </c>
      <c r="E16" s="10" t="inlineStr">
        <is>
          <t>USA</t>
        </is>
      </c>
      <c r="F16" s="10" t="inlineStr">
        <is>
          <t>Public (NASDAQ/NYSE: WT)</t>
        </is>
      </c>
      <c r="G16" s="10" t="inlineStr">
        <is>
          <t>ETF issuer / asset management</t>
        </is>
      </c>
      <c r="H16" s="10" t="inlineStr">
        <is>
          <t>201-1k</t>
        </is>
      </c>
      <c r="I16" s="10" t="inlineStr">
        <is>
          <t>TTM revenue $609.68M; Q2 2026 revenue $177.2M, +57.3% YoY (per Macrotrends/StockStory, Sept 2026)</t>
        </is>
      </c>
      <c r="J16" s="10" t="inlineStr">
        <is>
          <t>Market capitalization $3.36B as of September 2026 (per Macrotrends/companiesmarketcap.com) - well above the original triage's 'borderline' estimate</t>
        </is>
      </c>
      <c r="K16" s="10" t="inlineStr">
        <is>
          <t>N/A (public company); record AUM of $174B as of August 31, 2026</t>
        </is>
      </c>
      <c r="L16" s="10" t="inlineStr">
        <is>
          <t>meets parameters</t>
        </is>
      </c>
      <c r="M16" s="10" t="n">
        <v>3</v>
      </c>
      <c r="N16" s="10" t="inlineStr">
        <is>
          <t>Yes</t>
        </is>
      </c>
      <c r="O16" s="10" t="inlineStr">
        <is>
          <t>All hard filters pass, and more comfortably than the original triage suggested: revenue (TTM $609.68M, +57% YoY) well above $100M, valuation ($3.36B, Sept 2026) well above $1B (not currently borderline), headcount ~200-500, clearly improving profitability (780bps margin expansion, record AUM), broad retail/advisor audience, no F1 sponsorship conflict found, ownership clean. Fit score 3.</t>
        </is>
      </c>
      <c r="P16" s="10" t="inlineStr">
        <is>
          <t>Global financial performance and access story - position WisdomTree as opening markets to investors worldwide, paralleling F1's global-audience growth; pursue an open 'official ETF/investment partner' category.</t>
        </is>
      </c>
      <c r="Q16" s="10" t="n"/>
      <c r="R16" s="10" t="inlineStr">
        <is>
          <t>verified-existing</t>
        </is>
      </c>
      <c r="S16" s="10" t="inlineStr">
        <is>
          <t>2026-09-28</t>
        </is>
      </c>
    </row>
    <row r="17">
      <c r="A17" s="10" t="n">
        <v>14</v>
      </c>
      <c r="B17" s="10" t="n">
        <v>84</v>
      </c>
      <c r="C17" s="10" t="inlineStr">
        <is>
          <t>Ninety One</t>
        </is>
      </c>
      <c r="D17" s="10" t="inlineStr">
        <is>
          <t>ninetyone.com</t>
        </is>
      </c>
      <c r="E17" s="10" t="inlineStr">
        <is>
          <t>UK/South Africa (dual-listed London &amp; Johannesburg)</t>
        </is>
      </c>
      <c r="F17" s="10" t="inlineStr">
        <is>
          <t>Public (LSE/JSE: N91)</t>
        </is>
      </c>
      <c r="G17" s="10" t="inlineStr">
        <is>
          <t>Traditional/global active asset manager</t>
        </is>
      </c>
      <c r="H17" s="10" t="inlineStr">
        <is>
          <t>1k-5k</t>
        </is>
      </c>
      <c r="I17" s="10" t="inlineStr">
        <is>
          <t>TTM revenue ~£0.68B (~$860M) as of Oct 2025 (TradingEconomics/Investing.com); FY26 (year to Mar 2026) results show adjusted operating profit up 12% to £211.3M on AUM of £171.8bn (company results, reported ~Sept 2026)</t>
        </is>
      </c>
      <c r="J17" s="10" t="inlineStr">
        <is>
          <t>Market cap ~£2.17B-£3.75B across sources (LSE listing/aggregators, checked Sept 2026) - comfortably above the $1B bar under any of the cited figures</t>
        </is>
      </c>
      <c r="K17" s="10" t="inlineStr">
        <is>
          <t>N/A - established public company (listed via 2020 demerger from Investec)</t>
        </is>
      </c>
      <c r="L17" s="10" t="inlineStr">
        <is>
          <t>meets parameters</t>
        </is>
      </c>
      <c r="M17" s="10" t="n">
        <v>3</v>
      </c>
      <c r="N17" s="10" t="inlineStr">
        <is>
          <t>Yes</t>
        </is>
      </c>
      <c r="O17" s="10" t="inlineStr">
        <is>
          <t>All hard filters pass: TTM revenue ~£0.68B (~$860M, TradingEconomics/Investing.com, Oct 2025) far exceeds the $100M bar; market cap £2.17B+ (LSE, Sept 2026) exceeds the $1B bar; headcount in the 1k-5k band; profitable and growing (AUM +31% YoY to £171.8bn, adjusted operating profit +12%, FY26 results); broad institutional/retail client base, not concentrated in a handful of accounts; no F1 sponsorship or conflict found for Ninety One or its predecessor Investec Asset Management brand; publicly listed with no state/sovereign majority ownership. Fit score 3/4.</t>
        </is>
      </c>
      <c r="P17" s="10" t="inlineStr">
        <is>
          <t>Position Ninety One as a global emerging-and-developed-markets active manager whose 'long-term conviction investing' story maps to F1's technology/performance narrative - an open category, since no traditional asset manager currently sponsors a 2026-grid team (est)</t>
        </is>
      </c>
      <c r="Q17" s="10" t="inlineStr">
        <is>
          <t>market cap estimates vary by source and date (£2.17B-£3.75B)</t>
        </is>
      </c>
      <c r="R17" s="10" t="inlineStr">
        <is>
          <t>verified-existing</t>
        </is>
      </c>
      <c r="S17" s="10" t="inlineStr">
        <is>
          <t>2026-09-28</t>
        </is>
      </c>
    </row>
    <row r="18">
      <c r="A18" s="10" t="n">
        <v>15</v>
      </c>
      <c r="B18" s="10" t="n">
        <v>84</v>
      </c>
      <c r="C18" s="10" t="inlineStr">
        <is>
          <t>Acadian Asset Management</t>
        </is>
      </c>
      <c r="D18" s="10" t="inlineStr">
        <is>
          <t>acadian-asset.com</t>
        </is>
      </c>
      <c r="E18" s="10" t="inlineStr">
        <is>
          <t>USA (Boston, MA)</t>
        </is>
      </c>
      <c r="F18" s="10" t="inlineStr">
        <is>
          <t>Public (NYSE: AAMI) - formerly BrightSphere Investment Group, renamed Acadian Asset Management Inc. effective Jan 1, 2025</t>
        </is>
      </c>
      <c r="G18" s="10" t="inlineStr">
        <is>
          <t>Quantitative/systematic equity asset manager</t>
        </is>
      </c>
      <c r="H18" s="10" t="inlineStr">
        <is>
          <t>201-1k</t>
        </is>
      </c>
      <c r="I18" s="10" t="inlineStr">
        <is>
          <t>$505.6M total revenue, FY2024 (SEC 10-K, filed Feb 27, 2025; +18.5% YoY)</t>
        </is>
      </c>
      <c r="J18" s="10" t="inlineStr">
        <is>
          <t>Market cap ~$3.22B as of Aug 2026 (stockanalysis.com and other aggregators, NYSE: AAMI), up sharply from ~$964M in late 2024 as BrightSphere - comfortably above the $1B bar</t>
        </is>
      </c>
      <c r="K18" s="10" t="inlineStr">
        <is>
          <t>N/A - public company; Jan 2025 event was a corporate rename/restructuring, not a funding round</t>
        </is>
      </c>
      <c r="L18" s="10" t="inlineStr">
        <is>
          <t>meets parameters</t>
        </is>
      </c>
      <c r="M18" s="10" t="n">
        <v>3</v>
      </c>
      <c r="N18" s="10" t="inlineStr">
        <is>
          <t>Yes</t>
        </is>
      </c>
      <c r="O18" s="10" t="inlineStr">
        <is>
          <t>All hard filters pass: FY2024 revenue $505.6M (SEC 10-K, Feb 2025) exceeds the $100M bar; market cap ~$3.22B (Aug 2026, NYSE: AAMI) exceeds the $1B bar; headcount in 201-1k band; profitable with AUM growing ($117.3B, +13.1% YoY per 10-K); diversified institutional client base, not customer-concentrated; no F1 sponsorship ties found for Acadian or its former parent BrightSphere; publicly listed US company, no state ownership. Fit score 3/4.</t>
        </is>
      </c>
      <c r="P18" s="10" t="inlineStr">
        <is>
          <t>Quant/systematic investing brand freshly re-launched under its own name (Jan 2025) - 'data-driven precision at global scale' angle, timed to the rebrand's growth story (est)</t>
        </is>
      </c>
      <c r="Q18" s="10" t="inlineStr">
        <is>
          <t>recently renamed/restructured entity (BrightSphere -&gt; Acadian Asset Management Inc., Jan 2025) - headcount/entity boundaries still settling post-rebrand; market cap moved sharply from ~$964M (late 2024) to ~$3.2B (Aug 2026) - re-verify current figure before outreach</t>
        </is>
      </c>
      <c r="R18" s="10" t="inlineStr">
        <is>
          <t>verified-existing</t>
        </is>
      </c>
      <c r="S18" s="10" t="inlineStr">
        <is>
          <t>2026-09-28</t>
        </is>
      </c>
    </row>
    <row r="19">
      <c r="A19" s="11" t="n">
        <v>16</v>
      </c>
      <c r="B19" s="11" t="n">
        <v>64</v>
      </c>
      <c r="C19" s="11" t="inlineStr">
        <is>
          <t>Apax Partners</t>
        </is>
      </c>
      <c r="D19" s="11" t="inlineStr">
        <is>
          <t>apax.com</t>
        </is>
      </c>
      <c r="E19" s="11" t="inlineStr">
        <is>
          <t>UK (London)</t>
        </is>
      </c>
      <c r="F19" s="11" t="inlineStr">
        <is>
          <t>Private LLP, partner-owned</t>
        </is>
      </c>
      <c r="G19" s="11" t="inlineStr">
        <is>
          <t>Global private equity (tech, consumer/internet, services)</t>
        </is>
      </c>
      <c r="H19" s="11" t="inlineStr">
        <is>
          <t>201-1k</t>
        </is>
      </c>
      <c r="I19" s="11" t="inlineStr">
        <is>
          <t>GBP 248.32M (~$310M) FY2021, per Companies House filed accounts (most recent figure located); AUM grew from ~$50B to ~$77B by March 2024, implying revenue has likely held or grown since (est.)</t>
        </is>
      </c>
      <c r="J19" s="11" t="inlineStr">
        <is>
          <t>No published valuation; private LLP, partner-owned; ~$77B AUM as of March 2024 (Apax/PEI) implies a large enterprise value but no market cap/EV is disclosed</t>
        </is>
      </c>
      <c r="K19" s="11" t="inlineStr">
        <is>
          <t>N/A - not VC-backed; raises fixed-life PE funds rather than external funding rounds</t>
        </is>
      </c>
      <c r="L19" s="11" t="inlineStr">
        <is>
          <t>meets parameters</t>
        </is>
      </c>
      <c r="M19" s="11" t="n">
        <v>4</v>
      </c>
      <c r="N19" s="11" t="inlineStr">
        <is>
          <t>Stretch</t>
        </is>
      </c>
      <c r="O19" s="11" t="inlineStr">
        <is>
          <t>Hard filters pass (FY2021 revenue ~$310M clears bar; ~200-500+ employees; no F1 conflicts found; private partner ownership, no state/compliance issues). Capped at Stretch: no published valuation (employee-owned/partnership) and the only revenue figure found is four years old.</t>
        </is>
      </c>
      <c r="P19" s="11" t="inlineStr">
        <is>
          <t>Position around the 'engine behind category-defining growth companies' story - Apax's tech and consumer-sector bets map neatly onto F1's performance/technology narrative, in an open category with no PE/asset-manager sponsor on the current grid.</t>
        </is>
      </c>
      <c r="Q19" s="11" t="inlineStr">
        <is>
          <t>no published valuation (employee-owned); revenue figure is dated (FY2021 filing, most recent found)</t>
        </is>
      </c>
      <c r="R19" s="11" t="inlineStr">
        <is>
          <t>verified-existing</t>
        </is>
      </c>
      <c r="S19" s="11" t="inlineStr">
        <is>
          <t>2026-09-28</t>
        </is>
      </c>
    </row>
    <row r="20">
      <c r="A20" s="11" t="n">
        <v>17</v>
      </c>
      <c r="B20" s="11" t="n">
        <v>64</v>
      </c>
      <c r="C20" s="11" t="inlineStr">
        <is>
          <t>AQR Capital Management</t>
        </is>
      </c>
      <c r="D20" s="11" t="inlineStr">
        <is>
          <t>aqr.com</t>
        </is>
      </c>
      <c r="E20" s="11" t="inlineStr">
        <is>
          <t>USA (Greenwich, CT)</t>
        </is>
      </c>
      <c r="F20" s="11" t="inlineStr">
        <is>
          <t>Private; principals hold majority (&gt;75%), AMG (NYSE: AMG) holds a minority stake since 2004</t>
        </is>
      </c>
      <c r="G20" s="11" t="inlineStr">
        <is>
          <t>Systematic/quantitative asset management</t>
        </is>
      </c>
      <c r="H20" s="11" t="inlineStr">
        <is>
          <t>201-1k</t>
        </is>
      </c>
      <c r="I20" s="11" t="inlineStr">
        <is>
          <t>No filed revenue figure located; AUM reached ~$187-189B as of Dec 2025 (Bloomberg, 15 Dec 2025), with hedge-fund AUM up 89% YoY in 2025; revenue is estimated well over $100M given this scale and typical institutional fee structures (est.)</t>
        </is>
      </c>
      <c r="J20" s="11" t="inlineStr">
        <is>
          <t>No published valuation; private, employee-majority owned with AMG minority equity-method investment (AMG IR); $187-189B AUM (Dec 2025)</t>
        </is>
      </c>
      <c r="K20" s="11" t="inlineStr">
        <is>
          <t>N/A - not VC-backed; AMG's minority investment dates to 2004, increased in 2014-15, not a recent raise</t>
        </is>
      </c>
      <c r="L20" s="11" t="inlineStr">
        <is>
          <t>meets parameters</t>
        </is>
      </c>
      <c r="M20" s="11" t="n">
        <v>4</v>
      </c>
      <c r="N20" s="11" t="inlineStr">
        <is>
          <t>Stretch</t>
        </is>
      </c>
      <c r="O20" s="11" t="inlineStr">
        <is>
          <t>Hard filters plausibly pass on scale (est. revenue well over $100M against $187-189B AUM growing fast; no F1 conflicts found; no distress, AUM up 89% in 2025). Capped at Stretch: no published valuation (employee-owned, AMG minority stake) and no filed revenue figure exists - it is an estimate.</t>
        </is>
      </c>
      <c r="P20" s="11" t="inlineStr">
        <is>
          <t>Lead with the 2025 growth story (AUM up 89% YoY) and a data-driven, systematic quant narrative that mirrors F1's engineering/performance obsession, into an open asset-management category.</t>
        </is>
      </c>
      <c r="Q20" s="11" t="inlineStr">
        <is>
          <t>no published valuation (employee-owned); parent: AMG minority stake (no F1 ties); revenue figure is an estimate, not a filed/disclosed number</t>
        </is>
      </c>
      <c r="R20" s="11" t="inlineStr">
        <is>
          <t>verified-existing</t>
        </is>
      </c>
      <c r="S20" s="11" t="inlineStr">
        <is>
          <t>2026-09-28</t>
        </is>
      </c>
    </row>
    <row r="21">
      <c r="A21" s="11" t="n">
        <v>18</v>
      </c>
      <c r="B21" s="11" t="n">
        <v>64</v>
      </c>
      <c r="C21" s="11" t="inlineStr">
        <is>
          <t>Ardian</t>
        </is>
      </c>
      <c r="D21" s="11" t="inlineStr">
        <is>
          <t>ardian.com</t>
        </is>
      </c>
      <c r="E21" s="11" t="inlineStr">
        <is>
          <t>France (Paris)</t>
        </is>
      </c>
      <c r="F21" s="11" t="inlineStr">
        <is>
          <t>Private, employee-owned (led by Dominique Senequier)</t>
        </is>
      </c>
      <c r="G21" s="11" t="inlineStr">
        <is>
          <t>Global private equity, infrastructure and private credit</t>
        </is>
      </c>
      <c r="H21" s="11" t="inlineStr">
        <is>
          <t>1k-5k</t>
        </is>
      </c>
      <c r="I21" s="11" t="inlineStr">
        <is>
          <t>EUR 825M (~$890M) FY2024 turnover, Ardian France (SIREN 403201882) filed accounts (societe.com, 2024)</t>
        </is>
      </c>
      <c r="J21" s="11" t="inlineStr">
        <is>
          <t>No published valuation; private, employee-owned; $200B+ total assets as of Jan 2026 (Ardian corporate brochure)</t>
        </is>
      </c>
      <c r="K21" s="11" t="inlineStr">
        <is>
          <t>N/A - not VC-backed; latest fund close was a $20bn infrastructure fund raise (Ardian press release, 2025)</t>
        </is>
      </c>
      <c r="L21" s="11" t="inlineStr">
        <is>
          <t>meets parameters</t>
        </is>
      </c>
      <c r="M21" s="11" t="n">
        <v>4</v>
      </c>
      <c r="N21" s="11" t="inlineStr">
        <is>
          <t>Stretch</t>
        </is>
      </c>
      <c r="O21" s="11" t="inlineStr">
        <is>
          <t>Hard filters pass comfortably (FY2024 revenue ~$890M clears bar; &gt;1,000 employees; growing AUM with a fresh $20bn fund close in 2025; no F1 conflicts found; private employee ownership, no state/compliance issues). Capped at Stretch: no published valuation (employee-owned).</t>
        </is>
      </c>
      <c r="P21" s="11" t="inlineStr">
        <is>
          <t>Tie outreach to the 2025 $20bn infrastructure fund raise and Ardian's 'staying ahead in a changing world' global-ambition positioning - a natural match for F1's technology/infrastructure storyline, in an open PE category.</t>
        </is>
      </c>
      <c r="Q21" s="11" t="inlineStr">
        <is>
          <t>no published valuation (employee-owned)</t>
        </is>
      </c>
      <c r="R21" s="11" t="inlineStr">
        <is>
          <t>verified-existing</t>
        </is>
      </c>
      <c r="S21" s="11" t="inlineStr">
        <is>
          <t>2026-09-28</t>
        </is>
      </c>
    </row>
    <row r="22">
      <c r="A22" s="11" t="n">
        <v>19</v>
      </c>
      <c r="B22" s="11" t="n">
        <v>64</v>
      </c>
      <c r="C22" s="11" t="inlineStr">
        <is>
          <t>Baillie Gifford</t>
        </is>
      </c>
      <c r="D22" s="11" t="inlineStr">
        <is>
          <t>bailliegifford.com</t>
        </is>
      </c>
      <c r="E22" s="11" t="inlineStr">
        <is>
          <t>UK (Edinburgh)</t>
        </is>
      </c>
      <c r="F22" s="11" t="inlineStr">
        <is>
          <t>Private partnership (57 senior partners)</t>
        </is>
      </c>
      <c r="G22" s="11" t="inlineStr">
        <is>
          <t>Active long-only asset management (public + private growth equities)</t>
        </is>
      </c>
      <c r="H22" s="11" t="inlineStr">
        <is>
          <t>1k-5k</t>
        </is>
      </c>
      <c r="I22" s="11" t="inlineStr">
        <is>
          <t>GBP 336M UK fee income, Baillie Gifford &amp; Co Ltd, up ~50% YoY profit boost (Portfolio Adviser, reporting FY accounts)</t>
        </is>
      </c>
      <c r="J22" s="11" t="inlineStr">
        <is>
          <t>No published valuation; private partnership of 57 partners (2025 reporting); GBP 286.3B AUM (2025)</t>
        </is>
      </c>
      <c r="K22" s="11" t="inlineStr">
        <is>
          <t>N/A - private partnership, not VC-backed, no external funding rounds</t>
        </is>
      </c>
      <c r="L22" s="11" t="inlineStr">
        <is>
          <t>meets parameters</t>
        </is>
      </c>
      <c r="M22" s="11" t="n">
        <v>4</v>
      </c>
      <c r="N22" s="11" t="inlineStr">
        <is>
          <t>Stretch</t>
        </is>
      </c>
      <c r="O22" s="11" t="inlineStr">
        <is>
          <t>Hard filters pass (UK fee income ~GBP 336M clears bar; 1,745-1,774 employees; profits up 50% YoY, clearly not in distress; no direct F1 sponsorship ties). Capped at Stretch: no published valuation (private partnership).</t>
        </is>
      </c>
      <c r="P22" s="11" t="inlineStr">
        <is>
          <t>Baillie Gifford's long-term, growth-and-technology investing thesis (Scottish Mortgage, US Growth Trust) pairs naturally with F1's technology/global-ambition story, and its existing Fever investment gives a warm door into F1's ecosystem.</t>
        </is>
      </c>
      <c r="Q22" s="11" t="inlineStr">
        <is>
          <t>no published valuation (employee-owned); indirect F1 link: Baillie Gifford is an investor in Fever, an F1 official ticketing/fan-experience supplier through 2031 - not a sponsorship conflict, but worth noting</t>
        </is>
      </c>
      <c r="R22" s="11" t="inlineStr">
        <is>
          <t>verified-existing</t>
        </is>
      </c>
      <c r="S22" s="11" t="inlineStr">
        <is>
          <t>2026-09-28</t>
        </is>
      </c>
    </row>
    <row r="23">
      <c r="A23" s="11" t="n">
        <v>20</v>
      </c>
      <c r="B23" s="11" t="n">
        <v>64</v>
      </c>
      <c r="C23" s="11" t="inlineStr">
        <is>
          <t>Balyasny Asset Management</t>
        </is>
      </c>
      <c r="D23" s="11" t="inlineStr">
        <is>
          <t>bamfunds.com</t>
        </is>
      </c>
      <c r="E23" s="11" t="inlineStr">
        <is>
          <t>USA (Chicago)</t>
        </is>
      </c>
      <c r="F23" s="11" t="inlineStr">
        <is>
          <t>Private, founder-owned (Dmitry Balyasny)</t>
        </is>
      </c>
      <c r="G23" s="11" t="inlineStr">
        <is>
          <t>Multi-strategy hedge fund</t>
        </is>
      </c>
      <c r="H23" s="11" t="inlineStr">
        <is>
          <t>1k-5k</t>
        </is>
      </c>
      <c r="I23" s="11" t="inlineStr">
        <is>
          <t>No filed revenue figure located; 'record revenue' reported for 2025 (industry/BuiltIn coverage) against $29-37B AUM (Dec 2025); est. revenue well over $100M given scale (est.)</t>
        </is>
      </c>
      <c r="J23" s="11" t="inlineStr">
        <is>
          <t>No published valuation; private, founder-owned; $29-37B AUM (Dec 2025)</t>
        </is>
      </c>
      <c r="K23" s="11" t="inlineStr">
        <is>
          <t>N/A - not VC-backed; expanding organically (new Tokyo office, Abu Dhabi outpost, 2025-26)</t>
        </is>
      </c>
      <c r="L23" s="11" t="inlineStr">
        <is>
          <t>meets parameters</t>
        </is>
      </c>
      <c r="M23" s="11" t="n">
        <v>4</v>
      </c>
      <c r="N23" s="11" t="inlineStr">
        <is>
          <t>Stretch</t>
        </is>
      </c>
      <c r="O23" s="11" t="inlineStr">
        <is>
          <t>Hard filters plausibly pass (record revenue cited for 2025; 3,096 employees, growing headcount and footprint including new Asia/ME offices; no F1 conflicts found; founder ownership, no state/compliance issues). Capped at Stretch: no published valuation (employee-owned) and no disclosed revenue figure.</t>
        </is>
      </c>
      <c r="P23" s="11" t="inlineStr">
        <is>
          <t>Use the 2025-26 global expansion (Tokyo, Abu Dhabi) as market-timing hook, framing sponsorship as extending an aggressively growing global platform into F1's international markets.</t>
        </is>
      </c>
      <c r="Q23" s="11" t="inlineStr">
        <is>
          <t>no published valuation (employee-owned); revenue figure not disclosed - estimate only</t>
        </is>
      </c>
      <c r="R23" s="11" t="inlineStr">
        <is>
          <t>verified-existing</t>
        </is>
      </c>
      <c r="S23" s="11" t="inlineStr">
        <is>
          <t>2026-09-28</t>
        </is>
      </c>
    </row>
    <row r="24">
      <c r="A24" s="11" t="n">
        <v>21</v>
      </c>
      <c r="B24" s="11" t="n">
        <v>64</v>
      </c>
      <c r="C24" s="11" t="inlineStr">
        <is>
          <t>Brevan Howard</t>
        </is>
      </c>
      <c r="D24" s="11" t="inlineStr">
        <is>
          <t>brevanhoward.com</t>
        </is>
      </c>
      <c r="E24" s="11" t="inlineStr">
        <is>
          <t>UK/UAE (Jersey-domiciled funds, Abu Dhabi/London hubs)</t>
        </is>
      </c>
      <c r="F24" s="11" t="inlineStr">
        <is>
          <t>Private, founder-owned (Alan Howard)</t>
        </is>
      </c>
      <c r="G24" s="11" t="inlineStr">
        <is>
          <t>Macro hedge fund</t>
        </is>
      </c>
      <c r="H24" s="11" t="inlineStr">
        <is>
          <t>1k-5k</t>
        </is>
      </c>
      <c r="I24" s="11" t="inlineStr">
        <is>
          <t>$366.1M annual revenue (Growjo estimate, 2025) - a third-party estimate, not a filed figure; firm reports AUM of ~$9.8B for its flagship LP (Dec 2025 13F) up to $30B+ firm-wide across other sources</t>
        </is>
      </c>
      <c r="J24" s="11" t="inlineStr">
        <is>
          <t>No published valuation; private, founder-owned (Alan Howard)</t>
        </is>
      </c>
      <c r="K24" s="11" t="inlineStr">
        <is>
          <t>N/A - not VC-backed</t>
        </is>
      </c>
      <c r="L24" s="11" t="inlineStr">
        <is>
          <t>meets parameters</t>
        </is>
      </c>
      <c r="M24" s="11" t="n">
        <v>4</v>
      </c>
      <c r="N24" s="11" t="inlineStr">
        <is>
          <t>Stretch</t>
        </is>
      </c>
      <c r="O24" s="11" t="inlineStr">
        <is>
          <t>Hard filters plausibly pass (est. revenue ~$366M clears bar; 1,095-1,152 employees; no F1 conflicts found; founder ownership, no state/compliance issues). Capped at Stretch: no published valuation (employee-owned) plus genuine uncertainty in the revenue and AUM figures.</t>
        </is>
      </c>
      <c r="P24" s="11" t="inlineStr">
        <is>
          <t>Brevan Howard's UK/UAE dual base and push into digital assets offers a market-timing and global-ambition angle, particularly relevant given F1's growth in the Gulf region (Abu Dhabi, Qatar, Bahrain GPs).</t>
        </is>
      </c>
      <c r="Q24" s="11" t="inlineStr">
        <is>
          <t>no published valuation (employee-owned); revenue figure is an unverified third-party estimate, not filed accounts; AUM figures vary widely by source ($9.8B fund-level vs $30B+ firm-wide) - treat with caution</t>
        </is>
      </c>
      <c r="R24" s="11" t="inlineStr">
        <is>
          <t>verified-existing</t>
        </is>
      </c>
      <c r="S24" s="11" t="inlineStr">
        <is>
          <t>2026-09-28</t>
        </is>
      </c>
    </row>
    <row r="25">
      <c r="A25" s="11" t="n">
        <v>22</v>
      </c>
      <c r="B25" s="11" t="n">
        <v>64</v>
      </c>
      <c r="C25" s="11" t="inlineStr">
        <is>
          <t>Bridgewater Associates</t>
        </is>
      </c>
      <c r="D25" s="11" t="inlineStr">
        <is>
          <t>bridgewater.com</t>
        </is>
      </c>
      <c r="E25" s="11" t="inlineStr">
        <is>
          <t>USA (Westport, CT)</t>
        </is>
      </c>
      <c r="F25" s="11" t="inlineStr">
        <is>
          <t>Employee-owned (transitioned from founder Ray Dalio via IPCO Bridgewater structure, 2022)</t>
        </is>
      </c>
      <c r="G25" s="11" t="inlineStr">
        <is>
          <t>Macro hedge fund</t>
        </is>
      </c>
      <c r="H25" s="11" t="inlineStr">
        <is>
          <t>1k-5k</t>
        </is>
      </c>
      <c r="I25" s="11" t="inlineStr">
        <is>
          <t>~$0.6B (Growjo estimate, 2025) against $92-150B AUM (2025); historically reported ~$2B/yr in management fees alone at higher AUM in 2016 (Institutional Investor) - current figure is a third-party estimate</t>
        </is>
      </c>
      <c r="J25" s="11" t="inlineStr">
        <is>
          <t>No published valuation; employee-owned since the 2022 governance transition; $92-150B AUM (2025)</t>
        </is>
      </c>
      <c r="K25" s="11" t="inlineStr">
        <is>
          <t>N/A - not VC-backed</t>
        </is>
      </c>
      <c r="L25" s="11" t="inlineStr">
        <is>
          <t>meets parameters</t>
        </is>
      </c>
      <c r="M25" s="11" t="n">
        <v>4</v>
      </c>
      <c r="N25" s="11" t="inlineStr">
        <is>
          <t>Stretch</t>
        </is>
      </c>
      <c r="O25" s="11" t="inlineStr">
        <is>
          <t>Hard filters plausibly pass (est. revenue ~$600M clears bar; 1,860 employees; best-ever fund performance in 2025; no F1 conflicts found; employee ownership, no state/compliance issues). Capped at Stretch: no published valuation (employee-owned) plus a real reservation - the firm cut ~7% of staff and returned capital in 2025 even amid strong returns, raising a question over near-term marketing spend appetite.</t>
        </is>
      </c>
      <c r="P25" s="11" t="inlineStr">
        <is>
          <t>Frame around Bridgewater's best-ever 2025 performance (33% Pure Alpha) as a 'peak performance' story that mirrors F1's precision-under-pressure narrative, in an open asset-management category.</t>
        </is>
      </c>
      <c r="Q25" s="11" t="inlineStr">
        <is>
          <t>no published valuation (employee-owned); revenue figure is a third-party estimate, not filed accounts; firm deliberately right-sized in 2025 (capped/returned hedge-fund capital, ~7% staff reduction) despite best-ever 33% Pure Alpha return - a real reservation on near-term spend capacity</t>
        </is>
      </c>
      <c r="R25" s="11" t="inlineStr">
        <is>
          <t>verified-existing</t>
        </is>
      </c>
      <c r="S25" s="11" t="inlineStr">
        <is>
          <t>2026-09-28</t>
        </is>
      </c>
    </row>
    <row r="26">
      <c r="A26" s="11" t="n">
        <v>23</v>
      </c>
      <c r="B26" s="11" t="n">
        <v>64</v>
      </c>
      <c r="C26" s="11" t="inlineStr">
        <is>
          <t>Capula Investment Management</t>
        </is>
      </c>
      <c r="D26" s="11" t="inlineStr">
        <is>
          <t>capula.com</t>
        </is>
      </c>
      <c r="E26" s="11" t="inlineStr">
        <is>
          <t>UK (London/Reading)</t>
        </is>
      </c>
      <c r="F26" s="11" t="inlineStr">
        <is>
          <t>Private LLP, founder-owned (Yan Huo), AMG holds a minority stake since 2016</t>
        </is>
      </c>
      <c r="G26" s="11" t="inlineStr">
        <is>
          <t>Macro/fixed income arbitrage hedge fund</t>
        </is>
      </c>
      <c r="H26" s="11" t="inlineStr">
        <is>
          <t>201-1k</t>
        </is>
      </c>
      <c r="I26" s="11" t="inlineStr">
        <is>
          <t>GBP 591M (~$750M) turnover, Capula Investment Management LLP (Companies House filing, accounts to Dec 2023/filed 2024)</t>
        </is>
      </c>
      <c r="J26" s="11" t="inlineStr">
        <is>
          <t>No published valuation; private LLP, founder-owned with AMG minority stake since 1 July 2016 (AMG); $32B AUM (H2 2025)</t>
        </is>
      </c>
      <c r="K26" s="11" t="inlineStr">
        <is>
          <t>N/A - not VC-backed; AMG's minority investment (2016) is the only external capital event found</t>
        </is>
      </c>
      <c r="L26" s="11" t="inlineStr">
        <is>
          <t>meets parameters</t>
        </is>
      </c>
      <c r="M26" s="11" t="n">
        <v>4</v>
      </c>
      <c r="N26" s="11" t="inlineStr">
        <is>
          <t>Stretch</t>
        </is>
      </c>
      <c r="O26" s="11" t="inlineStr">
        <is>
          <t>Hard filters pass decisively (Companies House-filed turnover ~GBP 591M clears bar comfortably; ~300-400 employees; no F1 conflicts found; founder ownership with AMG minority stake, no state/compliance issues). Capped at Stretch: no published valuation (employee-owned).</t>
        </is>
      </c>
      <c r="P26" s="11" t="inlineStr">
        <is>
          <t>Capula's fund already holds a stake in Liberty Media (F1's parent company, per Q4 2025 13F) - a genuine warm-door angle to pitch a deeper sponsorship relationship built on its existing exposure to F1's own economics, alongside its precision/quant trading story.</t>
        </is>
      </c>
      <c r="Q26" s="11" t="inlineStr">
        <is>
          <t>no published valuation (employee-owned); parent: AMG minority stake (no F1 ties)</t>
        </is>
      </c>
      <c r="R26" s="11" t="inlineStr">
        <is>
          <t>verified-existing</t>
        </is>
      </c>
      <c r="S26" s="11" t="inlineStr">
        <is>
          <t>2026-09-28</t>
        </is>
      </c>
    </row>
    <row r="27">
      <c r="A27" s="11" t="n">
        <v>24</v>
      </c>
      <c r="B27" s="11" t="n">
        <v>64</v>
      </c>
      <c r="C27" s="11" t="inlineStr">
        <is>
          <t>Cinven</t>
        </is>
      </c>
      <c r="D27" s="11" t="inlineStr">
        <is>
          <t>cinven.com</t>
        </is>
      </c>
      <c r="E27" s="11" t="inlineStr">
        <is>
          <t>UK (London)</t>
        </is>
      </c>
      <c r="F27" s="11" t="inlineStr">
        <is>
          <t>Private, employee-owned partnership</t>
        </is>
      </c>
      <c r="G27" s="11" t="inlineStr">
        <is>
          <t>Global private equity</t>
        </is>
      </c>
      <c r="H27" s="11" t="inlineStr">
        <is>
          <t>201-1k</t>
        </is>
      </c>
      <c r="I27" s="11" t="inlineStr">
        <is>
          <t>GBP 326.25M (~$410M) FY2024 revenue, Cinven LLP filed accounts (Craft.co, 2024)</t>
        </is>
      </c>
      <c r="J27" s="11" t="inlineStr">
        <is>
          <t>No published valuation; private, employee-owned partnership; AUM not disclosed in available sources (est. tens of billions per prior industry reporting)</t>
        </is>
      </c>
      <c r="K27" s="11" t="inlineStr">
        <is>
          <t>N/A - not VC-backed; raises fixed-life PE funds rather than external funding rounds</t>
        </is>
      </c>
      <c r="L27" s="11" t="inlineStr">
        <is>
          <t>meets parameters</t>
        </is>
      </c>
      <c r="M27" s="11" t="n">
        <v>4</v>
      </c>
      <c r="N27" s="11" t="inlineStr">
        <is>
          <t>Stretch</t>
        </is>
      </c>
      <c r="O27" s="11" t="inlineStr">
        <is>
          <t>Hard filters pass (FY2024 revenue ~$410M clears bar comfortably; 201-500 employees; no F1 conflicts found; private employee ownership, no state/compliance issues). Capped at Stretch: no published valuation (employee-owned).</t>
        </is>
      </c>
      <c r="P27" s="11" t="inlineStr">
        <is>
          <t>Position Cinven as a European private-equity flag-bearer with no PE/asset-manager sponsor currently on the grid, leaning into a performance/returns brand story targeted at HNW and institutional decision-makers.</t>
        </is>
      </c>
      <c r="Q27" s="11" t="inlineStr">
        <is>
          <t>no published valuation (employee-owned)</t>
        </is>
      </c>
      <c r="R27" s="11" t="inlineStr">
        <is>
          <t>verified-existing</t>
        </is>
      </c>
      <c r="S27" s="11" t="inlineStr">
        <is>
          <t>2026-09-28</t>
        </is>
      </c>
    </row>
    <row r="28">
      <c r="A28" s="11" t="n">
        <v>25</v>
      </c>
      <c r="B28" s="11" t="n">
        <v>64</v>
      </c>
      <c r="C28" s="11" t="inlineStr">
        <is>
          <t>D.E. Shaw &amp; Co.</t>
        </is>
      </c>
      <c r="D28" s="11" t="inlineStr">
        <is>
          <t>deshaw.com</t>
        </is>
      </c>
      <c r="E28" s="11" t="inlineStr">
        <is>
          <t>USA</t>
        </is>
      </c>
      <c r="F28" s="11" t="inlineStr">
        <is>
          <t>Private, broadly held by senior managing directors/partners (employee-owned partnership structure; founder David Shaw stepped back from day-to-day control) — no state, gambling, alcohol, or sanctioned-country ties</t>
        </is>
      </c>
      <c r="G28" s="11" t="inlineStr">
        <is>
          <t>Systematic/multi-strategy hedge fund</t>
        </is>
      </c>
      <c r="H28" s="11" t="inlineStr">
        <is>
          <t>1k-5k</t>
        </is>
      </c>
      <c r="I28" s="11" t="inlineStr">
        <is>
          <t>Not disclosed; firm made $11.1B for investors in 2024 (Institutional Investor, Jan 2025) on AUM of ~$65-85B (2025-2026, multiple sources incl. Alternative Fund Insight, 2026); fee revenue (management + performance fees) is estimated well into the hundreds of millions to billions (est) — clears the $100M bar.</t>
        </is>
      </c>
      <c r="J28" s="11" t="inlineStr">
        <is>
          <t>No published enterprise valuation (private). Per Track A rule for employee-owned/partnership firms with no published valuation: passes on revenue alone but verdict is capped at Stretch; flag: no published valuation (employee-owned).</t>
        </is>
      </c>
      <c r="K28" s="11" t="inlineStr">
        <is>
          <t>N/A (established partnership, not a funding-round company)</t>
        </is>
      </c>
      <c r="L28" s="11" t="inlineStr">
        <is>
          <t>exceeds - mega-brand</t>
        </is>
      </c>
      <c r="M28" s="11" t="n">
        <v>4</v>
      </c>
      <c r="N28" s="11" t="inlineStr">
        <is>
          <t>Stretch</t>
        </is>
      </c>
      <c r="O28" s="11" t="inlineStr">
        <is>
          <t>All hard filters otherwise pass (revenue est. well over $100M; no F1 ties found; clean ownership; headcount and capacity strong — record 2025 gains per Alternative Fund Insight). Capped at Stretch per Track A rule: employee-owned partnership with no published valuation.</t>
        </is>
      </c>
      <c r="P28" s="11" t="inlineStr">
        <is>
          <t>Quant-engineering precision story — 25 years of systematic trading innovation as a technology-and-performance narrative paralleling F1 telemetry-driven strategy; open category for a systematic/quant hedge fund sponsor.</t>
        </is>
      </c>
      <c r="Q28" s="11" t="inlineStr">
        <is>
          <t>no published valuation (employee-owned)</t>
        </is>
      </c>
      <c r="R28" s="11" t="inlineStr">
        <is>
          <t>verified-existing</t>
        </is>
      </c>
      <c r="S28" s="11" t="inlineStr">
        <is>
          <t>2026-09-28</t>
        </is>
      </c>
    </row>
    <row r="29">
      <c r="A29" s="11" t="n">
        <v>26</v>
      </c>
      <c r="B29" s="11" t="n">
        <v>64</v>
      </c>
      <c r="C29" s="11" t="inlineStr">
        <is>
          <t>Graham Capital Management</t>
        </is>
      </c>
      <c r="D29" s="11" t="inlineStr">
        <is>
          <t>grahamcapital.com</t>
        </is>
      </c>
      <c r="E29" s="11" t="inlineStr">
        <is>
          <t>USA</t>
        </is>
      </c>
      <c r="F29" s="11" t="inlineStr">
        <is>
          <t>Private, founder-controlled (Kenneth Tropin) — no state, gambling, alcohol, or sanctioned-country ties</t>
        </is>
      </c>
      <c r="G29" s="11" t="inlineStr">
        <is>
          <t>Systematic global macro hedge fund</t>
        </is>
      </c>
      <c r="H29" s="11" t="inlineStr">
        <is>
          <t>201-1k</t>
        </is>
      </c>
      <c r="I29" s="11" t="inlineStr">
        <is>
          <t>$257.8M (2026 est, RocketReach — a third-party estimator, not company-disclosed) on AUM of $22B (Aug 1, 2026, firm data). Clears the $100M bar, though sourced from a single lower-confidence estimator.</t>
        </is>
      </c>
      <c r="J29" s="11" t="inlineStr">
        <is>
          <t>No published enterprise valuation (private, founder-owned) — passes hard bar on revenue alone; flag: founder-owned, no published valuation.</t>
        </is>
      </c>
      <c r="K29" s="11" t="inlineStr">
        <is>
          <t>N/A (established fund since 1994, not a funding-round company)</t>
        </is>
      </c>
      <c r="L29" s="11" t="inlineStr">
        <is>
          <t>meets parameters</t>
        </is>
      </c>
      <c r="M29" s="11" t="n">
        <v>4</v>
      </c>
      <c r="N29" s="11" t="inlineStr">
        <is>
          <t>Stretch</t>
        </is>
      </c>
      <c r="O29" s="11" t="inlineStr">
        <is>
          <t>Hard filters otherwise pass cleanly (AUM/scale well-established across multiple sources, no F1 ties found, clean US ownership, 30+ year stable operating history with no distress signs). Marked Stretch rather than Yes because the specific revenue figure rests on a single low-confidence third-party estimate rather than a company-disclosed or well-corroborated number.</t>
        </is>
      </c>
      <c r="P29" s="11" t="inlineStr">
        <is>
          <t>Global macro precision-trading narrative — Graham Capital's systematic, data-driven trading approach as an analog to F1's telemetry-driven, real-time decision-making; open category.</t>
        </is>
      </c>
      <c r="Q29" s="11" t="inlineStr">
        <is>
          <t>revenue figure sourced from a single third-party estimator, not company-disclosed; founder-owned, no published valuation</t>
        </is>
      </c>
      <c r="R29" s="11" t="inlineStr">
        <is>
          <t>verified-existing</t>
        </is>
      </c>
      <c r="S29" s="11" t="inlineStr">
        <is>
          <t>2026-09-28</t>
        </is>
      </c>
    </row>
    <row r="30">
      <c r="A30" s="11" t="n">
        <v>27</v>
      </c>
      <c r="B30" s="11" t="n">
        <v>64</v>
      </c>
      <c r="C30" s="11" t="inlineStr">
        <is>
          <t>Hg</t>
        </is>
      </c>
      <c r="D30" s="11" t="inlineStr">
        <is>
          <t>hgcapital.com</t>
        </is>
      </c>
      <c r="E30" s="11" t="inlineStr">
        <is>
          <t>UK</t>
        </is>
      </c>
      <c r="F30" s="11" t="inlineStr">
        <is>
          <t>Private, partner/employee-owned software-and-services PE firm — no state, gambling, alcohol, or sanctioned-country ties</t>
        </is>
      </c>
      <c r="G30" s="11" t="inlineStr">
        <is>
          <t>Software/services-focused private equity</t>
        </is>
      </c>
      <c r="H30" s="11" t="inlineStr">
        <is>
          <t>201-1k</t>
        </is>
      </c>
      <c r="I30" s="11" t="inlineStr">
        <is>
          <t>Not disclosed; AUM exceeds $100-110B (2025-2026, firm materials/GrowthCap), with portfolio companies (60+ businesses, $195B+ aggregate enterprise value) growing revenues &gt;16%/year. Applying typical PE management-fee margins (~1.5%+ of AUM) implies Hg's own fee revenue in the ~$1.5B+ range (est) — clears the $100M bar by a wide margin.</t>
        </is>
      </c>
      <c r="J30" s="11" t="inlineStr">
        <is>
          <t>No published enterprise valuation (private). Per Track A rule for employee-owned/partnership firms with no published valuation: passes on revenue alone but verdict capped at Stretch; flag: no published valuation (employee-owned).</t>
        </is>
      </c>
      <c r="K30" s="11" t="inlineStr">
        <is>
          <t>N/A (established PE partnership, not a funding-round company)</t>
        </is>
      </c>
      <c r="L30" s="11" t="inlineStr">
        <is>
          <t>exceeds - mega-brand</t>
        </is>
      </c>
      <c r="M30" s="11" t="n">
        <v>4</v>
      </c>
      <c r="N30" s="11" t="inlineStr">
        <is>
          <t>Stretch</t>
        </is>
      </c>
      <c r="O30" s="11" t="inlineStr">
        <is>
          <t>Hard filters otherwise pass cleanly (huge, well-documented scale; no F1 ties found; clean UK ownership; thriving firm — reached $100B AUM milestone in 2025, Top 3 in Europe per PEI 300). Capped at Stretch per Track A rule: employee-owned partnership with no published valuation.</t>
        </is>
      </c>
      <c r="P30" s="11" t="inlineStr">
        <is>
          <t>Software/technology growth story — Hg as the specialist force behind Europe's software economy, tying to F1's technology-and-precision engineering narrative; open category, and mega-brand scale (~$100B+ AUM) gives outsized budget headroom.</t>
        </is>
      </c>
      <c r="Q30" s="11" t="inlineStr">
        <is>
          <t>no published valuation (employee-owned)</t>
        </is>
      </c>
      <c r="R30" s="11" t="inlineStr">
        <is>
          <t>verified-existing</t>
        </is>
      </c>
      <c r="S30" s="11" t="inlineStr">
        <is>
          <t>2026-09-28</t>
        </is>
      </c>
    </row>
    <row r="31">
      <c r="A31" s="11" t="n">
        <v>28</v>
      </c>
      <c r="B31" s="11" t="n">
        <v>64</v>
      </c>
      <c r="C31" s="11" t="inlineStr">
        <is>
          <t>Marshall Wace</t>
        </is>
      </c>
      <c r="D31" s="11" t="inlineStr">
        <is>
          <t>marshallwace.com</t>
        </is>
      </c>
      <c r="E31" s="11" t="inlineStr">
        <is>
          <t>UK (London)</t>
        </is>
      </c>
      <c r="F31" s="11" t="inlineStr">
        <is>
          <t>Majority-owned by Man Group plc (public, LSE: EMG); founders (Paul Marshall, Ian Wace) retain minority stake and day-to-day control</t>
        </is>
      </c>
      <c r="G31" s="11" t="inlineStr">
        <is>
          <t>Systematic/discretionary hedge fund</t>
        </is>
      </c>
      <c r="H31" s="11" t="inlineStr">
        <is>
          <t>201-1k</t>
        </is>
      </c>
      <c r="I31" s="11" t="inlineStr">
        <is>
          <t>~$335.1M (est, third-party aggregator, undated recent figure) - unofficial; no audited public figure found</t>
        </is>
      </c>
      <c r="J31" s="11" t="inlineStr">
        <is>
          <t>N/A - majority-owned by public Man Group plc but Marshall Wace itself has no separately published valuation; AUM $82.1B (Nov 2024, Wikipedia) used as scale proxy</t>
        </is>
      </c>
      <c r="K31" s="11" t="inlineStr">
        <is>
          <t>N/A - not a funding-round company; Man Group acquired its majority stake in 2015 (undisclosed terms)</t>
        </is>
      </c>
      <c r="L31" s="11" t="inlineStr">
        <is>
          <t>meets parameters</t>
        </is>
      </c>
      <c r="M31" s="11" t="n">
        <v>4</v>
      </c>
      <c r="N31" s="11" t="inlineStr">
        <is>
          <t>Stretch</t>
        </is>
      </c>
      <c r="O31" s="11" t="inlineStr">
        <is>
          <t>Hard filters pass: revenue ~$335M (est) clears &gt;$100M bar; AUM $82.1B (Nov 2024) implies strong scale; headcount ~832-844 (2025/2026, Revelio Labs) bands 201-1k; no distress signals, AUM growing (capacity to spend); diversified institutional LP base; no F1 tie found for Marshall Wace or parent Man Group; parent is a large public group without F1 ties (kept, flagged per Track A rule). Reservation: revenue figure is an unverified third-party estimate with no official source found - real uncertainty caps this at Stretch.</t>
        </is>
      </c>
      <c r="P31" s="11" t="inlineStr">
        <is>
          <t>Systematic alpha at machine speed - quant hedge fund brand fits an open 'trading technology/data analytics' category, telling a precision-engineering story that parallels F1 strategy rooms (est).</t>
        </is>
      </c>
      <c r="Q31" s="11" t="inlineStr">
        <is>
          <t>parent: Man Group plc (majority owner, public, no F1 ties found); revenue figure sourced only from a third-party data aggregator, not an official disclosure</t>
        </is>
      </c>
      <c r="R31" s="11" t="inlineStr">
        <is>
          <t>verified-existing</t>
        </is>
      </c>
      <c r="S31" s="11" t="inlineStr">
        <is>
          <t>2026-09-28</t>
        </is>
      </c>
    </row>
    <row r="32">
      <c r="A32" s="11" t="n">
        <v>29</v>
      </c>
      <c r="B32" s="11" t="n">
        <v>64</v>
      </c>
      <c r="C32" s="11" t="inlineStr">
        <is>
          <t>Point72 Asset Management</t>
        </is>
      </c>
      <c r="D32" s="11" t="inlineStr">
        <is>
          <t>point72.com</t>
        </is>
      </c>
      <c r="E32" s="11" t="inlineStr">
        <is>
          <t>USA (Stamford, CT)</t>
        </is>
      </c>
      <c r="F32" s="11" t="inlineStr">
        <is>
          <t>Private, founder-owned (Steven A. Cohen); no published valuation</t>
        </is>
      </c>
      <c r="G32" s="11" t="inlineStr">
        <is>
          <t>Multi-strategy hedge fund</t>
        </is>
      </c>
      <c r="H32" s="11" t="inlineStr">
        <is>
          <t>1k-5k</t>
        </is>
      </c>
      <c r="I32" s="11" t="inlineStr">
        <is>
          <t>Not disclosed (private); est. well above $100M given $45.7B AUM (2026) and industry fee structures - no official figure found</t>
        </is>
      </c>
      <c r="J32" s="11" t="inlineStr">
        <is>
          <t>N/A - private, founder-owned/family office origin, no published valuation; revenue scale (est) is assumed to clear the bar independently</t>
        </is>
      </c>
      <c r="K32" s="11" t="inlineStr">
        <is>
          <t>N/A - not a funding-round company; converted from Cohen family office to outside-capital multi-strategy fund in 2014</t>
        </is>
      </c>
      <c r="L32" s="11" t="inlineStr">
        <is>
          <t>meets parameters</t>
        </is>
      </c>
      <c r="M32" s="11" t="n">
        <v>4</v>
      </c>
      <c r="N32" s="11" t="inlineStr">
        <is>
          <t>Stretch</t>
        </is>
      </c>
      <c r="O32" s="11" t="inlineStr">
        <is>
          <t>Hard filters otherwise pass: revenue est. clears &gt;$100M bar given $45.7B AUM (2026); headcount 3,000+ (2026) bands 1k-5k; no distress signals (capacity to spend); diversified institutional LP base; ownership is private/founder-owned with no sovereign ties. Real reservation: founder Steve Cohen has a reported, unconfirmed bid to acquire a 24% stake in the Alpine F1 team - this is not a 'confirmed tie' (so not an automatic No) but is a live, material conflict risk that must be resolved before outreach, capping the verdict at Stretch.</t>
        </is>
      </c>
      <c r="P32" s="11" t="inlineStr">
        <is>
          <t>Multi-strategy quant powerhouse whose own founder is already circling the F1 paddock (reported Alpine stake bid) - if that deal doesn't close, use it as a warm door into a corporate Point72 data/technology partnership in an open hedge-fund category (est).</t>
        </is>
      </c>
      <c r="Q32" s="11" t="inlineStr">
        <is>
          <t>founder Steven A. Cohen's prior firm SAC Capital pled guilty to insider trading (2013) - reputational/compliance consideration; founder Steven A. Cohen reported to have made a ~$600M bid for a 24% stake in the Alpine F1 team (Otro Capital's stake); deal not confirmed closed as of search - potential direct conflict if it closes</t>
        </is>
      </c>
      <c r="R32" s="11" t="inlineStr">
        <is>
          <t>verified-existing</t>
        </is>
      </c>
      <c r="S32" s="11" t="inlineStr">
        <is>
          <t>2026-09-28</t>
        </is>
      </c>
    </row>
    <row r="33">
      <c r="A33" s="11" t="n">
        <v>30</v>
      </c>
      <c r="B33" s="11" t="n">
        <v>64</v>
      </c>
      <c r="C33" s="11" t="inlineStr">
        <is>
          <t>Qube Research &amp; Technologies</t>
        </is>
      </c>
      <c r="D33" s="11" t="inlineStr">
        <is>
          <t>qube-rt.com</t>
        </is>
      </c>
      <c r="E33" s="11" t="inlineStr">
        <is>
          <t>UK (London)</t>
        </is>
      </c>
      <c r="F33" s="11" t="inlineStr">
        <is>
          <t>Private, employee-owned since 2018 management buyout from Credit Suisse; no published valuation</t>
        </is>
      </c>
      <c r="G33" s="11" t="inlineStr">
        <is>
          <t>Systematic/quantitative trading</t>
        </is>
      </c>
      <c r="H33" s="11" t="inlineStr">
        <is>
          <t>1k-5k</t>
        </is>
      </c>
      <c r="I33" s="11" t="inlineStr">
        <is>
          <t>~$567.1M (est, third-party aggregator, undated recent figure); UK filings reportedly show very high per-employee revenue/margins - no official audited figure independently confirmed</t>
        </is>
      </c>
      <c r="J33" s="11" t="inlineStr">
        <is>
          <t>N/A - private, employee-owned, no published valuation (per Track A carve-out, passes on revenue alone, capped at Stretch)</t>
        </is>
      </c>
      <c r="K33" s="11" t="inlineStr">
        <is>
          <t>N/A - not VC-funded; independent since 2018 buyout; AUM reported between $38B (Mar 2025) and $98.4B (13F filing, Dec 2025 quarter, likely differing methodology)</t>
        </is>
      </c>
      <c r="L33" s="11" t="inlineStr">
        <is>
          <t>meets parameters</t>
        </is>
      </c>
      <c r="M33" s="11" t="n">
        <v>4</v>
      </c>
      <c r="N33" s="11" t="inlineStr">
        <is>
          <t>Stretch</t>
        </is>
      </c>
      <c r="O33" s="11" t="inlineStr">
        <is>
          <t>Hard filters pass: revenue ~$567M (est) clears &gt;$100M bar comfortably; headcount ~1,400 (Feb 2025) bands 1k-5k; very high reported margins imply strong capacity to spend; diversified institutional LP base; no F1 team/series/driver/GP sponsorship tie found (FIA membership is governance-adjacent, not a sponsorship or conflict). Employee-owned with no published valuation - per Track A specifics passes on revenue alone but capped at Stretch and flagged.</t>
        </is>
      </c>
      <c r="P33" s="11" t="inlineStr">
        <is>
          <t>Already FIA-engaged quant trading firm - natural extension into an open 'trading technology' F1 partnership, leaning into shared precision-engineering and real-time data-processing narratives (est).</t>
        </is>
      </c>
      <c r="Q33" s="11" t="inlineStr">
        <is>
          <t>no published valuation (employee-owned); already an FIA member (per FIA 'New Member Profile' feature) - motorsport governance-adjacent, not a sponsorship tie, but a useful existing relationship for outreach</t>
        </is>
      </c>
      <c r="R33" s="11" t="inlineStr">
        <is>
          <t>verified-existing</t>
        </is>
      </c>
      <c r="S33" s="11" t="inlineStr">
        <is>
          <t>2026-09-28</t>
        </is>
      </c>
    </row>
    <row r="34">
      <c r="A34" s="11" t="n">
        <v>31</v>
      </c>
      <c r="B34" s="11" t="n">
        <v>64</v>
      </c>
      <c r="C34" s="11" t="inlineStr">
        <is>
          <t>Triton Partners</t>
        </is>
      </c>
      <c r="D34" s="11" t="inlineStr">
        <is>
          <t>triton-partners.com</t>
        </is>
      </c>
      <c r="E34" s="11" t="inlineStr">
        <is>
          <t>Luxembourg/Germany</t>
        </is>
      </c>
      <c r="F34" s="11" t="inlineStr">
        <is>
          <t>Private, employee-owned partnership</t>
        </is>
      </c>
      <c r="G34" s="11" t="inlineStr">
        <is>
          <t>European mid-market private equity and opportunistic credit ('All Weather' platform)</t>
        </is>
      </c>
      <c r="H34" s="11" t="inlineStr">
        <is>
          <t>201-1k</t>
        </is>
      </c>
      <c r="I34" s="11" t="inlineStr">
        <is>
          <t>~$154.6M (est., Owler — low-confidence third-party estimate, 2025/2026); above the &gt;$100M bar but not from a strong primary source</t>
        </is>
      </c>
      <c r="J34" s="11" t="inlineStr">
        <is>
          <t>No published valuation (private, employee-owned); AUM reported as ~€50B by desk triage vs. ~$14B found independently (Owler/PE-list data) — conflicting, unverified figures</t>
        </is>
      </c>
      <c r="K34" s="11" t="inlineStr">
        <is>
          <t>N/A — PE fund manager, not itself VC-backed</t>
        </is>
      </c>
      <c r="L34" s="11" t="inlineStr">
        <is>
          <t>meets parameters</t>
        </is>
      </c>
      <c r="M34" s="11" t="n">
        <v>4</v>
      </c>
      <c r="N34" s="11" t="inlineStr">
        <is>
          <t>Stretch</t>
        </is>
      </c>
      <c r="O34" s="11" t="inlineStr">
        <is>
          <t>Hard filters nominally pass (revenue est. above $100M; ~529 employees per March 2026 data; no F1 ties found; no compliance issues), but the firm is employee-owned with no published valuation, which the Track A brief explicitly caps at Stretch regardless of fit score. Compounding reservation: revenue and AUM figures come from low-confidence/conflicting third-party sources and should be verified directly with the firm before outreach.</t>
        </is>
      </c>
      <c r="P34" s="11" t="inlineStr">
        <is>
          <t>Frame around the 'All Weather' platform's pan-European, multi-continent value-creation story for mid-market portfolio companies — verify AUM/revenue figures with the firm before pitching an open PE-category slot.</t>
        </is>
      </c>
      <c r="Q34" s="11" t="inlineStr">
        <is>
          <t>no published valuation (employee-owned) — per Track A rules, caps verdict at Stretch; revenue estimate (~$154.6M) is low-confidence third-party data; AUM figures conflict between sources (€50B claimed vs ~$14B found) — needs firm verification</t>
        </is>
      </c>
      <c r="R34" s="11" t="inlineStr">
        <is>
          <t>verified-existing</t>
        </is>
      </c>
      <c r="S34" s="11" t="inlineStr">
        <is>
          <t>2026-09-28</t>
        </is>
      </c>
    </row>
    <row r="35">
      <c r="A35" s="11" t="n">
        <v>32</v>
      </c>
      <c r="B35" s="11" t="n">
        <v>64</v>
      </c>
      <c r="C35" s="11" t="inlineStr">
        <is>
          <t>Tudor Investment Corporation</t>
        </is>
      </c>
      <c r="D35" s="11" t="inlineStr">
        <is>
          <t>tudor.com</t>
        </is>
      </c>
      <c r="E35" s="11" t="inlineStr">
        <is>
          <t>USA</t>
        </is>
      </c>
      <c r="F35" s="11" t="inlineStr">
        <is>
          <t>Private, founder-owned (Paul Tudor Jones)</t>
        </is>
      </c>
      <c r="G35" s="11" t="inlineStr">
        <is>
          <t>Global macro hedge fund</t>
        </is>
      </c>
      <c r="H35" s="11" t="inlineStr">
        <is>
          <t>201-1k</t>
        </is>
      </c>
      <c r="I35" s="11" t="inlineStr">
        <is>
          <t>Not publicly disclosed; est. comfortably &gt;$100M given $106,842,033,000 in regulatory AUM as of 31 Dec 2025 (Form ADV) and typical macro-fund fee economics (est.)</t>
        </is>
      </c>
      <c r="J35" s="11" t="inlineStr">
        <is>
          <t>No published valuation (private, founder-owned); $106.8B regulatory AUM (Dec 31 2025, SEC Form ADV) used as scale proxy — treated like the family-owned exception</t>
        </is>
      </c>
      <c r="K35" s="11" t="inlineStr">
        <is>
          <t>N/A — hedge fund manager, not VC-backed</t>
        </is>
      </c>
      <c r="L35" s="11" t="inlineStr">
        <is>
          <t>meets parameters</t>
        </is>
      </c>
      <c r="M35" s="11" t="n">
        <v>4</v>
      </c>
      <c r="N35" s="11" t="inlineStr">
        <is>
          <t>Stretch</t>
        </is>
      </c>
      <c r="O35" s="11" t="inlineStr">
        <is>
          <t>Hard filters pass: $106.8B AUM (Dec 2025) implies revenue well above the $100M bar; 201-1k employees (406 reported for 2025); founder-owned with no compliance issues; no genuine F1 tie for Tudor Investment Corporation itself. Real reservations: the revenue figure is estimated rather than disclosed, and the firm shares its exact name with TUDOR, the Swiss watch brand that is a current, confirmed sponsor of the Visa Cash App RB (Racing Bulls) F1 team — a wholly separate, unrelated company, but a naming collision that needs to be cleared up before any outreach.</t>
        </is>
      </c>
      <c r="P35" s="11" t="inlineStr">
        <is>
          <t>Global macro trading as a 'reading complex systems in real time' story — an open hedge-fund/macro category, but clear the TUDOR-watch naming collision with the Racing Bulls sponsorship before any outreach messaging.</t>
        </is>
      </c>
      <c r="Q35" s="11" t="inlineStr">
        <is>
          <t>no published valuation (founder-owned, private) — treated like the family-owned exception as a judgment call; revenue is an AUM-based estimate, not a disclosed figure; name collision: TUDOR the watch brand (an unrelated company) is an active sponsor of the Visa Cash App RB / Racing Bulls F1 team — verify no confusion before outreach</t>
        </is>
      </c>
      <c r="R35" s="11" t="inlineStr">
        <is>
          <t>verified-existing</t>
        </is>
      </c>
      <c r="S35" s="11" t="inlineStr">
        <is>
          <t>2026-09-28</t>
        </is>
      </c>
    </row>
    <row r="36">
      <c r="A36" s="11" t="n">
        <v>33</v>
      </c>
      <c r="B36" s="11" t="n">
        <v>64</v>
      </c>
      <c r="C36" s="11" t="inlineStr">
        <is>
          <t>Verition Fund Management</t>
        </is>
      </c>
      <c r="D36" s="11" t="inlineStr">
        <is>
          <t>verition.com</t>
        </is>
      </c>
      <c r="E36" s="11" t="inlineStr">
        <is>
          <t>USA</t>
        </is>
      </c>
      <c r="F36" s="11" t="inlineStr">
        <is>
          <t>Private, founder-owned (Nicholas Maounis); AMG (NYSE-listed Affiliated Managers Group) holds an undisclosed minority equity stake</t>
        </is>
      </c>
      <c r="G36" s="11" t="inlineStr">
        <is>
          <t>Multi-strategy hedge fund</t>
        </is>
      </c>
      <c r="H36" s="11" t="inlineStr">
        <is>
          <t>201-1k</t>
        </is>
      </c>
      <c r="I36" s="11" t="inlineStr">
        <is>
          <t>~$438.2M (est., Growjo — low-confidence third-party estimate, 2025/2026); above &gt;$100M bar but not from a strong primary source</t>
        </is>
      </c>
      <c r="J36" s="11" t="inlineStr">
        <is>
          <t>No published valuation (private, founder-owned; minority stake held by publicly listed AMG); $14.2B AUM as of 31 Dec 2025 used as scale proxy — treated like the family-owned exception</t>
        </is>
      </c>
      <c r="K36" s="11" t="inlineStr">
        <is>
          <t>N/A — hedge fund manager, not VC-backed</t>
        </is>
      </c>
      <c r="L36" s="11" t="inlineStr">
        <is>
          <t>meets parameters</t>
        </is>
      </c>
      <c r="M36" s="11" t="n">
        <v>4</v>
      </c>
      <c r="N36" s="11" t="inlineStr">
        <is>
          <t>Stretch</t>
        </is>
      </c>
      <c r="O36" s="11" t="inlineStr">
        <is>
          <t>Hard filters nominally pass (revenue est. ~$438.2M, AUM $14.2B, ~450-500 employees, founder-owned with no compliance issues, no F1 ties found), but the revenue figure comes from a low-reliability aggregator and AMG's undisclosed minority stake muddies the ownership/valuation picture, so this is not a clean pass.</t>
        </is>
      </c>
      <c r="P36" s="11" t="inlineStr">
        <is>
          <t>Multi-strategy 'diversified alpha, disciplined risk' story for institutional allocators — an open hedge-fund category, but confirm revenue/AUM and the AMG minority-stake structure before pitching (est).</t>
        </is>
      </c>
      <c r="Q36" s="11" t="inlineStr">
        <is>
          <t>no published valuation (founder-owned, private) — treated like the family-owned exception as a judgment call; revenue estimate (~$438.2M) from a low-reliability aggregator (Growjo); AMG (NYSE-listed) holds an undisclosed minority stake — ownership picture not fully clear</t>
        </is>
      </c>
      <c r="R36" s="11" t="inlineStr">
        <is>
          <t>verified-existing</t>
        </is>
      </c>
      <c r="S36" s="11" t="inlineStr">
        <is>
          <t>2026-09-28</t>
        </is>
      </c>
    </row>
    <row r="37">
      <c r="A37" s="11" t="n">
        <v>34</v>
      </c>
      <c r="B37" s="11" t="n">
        <v>64</v>
      </c>
      <c r="C37" s="11" t="inlineStr">
        <is>
          <t>Fidelity International</t>
        </is>
      </c>
      <c r="D37" s="11" t="inlineStr">
        <is>
          <t>fidelityinternational.com</t>
        </is>
      </c>
      <c r="E37" s="11" t="inlineStr">
        <is>
          <t>UK</t>
        </is>
      </c>
      <c r="F37" s="11" t="inlineStr">
        <is>
          <t>Private; reported as a Johnson-family minority stake (~40%) plus broad employee ownership (FIL Limited) — a separate company from the US-based Fidelity Investments/FMR LLC, which is majority Johnson-family owned</t>
        </is>
      </c>
      <c r="G37" s="11" t="inlineStr">
        <is>
          <t>Traditional/international asset manager (funds, retirement, wealth platforms) outside the US/Canada</t>
        </is>
      </c>
      <c r="H37" s="11" t="inlineStr">
        <is>
          <t>5k-10k</t>
        </is>
      </c>
      <c r="I37" s="11" t="inlineStr">
        <is>
          <t>Not independently verified for Fidelity International specifically before the session's search budget ended; scale strongly implies &gt;$100M given $1,086B AUM (Dec 2025) — flagged as a data gap requiring a follow-up search</t>
        </is>
      </c>
      <c r="J37" s="11" t="inlineStr">
        <is>
          <t>No published valuation; $1,086B AUM as of 31 Dec 2025 (company data) used as scale proxy; ownership described as family-minority + employee-owned, closer to the brief's employee-owned case than pure family-owned</t>
        </is>
      </c>
      <c r="K37" s="11" t="inlineStr">
        <is>
          <t>N/A — private asset manager, not VC-backed</t>
        </is>
      </c>
      <c r="L37" s="11" t="inlineStr">
        <is>
          <t>exceeds - mega-brand</t>
        </is>
      </c>
      <c r="M37" s="11" t="n">
        <v>4</v>
      </c>
      <c r="N37" s="11" t="inlineStr">
        <is>
          <t>Stretch</t>
        </is>
      </c>
      <c r="O37" s="11" t="inlineStr">
        <is>
          <t>Scale is not in doubt ($1,086B AUM, Dec 2025, implying revenue far above the $100M bar) and no F1 tie was found for FIL, but ownership is reported as a Johnson-family minority stake plus broad employee ownership — closer to the brief's employee-owned case, which caps the verdict at Stretch — and the session's search budget ended before FIL-specific revenue and current headcount could be independently confirmed (the input's 5,000-10,000 band is used as a reasonable but unverified estimate).</t>
        </is>
      </c>
      <c r="P37" s="11" t="inlineStr">
        <is>
          <t>Global wealth/retirement-investing brand telling an 'invest in what moves the world forward' story to millions of affluent savers — an open asset-manager category, pending a follow-up verification pass on FIL-specific financials and ownership.</t>
        </is>
      </c>
      <c r="Q37" s="11" t="inlineStr">
        <is>
          <t>no published valuation (employee/family-owned mix) — per Track A rules, caps verdict at Stretch; headcount and revenue figures not independently re-verified for FIL specifically after search budget ended (initial results returned data for the separate US company Fidelity Investments/FMR LLC, which was excluded as a different entity); ownership split between Johnson-family minority stake and employee ownership is reported inconsistently across sources — recommend firm-level verification</t>
        </is>
      </c>
      <c r="R37" s="11" t="inlineStr">
        <is>
          <t>verified-existing</t>
        </is>
      </c>
      <c r="S37" s="11" t="inlineStr">
        <is>
          <t>2026-09-28</t>
        </is>
      </c>
    </row>
    <row r="38">
      <c r="A38" s="11" t="n">
        <v>35</v>
      </c>
      <c r="B38" s="11" t="n">
        <v>64</v>
      </c>
      <c r="C38" s="11" t="inlineStr">
        <is>
          <t>Clayton, Dubilier &amp; Rice</t>
        </is>
      </c>
      <c r="D38" s="11" t="inlineStr">
        <is>
          <t>cdr-inc.com</t>
        </is>
      </c>
      <c r="E38" s="11" t="inlineStr">
        <is>
          <t>New York, USA</t>
        </is>
      </c>
      <c r="F38" s="11" t="inlineStr">
        <is>
          <t>Private, partner/employee-owned; no state or foreign-government ownership found</t>
        </is>
      </c>
      <c r="G38" s="11" t="inlineStr">
        <is>
          <t>Global buyout private equity (industrials, healthcare, financial services, consumer)</t>
        </is>
      </c>
      <c r="H38" s="11" t="inlineStr">
        <is>
          <t>201-1k</t>
        </is>
      </c>
      <c r="I38" s="11" t="inlineStr">
        <is>
          <t>No published financial-statement revenue (private firm); manages ~$87.4B AUM per SEC Form ADV filing (Apr 2026, via FinTRX) — at typical 1.5-2% fee rates this implies well over $100M/yr in fee revenue (est)</t>
        </is>
      </c>
      <c r="J38" s="11" t="inlineStr">
        <is>
          <t>No published firm-level valuation as of Sep 2026; privately held by partners, no equity stake sale or IPO on record</t>
        </is>
      </c>
      <c r="K38" s="11" t="inlineStr">
        <is>
          <t>CD&amp;R Fund XII closed at ~$26B in 2023 (most recent flagship buyout fund)</t>
        </is>
      </c>
      <c r="L38" s="11" t="inlineStr">
        <is>
          <t>exceeds - mega-brand</t>
        </is>
      </c>
      <c r="M38" s="11" t="n">
        <v>4</v>
      </c>
      <c r="N38" s="11" t="inlineStr">
        <is>
          <t>Stretch</t>
        </is>
      </c>
      <c r="O38" s="11" t="inlineStr">
        <is>
          <t>Hard filters pass (AUM-scale fee revenue clears the $100M bar, no F1 conflicts found, clean ownership, headcount 201-1k, fit=4), but capped at Stretch: privately held by partners with no published valuation (per Track A rule for employee-owned/partnership firms).</t>
        </is>
      </c>
      <c r="P38" s="11" t="inlineStr">
        <is>
          <t>Open financial-services/asset-management sponsorship category on the grid — position CD&amp;R as the 'operational precision' investor, reaching its global network of portfolio-company CEOs and institutional LPs (pensions, sovereign funds).</t>
        </is>
      </c>
      <c r="Q38" s="11" t="inlineStr">
        <is>
          <t>no published valuation (employee-owned)</t>
        </is>
      </c>
      <c r="R38" s="11" t="inlineStr">
        <is>
          <t>verified-existing</t>
        </is>
      </c>
      <c r="S38" s="11" t="inlineStr">
        <is>
          <t>2026-09-28</t>
        </is>
      </c>
    </row>
    <row r="39">
      <c r="A39" s="11" t="n">
        <v>36</v>
      </c>
      <c r="B39" s="11" t="n">
        <v>64</v>
      </c>
      <c r="C39" s="11" t="inlineStr">
        <is>
          <t>Coatue Management</t>
        </is>
      </c>
      <c r="D39" s="11" t="inlineStr">
        <is>
          <t>coatue.com</t>
        </is>
      </c>
      <c r="E39" s="11" t="inlineStr">
        <is>
          <t>New York, USA</t>
        </is>
      </c>
      <c r="F39" s="11" t="inlineStr">
        <is>
          <t>Private, founder/partner-owned (Philippe Laffont); no state ownership found</t>
        </is>
      </c>
      <c r="G39" s="11" t="inlineStr">
        <is>
          <t>Growth equity, venture and hedge-fund investing, tech-focused crossover manager</t>
        </is>
      </c>
      <c r="H39" s="11" t="inlineStr">
        <is>
          <t>51-200</t>
        </is>
      </c>
      <c r="I39" s="11" t="inlineStr">
        <is>
          <t>No published revenue; AUM reported between ~$70B (Wikipedia, 2022) and $92.7B (FinTRX, 2026) — management + performance fees on that scale imply well over $100M/yr (est)</t>
        </is>
      </c>
      <c r="J39" s="11" t="inlineStr">
        <is>
          <t>No published firm-level valuation; privately held, no stake sale/IPO on record as of Sep 2026</t>
        </is>
      </c>
      <c r="K39" s="11" t="inlineStr">
        <is>
          <t>Actively deploys growth/venture funds on a multi-year cycle; exact size of the most recent flagship vintage not independently confirmed in this search (est ongoing fundraising)</t>
        </is>
      </c>
      <c r="L39" s="11" t="inlineStr">
        <is>
          <t>exceeds - mega-brand</t>
        </is>
      </c>
      <c r="M39" s="11" t="n">
        <v>4</v>
      </c>
      <c r="N39" s="11" t="inlineStr">
        <is>
          <t>Stretch</t>
        </is>
      </c>
      <c r="O39" s="11" t="inlineStr">
        <is>
          <t>Hard filters pass (fee revenue on $70-92B AUM, no F1 ties found, clean ownership, headcount 51-200, fit=4), but capped Stretch for lack of a published valuation at this privately-held, founder-controlled manager.</t>
        </is>
      </c>
      <c r="P39" s="11" t="inlineStr">
        <is>
          <t>Tech-and-data-driven investing narrative pairs naturally with F1's real-time telemetry/analytics story — pitch a 'precision at speed' partnership targeting Coatue's tech-founder and LP network.</t>
        </is>
      </c>
      <c r="Q39" s="11" t="inlineStr">
        <is>
          <t>no published valuation (employee-owned)</t>
        </is>
      </c>
      <c r="R39" s="11" t="inlineStr">
        <is>
          <t>verified-existing</t>
        </is>
      </c>
      <c r="S39" s="11" t="inlineStr">
        <is>
          <t>2026-09-28</t>
        </is>
      </c>
    </row>
    <row r="40">
      <c r="A40" s="11" t="n">
        <v>37</v>
      </c>
      <c r="B40" s="11" t="n">
        <v>64</v>
      </c>
      <c r="C40" s="11" t="inlineStr">
        <is>
          <t>Insight Partners</t>
        </is>
      </c>
      <c r="D40" s="11" t="inlineStr">
        <is>
          <t>insightpartners.com</t>
        </is>
      </c>
      <c r="E40" s="11" t="inlineStr">
        <is>
          <t>New York, USA</t>
        </is>
      </c>
      <c r="F40" s="11" t="inlineStr">
        <is>
          <t>Private, partner/employee-owned; no state ownership found</t>
        </is>
      </c>
      <c r="G40" s="11" t="inlineStr">
        <is>
          <t>Software-focused growth equity and venture capital</t>
        </is>
      </c>
      <c r="H40" s="11" t="inlineStr">
        <is>
          <t>201-1k</t>
        </is>
      </c>
      <c r="I40" s="11" t="inlineStr">
        <is>
          <t>No published revenue; ~$90B AUM (2025, multiple sources) implies management-fee revenue well over $100M/yr (est)</t>
        </is>
      </c>
      <c r="J40" s="11" t="inlineStr">
        <is>
          <t>No published firm-level valuation; privately held, no stake sale/IPO on record</t>
        </is>
      </c>
      <c r="K40" s="11" t="inlineStr">
        <is>
          <t>Insight Partners Fund XIII closed at $12.5B in Jan 2023 (most recent flagship fund)</t>
        </is>
      </c>
      <c r="L40" s="11" t="inlineStr">
        <is>
          <t>exceeds - mega-brand</t>
        </is>
      </c>
      <c r="M40" s="11" t="n">
        <v>4</v>
      </c>
      <c r="N40" s="11" t="inlineStr">
        <is>
          <t>Stretch</t>
        </is>
      </c>
      <c r="O40" s="11" t="inlineStr">
        <is>
          <t>Hard filters pass (fee revenue on ~$90B AUM, no F1 ties found, clean ownership, headcount 201-1k, fit=4), but capped Stretch for no published valuation.</t>
        </is>
      </c>
      <c r="P40" s="11" t="inlineStr">
        <is>
          <t>Position Insight as the 'ScaleUp' capital partner for software companies chasing global growth — align with F1's existing technology-sponsor cluster (AWS, Salesforce, Lenovo) as the growth-capital counterpart.</t>
        </is>
      </c>
      <c r="Q40" s="11" t="inlineStr">
        <is>
          <t>no published valuation (employee-owned); headcount reported down ~18% since 2023 (847 to 697 as of Mar 2026) — minor caution, not disqualifying given AUM/fundraising remain strong</t>
        </is>
      </c>
      <c r="R40" s="11" t="inlineStr">
        <is>
          <t>verified-existing</t>
        </is>
      </c>
      <c r="S40" s="11" t="inlineStr">
        <is>
          <t>2026-09-28</t>
        </is>
      </c>
    </row>
    <row r="41">
      <c r="A41" s="11" t="n">
        <v>38</v>
      </c>
      <c r="B41" s="11" t="n">
        <v>64</v>
      </c>
      <c r="C41" s="11" t="inlineStr">
        <is>
          <t>Third Point</t>
        </is>
      </c>
      <c r="D41" s="11" t="inlineStr">
        <is>
          <t>thirdpoint.com</t>
        </is>
      </c>
      <c r="E41" s="11" t="inlineStr">
        <is>
          <t>New York, USA</t>
        </is>
      </c>
      <c r="F41" s="11" t="inlineStr">
        <is>
          <t>Private, founder-owned (Daniel Loeb, sole CIO/CEO); no state ownership found</t>
        </is>
      </c>
      <c r="G41" s="11" t="inlineStr">
        <is>
          <t>Activist and event-driven hedge fund management</t>
        </is>
      </c>
      <c r="H41" s="11" t="inlineStr">
        <is>
          <t>51-200</t>
        </is>
      </c>
      <c r="I41" s="11" t="inlineStr">
        <is>
          <t>No published revenue; ~$24-28.7B AUM (2026, multiple sources) implies management + performance fee revenue over $100M/yr (est)</t>
        </is>
      </c>
      <c r="J41" s="11" t="inlineStr">
        <is>
          <t>No published firm-level valuation</t>
        </is>
      </c>
      <c r="K41" s="11" t="inlineStr">
        <is>
          <t>N/A — open-ended hedge fund vehicle, not a staged VC-style raise; no recent capital-raise datapoint found</t>
        </is>
      </c>
      <c r="L41" s="11" t="inlineStr">
        <is>
          <t>meets parameters</t>
        </is>
      </c>
      <c r="M41" s="11" t="n">
        <v>4</v>
      </c>
      <c r="N41" s="11" t="inlineStr">
        <is>
          <t>Stretch</t>
        </is>
      </c>
      <c r="O41" s="11" t="inlineStr">
        <is>
          <t>Hard filters pass (fee revenue on $24-28.7B AUM, no F1 ties found, clean ownership, headcount 51-200, fit=4), but capped Stretch for no published valuation at this founder-controlled fund.</t>
        </is>
      </c>
      <c r="P41" s="11" t="inlineStr">
        <is>
          <t>Loeb's high-profile, media-savvy personal brand plus Third Point's concentrated 'best ideas' investing style suits a founder-led F1 partnership narrative around conviction and precision under pressure.</t>
        </is>
      </c>
      <c r="Q41" s="11" t="inlineStr">
        <is>
          <t>no published valuation (employee/founder-owned)</t>
        </is>
      </c>
      <c r="R41" s="11" t="inlineStr">
        <is>
          <t>verified-existing</t>
        </is>
      </c>
      <c r="S41" s="11" t="inlineStr">
        <is>
          <t>2026-09-28</t>
        </is>
      </c>
    </row>
    <row r="42">
      <c r="A42" s="11" t="n">
        <v>39</v>
      </c>
      <c r="B42" s="11" t="n">
        <v>64</v>
      </c>
      <c r="C42" s="11" t="inlineStr">
        <is>
          <t>Tiger Global Management</t>
        </is>
      </c>
      <c r="D42" s="11" t="inlineStr">
        <is>
          <t>tigerglobal.com</t>
        </is>
      </c>
      <c r="E42" s="11" t="inlineStr">
        <is>
          <t>New York, USA</t>
        </is>
      </c>
      <c r="F42" s="11" t="inlineStr">
        <is>
          <t>Private, founder-owned (Chase Coleman); no state ownership found</t>
        </is>
      </c>
      <c r="G42" s="11" t="inlineStr">
        <is>
          <t>Tech-focused hedge fund and growth equity investing</t>
        </is>
      </c>
      <c r="H42" s="11" t="inlineStr">
        <is>
          <t>201-1k</t>
        </is>
      </c>
      <c r="I42" s="11" t="inlineStr">
        <is>
          <t>No published revenue; ~$78-79B AUM (2026, FinTRX/other) implies management + performance fee revenue well over $100M/yr (est)</t>
        </is>
      </c>
      <c r="J42" s="11" t="inlineStr">
        <is>
          <t>No published firm-level valuation</t>
        </is>
      </c>
      <c r="K42" s="11" t="inlineStr">
        <is>
          <t>Last dedicated growth vehicle (PIP 15) raised ~$6.7B in 2021; no major new flagship fund confirmed since (est)</t>
        </is>
      </c>
      <c r="L42" s="11" t="inlineStr">
        <is>
          <t>exceeds - mega-brand</t>
        </is>
      </c>
      <c r="M42" s="11" t="n">
        <v>4</v>
      </c>
      <c r="N42" s="11" t="inlineStr">
        <is>
          <t>Stretch</t>
        </is>
      </c>
      <c r="O42" s="11" t="inlineStr">
        <is>
          <t>Hard filters pass (fee revenue on ~$78-79B AUM, no F1 ties found, clean ownership, headcount 201-1k, fit=4), but capped Stretch for no published valuation and the firm's history of a major 2022 drawdown despite since-recovered AUM.</t>
        </is>
      </c>
      <c r="P42" s="11" t="inlineStr">
        <is>
          <t>Tiger Global's global tech-growth thesis (from Series A to public markets, across US/Asia/LatAm) mirrors F1's global-market expansion story — an angle built around 'backing category leaders worldwide.'</t>
        </is>
      </c>
      <c r="Q42" s="11" t="inlineStr">
        <is>
          <t>no published valuation (employee/founder-owned); AUM fell sharply in the 2022 drawdown, since recovered to ~$78-79B by 2026 — noted as context, not disqualifying</t>
        </is>
      </c>
      <c r="R42" s="11" t="inlineStr">
        <is>
          <t>verified-existing</t>
        </is>
      </c>
      <c r="S42" s="11" t="inlineStr">
        <is>
          <t>2026-09-28</t>
        </is>
      </c>
    </row>
    <row r="43">
      <c r="A43" s="11" t="n">
        <v>40</v>
      </c>
      <c r="B43" s="11" t="n">
        <v>64</v>
      </c>
      <c r="C43" s="11" t="inlineStr">
        <is>
          <t>Voleon Group</t>
        </is>
      </c>
      <c r="D43" s="11" t="inlineStr">
        <is>
          <t>voleon.com</t>
        </is>
      </c>
      <c r="E43" s="11" t="inlineStr">
        <is>
          <t>Berkeley, USA</t>
        </is>
      </c>
      <c r="F43" s="11" t="inlineStr">
        <is>
          <t>Private, founder-owned (Jon McAuliffe); no state ownership found</t>
        </is>
      </c>
      <c r="G43" s="11" t="inlineStr">
        <is>
          <t>Machine-learning-driven systematic/quantitative hedge fund</t>
        </is>
      </c>
      <c r="H43" s="11" t="inlineStr">
        <is>
          <t>201-1k</t>
        </is>
      </c>
      <c r="I43" s="11" t="inlineStr">
        <is>
          <t>No published revenue; ~$23.4B AUM (as of Jan 2026) implies management + performance fee revenue over $100M/yr (est)</t>
        </is>
      </c>
      <c r="J43" s="11" t="inlineStr">
        <is>
          <t>No published firm-level valuation</t>
        </is>
      </c>
      <c r="K43" s="11" t="inlineStr">
        <is>
          <t>N/A — closed-end systematic fund, not raising VC-style capital; steady AUM growth reported (headcount up ~9% YoY in 2026) (est)</t>
        </is>
      </c>
      <c r="L43" s="11" t="inlineStr">
        <is>
          <t>meets parameters</t>
        </is>
      </c>
      <c r="M43" s="11" t="n">
        <v>4</v>
      </c>
      <c r="N43" s="11" t="inlineStr">
        <is>
          <t>Stretch</t>
        </is>
      </c>
      <c r="O43" s="11" t="inlineStr">
        <is>
          <t>Hard filters pass (fee revenue on $23.4B AUM, no F1 ties found, clean ownership, headcount 201-1k, fit=4), but capped Stretch for no published valuation at this founder-controlled fund.</t>
        </is>
      </c>
      <c r="P43" s="11" t="inlineStr">
        <is>
          <t>Machine-learning/quant-precision story is the closest brand match on this list to F1's data-and-algorithm-driven racing — pitch 'the mathematics of winning' as a technology-partner narrative.</t>
        </is>
      </c>
      <c r="Q43" s="11" t="inlineStr">
        <is>
          <t>no published valuation (employee/founder-owned)</t>
        </is>
      </c>
      <c r="R43" s="11" t="inlineStr">
        <is>
          <t>verified-existing</t>
        </is>
      </c>
      <c r="S43" s="11" t="inlineStr">
        <is>
          <t>2026-09-28</t>
        </is>
      </c>
    </row>
    <row r="44">
      <c r="A44" s="11" t="n">
        <v>41</v>
      </c>
      <c r="B44" s="11" t="n">
        <v>58</v>
      </c>
      <c r="C44" s="11" t="inlineStr">
        <is>
          <t>Eurazeo</t>
        </is>
      </c>
      <c r="D44" s="11" t="inlineStr">
        <is>
          <t>eurazeo.com</t>
        </is>
      </c>
      <c r="E44" s="11" t="inlineStr">
        <is>
          <t>France</t>
        </is>
      </c>
      <c r="F44" s="11" t="inlineStr">
        <is>
          <t>Public (Euronext Paris: RF), CAC Mid 60 constituent; no majority state, gambling, alcohol, or sanctioned-country ownership</t>
        </is>
      </c>
      <c r="G44" s="11" t="inlineStr">
        <is>
          <t>Diversified private equity / asset management</t>
        </is>
      </c>
      <c r="H44" s="11" t="inlineStr">
        <is>
          <t>201-1k (est; not independently reconfirmed this run)</t>
        </is>
      </c>
      <c r="I44" s="11" t="inlineStr">
        <is>
          <t>Reported figures were inconsistent across sources: companiesmarketcap.com shows ~$0.48B (2025) vs ~$0.39B (2024), while another aggregator cited a much smaller €42.71M figure for the parent entity alone — likely a single-entity vs. consolidated-group discrepancy. Consolidated group revenue clears $100M on the more reliable aggregate figures (est, Sep 2026 pull).</t>
        </is>
      </c>
      <c r="J44" s="11" t="inlineStr">
        <is>
          <t>Market cap $3.51B / ~€2.99B (Sep 2026, companiesmarketcap.com) — clears the $1B hard bar.</t>
        </is>
      </c>
      <c r="K44" s="11" t="inlineStr">
        <is>
          <t>N/A (public company); AUM grew +9% to over €40B in H1 2026 (Eurazeo newsroom).</t>
        </is>
      </c>
      <c r="L44" s="11" t="inlineStr">
        <is>
          <t>meets parameters</t>
        </is>
      </c>
      <c r="M44" s="11" t="n">
        <v>3</v>
      </c>
      <c r="N44" s="11" t="inlineStr">
        <is>
          <t>Stretch</t>
        </is>
      </c>
      <c r="O44" s="11" t="inlineStr">
        <is>
          <t>Valuation hard bar clearly passes ($3.51B market cap); other hard filters pass (no F1 ties found; clean public ownership; profitable and growing AUM, no distress). Real reservation: revenue figure is uncertain/inconsistent across sources, so marked Stretch rather than Yes.</t>
        </is>
      </c>
      <c r="P44" s="11" t="inlineStr">
        <is>
          <t>European growth-capital brand story — Eurazeo as backer of ambitious global growth companies, tying to F1's own market-expansion narrative (Cadillac's US entry, Audi's 2026 debut); also a route to reach Eurazeo's private-wealth/HNW investor base via hospitality.</t>
        </is>
      </c>
      <c r="Q44" s="11" t="inlineStr">
        <is>
          <t>revenue figures inconsistent across sources (parent-entity vs. consolidated)</t>
        </is>
      </c>
      <c r="R44" s="11" t="inlineStr">
        <is>
          <t>verified-existing</t>
        </is>
      </c>
      <c r="S44" s="11" t="inlineStr">
        <is>
          <t>2026-09-28</t>
        </is>
      </c>
    </row>
    <row r="45">
      <c r="A45" s="11" t="n">
        <v>42</v>
      </c>
      <c r="B45" s="11" t="n">
        <v>58</v>
      </c>
      <c r="C45" s="11" t="inlineStr">
        <is>
          <t>Francisco Partners</t>
        </is>
      </c>
      <c r="D45" s="11" t="inlineStr">
        <is>
          <t>franciscopartners.com</t>
        </is>
      </c>
      <c r="E45" s="11" t="inlineStr">
        <is>
          <t>USA</t>
        </is>
      </c>
      <c r="F45" s="11" t="inlineStr">
        <is>
          <t>Private, partner/employee-owned technology-focused PE firm — no state, gambling, alcohol, or sanctioned-country ties</t>
        </is>
      </c>
      <c r="G45" s="11" t="inlineStr">
        <is>
          <t>Technology-focused private equity</t>
        </is>
      </c>
      <c r="H45" s="11" t="inlineStr">
        <is>
          <t>201-1k</t>
        </is>
      </c>
      <c r="I45" s="11" t="inlineStr">
        <is>
          <t>Not disclosed; AUM ~$45-50B (2025/2026 est, firm materials/PitchBook). Applying typical PE management-fee margins (~1.5-2% of AUM) implies fee revenue roughly $700M-$1B (est) — clears the $100M bar. Note: employee-count sources disagree sharply (Owler ~230 vs. Revelio Labs ~1,888 as of Dec 2025), which may reflect different scopes (core firm vs. broader workforce-intelligence counting).</t>
        </is>
      </c>
      <c r="J45" s="11" t="inlineStr">
        <is>
          <t>No published enterprise valuation (private). Per Track A rule for employee-owned/partnership firms with no published valuation: passes on revenue alone but verdict capped at Stretch; flag: no published valuation (employee-owned).</t>
        </is>
      </c>
      <c r="K45" s="11" t="inlineStr">
        <is>
          <t>N/A (established PE partnership, not a funding-round company)</t>
        </is>
      </c>
      <c r="L45" s="11" t="inlineStr">
        <is>
          <t>meets parameters</t>
        </is>
      </c>
      <c r="M45" s="11" t="n">
        <v>3</v>
      </c>
      <c r="N45" s="11" t="inlineStr">
        <is>
          <t>Stretch</t>
        </is>
      </c>
      <c r="O45" s="11" t="inlineStr">
        <is>
          <t>Hard filters otherwise pass (revenue est. clears $100M; no F1 ties found; clean US ownership; stable $45-50B AUM firm, no distress). Capped at Stretch per Track A rule: employee-owned partnership with no published valuation.</t>
        </is>
      </c>
      <c r="P45" s="11" t="inlineStr">
        <is>
          <t>Technology-growth narrative — Francisco Partners as the private-equity engine behind technology innovation, paralleling F1's technology-forward global ambition; open category for a pure tech-PE sponsor.</t>
        </is>
      </c>
      <c r="Q45" s="11" t="inlineStr">
        <is>
          <t>no published valuation (employee-owned); employee-count sources conflict (230 vs. ~1,900)</t>
        </is>
      </c>
      <c r="R45" s="11" t="inlineStr">
        <is>
          <t>verified-existing</t>
        </is>
      </c>
      <c r="S45" s="11" t="inlineStr">
        <is>
          <t>2026-09-28</t>
        </is>
      </c>
    </row>
    <row r="46">
      <c r="A46" s="11" t="n">
        <v>43</v>
      </c>
      <c r="B46" s="11" t="n">
        <v>58</v>
      </c>
      <c r="C46" s="11" t="inlineStr">
        <is>
          <t>Nordic Capital</t>
        </is>
      </c>
      <c r="D46" s="11" t="inlineStr">
        <is>
          <t>nordiccapital.com</t>
        </is>
      </c>
      <c r="E46" s="11" t="inlineStr">
        <is>
          <t>Sweden (Stockholm)</t>
        </is>
      </c>
      <c r="F46" s="11" t="inlineStr">
        <is>
          <t>Private, employee/partner-owned; no published valuation</t>
        </is>
      </c>
      <c r="G46" s="11" t="inlineStr">
        <is>
          <t>Nordic-heritage private equity (buyout)</t>
        </is>
      </c>
      <c r="H46" s="11" t="inlineStr">
        <is>
          <t>201-1k</t>
        </is>
      </c>
      <c r="I46" s="11" t="inlineStr">
        <is>
          <t>~$250M (est, third-party aggregator, undated) - management-fee revenue implied by ~$30-50B AUM; no official figure found</t>
        </is>
      </c>
      <c r="J46" s="11" t="inlineStr">
        <is>
          <t>N/A - private, employee-owned, no published valuation (per Track A carve-out, passes on revenue alone, capped at Stretch)</t>
        </is>
      </c>
      <c r="K46" s="11" t="inlineStr">
        <is>
          <t>N/A - not VC-funded; raises institutional LP capital into successive flagship buyout funds (AUM grew from ~€30B to ~$50B per 2026 aggregator estimate)</t>
        </is>
      </c>
      <c r="L46" s="11" t="inlineStr">
        <is>
          <t>meets parameters</t>
        </is>
      </c>
      <c r="M46" s="11" t="n">
        <v>3</v>
      </c>
      <c r="N46" s="11" t="inlineStr">
        <is>
          <t>Stretch</t>
        </is>
      </c>
      <c r="O46" s="11" t="inlineStr">
        <is>
          <t>Hard filters pass: revenue ~$250M (est) clears &gt;$100M bar; headcount ~230-285 (undated aggregators) bands 201-1k; AUM growth (~€30B to ~$50B) implies healthy fundraising and capacity to spend; diversified institutional LP base; no F1 team/series/driver/GP tie found; employee-owned with no published valuation - per Track A specifics this passes on revenue alone but is capped at Stretch and flagged 'no published valuation (employee-owned)'.</t>
        </is>
      </c>
      <c r="P46" s="11" t="inlineStr">
        <is>
          <t>Nordic-heritage PE brand with a pan-European portfolio - untapped private-equity sponsorship category, positioning around long-term value creation and precision capital allocation (est).</t>
        </is>
      </c>
      <c r="Q46" s="11" t="inlineStr">
        <is>
          <t>no published valuation (employee-owned); revenue is a third-party estimate, not an official disclosure</t>
        </is>
      </c>
      <c r="R46" s="11" t="inlineStr">
        <is>
          <t>verified-existing</t>
        </is>
      </c>
      <c r="S46" s="11" t="inlineStr">
        <is>
          <t>2026-09-28</t>
        </is>
      </c>
    </row>
    <row r="47">
      <c r="A47" s="11" t="n">
        <v>44</v>
      </c>
      <c r="B47" s="11" t="n">
        <v>58</v>
      </c>
      <c r="C47" s="11" t="inlineStr">
        <is>
          <t>PAI Partners</t>
        </is>
      </c>
      <c r="D47" s="11" t="inlineStr">
        <is>
          <t>paipartners.com</t>
        </is>
      </c>
      <c r="E47" s="11" t="inlineStr">
        <is>
          <t>France (Paris)</t>
        </is>
      </c>
      <c r="F47" s="11" t="inlineStr">
        <is>
          <t>Private, employee-owned since 2011 buyout (est.); no published valuation</t>
        </is>
      </c>
      <c r="G47" s="11" t="inlineStr">
        <is>
          <t>European private equity (buyout)</t>
        </is>
      </c>
      <c r="H47" s="11" t="inlineStr">
        <is>
          <t>201-1k</t>
        </is>
      </c>
      <c r="I47" s="11" t="inlineStr">
        <is>
          <t>~$92.5M (est, third-party aggregator, undated) - sits at/below the $100M hard bar, but likely understated relative to ~€33B AUM (Dec 2024, Wikipedia/Mergr); no official figure found despite searching</t>
        </is>
      </c>
      <c r="J47" s="11" t="inlineStr">
        <is>
          <t>N/A - private, employee-owned, no published valuation (per Track A carve-out, passes on revenue alone, capped at Stretch)</t>
        </is>
      </c>
      <c r="K47" s="11" t="inlineStr">
        <is>
          <t>N/A - not VC-funded; raises institutional LP capital into flagship buyout funds (~€33B AUM, Dec 2024)</t>
        </is>
      </c>
      <c r="L47" s="11" t="inlineStr">
        <is>
          <t>meets parameters</t>
        </is>
      </c>
      <c r="M47" s="11" t="n">
        <v>3</v>
      </c>
      <c r="N47" s="11" t="inlineStr">
        <is>
          <t>Stretch</t>
        </is>
      </c>
      <c r="O47" s="11" t="inlineStr">
        <is>
          <t>Reservation on the revenue hard filter: the only figure found ($92.5M est, third-party) sits at/below the $100M bar, though ~€33B AUM (Dec 2024) strongly suggests true firm revenue is materially higher; no official figure could be confirmed. Headcount ~348 (Mar 2026) bands 201-1k, passes. No distress signals found (not independently confirmed) and no F1 team/series/driver/GP tie found. Employee-owned with no published valuation, per Track A specifics passes on revenue alone but capped at Stretch and flagged. Given the unresolved revenue uncertainty this is a genuine reservation rather than a clean pass.</t>
        </is>
      </c>
      <c r="P47" s="11" t="inlineStr">
        <is>
          <t>French heritage PE house (since 1872 lineage) with global buyout reach - untaken private-equity sponsorship category, highlighting long-term industrial value creation (est).</t>
        </is>
      </c>
      <c r="Q47" s="11" t="inlineStr">
        <is>
          <t>no published valuation (employee-owned); only available revenue estimate ($92.5M) is at/below the $100M hard bar and conflicts with implied scale from ~€33B AUM - genuine uncertainty, not resolved by search</t>
        </is>
      </c>
      <c r="R47" s="11" t="inlineStr">
        <is>
          <t>verified-existing</t>
        </is>
      </c>
      <c r="S47" s="11" t="inlineStr">
        <is>
          <t>2026-09-28</t>
        </is>
      </c>
    </row>
    <row r="48">
      <c r="A48" s="11" t="n">
        <v>45</v>
      </c>
      <c r="B48" s="11" t="n">
        <v>58</v>
      </c>
      <c r="C48" s="11" t="inlineStr">
        <is>
          <t>Susquehanna International Group (SIG)</t>
        </is>
      </c>
      <c r="D48" s="11" t="inlineStr">
        <is>
          <t>sig.com</t>
        </is>
      </c>
      <c r="E48" s="11" t="inlineStr">
        <is>
          <t>USA (Bala Cynwyd, PA)</t>
        </is>
      </c>
      <c r="F48" s="11" t="inlineStr">
        <is>
          <t>Private, partnership-owned (co-founded by Jeff Yass et al.); no published valuation</t>
        </is>
      </c>
      <c r="G48" s="11" t="inlineStr">
        <is>
          <t>Market making / proprietary options trading</t>
        </is>
      </c>
      <c r="H48" s="11" t="inlineStr">
        <is>
          <t>1k-5k</t>
        </is>
      </c>
      <c r="I48" s="11" t="inlineStr">
        <is>
          <t>Reported '+$22.1B in 2025' (third-party aggregator) treated with heavy skepticism - almost certainly reflects gross trading volume/notional rather than net revenue for a firm that does not publicly disclose financials; net revenue is very likely still well above $100M given SIG's position as one of the world's largest options market makers, but no reliable official figure was found</t>
        </is>
      </c>
      <c r="J48" s="11" t="inlineStr">
        <is>
          <t>N/A - private, partnership-owned, no published valuation (per Track A carve-out, passes on revenue alone, capped at Stretch)</t>
        </is>
      </c>
      <c r="K48" s="11" t="inlineStr">
        <is>
          <t>N/A - not VC-funded; long-standing private partnership since 1987</t>
        </is>
      </c>
      <c r="L48" s="11" t="inlineStr">
        <is>
          <t>meets parameters</t>
        </is>
      </c>
      <c r="M48" s="11" t="n">
        <v>3</v>
      </c>
      <c r="N48" s="11" t="inlineStr">
        <is>
          <t>Stretch</t>
        </is>
      </c>
      <c r="O48" s="11" t="inlineStr">
        <is>
          <t>Hard filters plausibly pass but with real reservations: net revenue could not be reliably confirmed (available figure looks mislabeled) though scale as a top-tier global market maker strongly implies it clears &gt;$100M; headcount 3,500+ (2026) bands 1k-5k; no distress signals, well-capitalized (capacity to spend); no F1 team/series/driver/GP tie found. Partnership-owned with no published valuation - per Track A specifics passes on revenue alone but capped at Stretch and flagged. Additional reservation: gambling-adjacent Nellie Analytics subsidiary warrants compliance review before outreach.</t>
        </is>
      </c>
      <c r="P48" s="11" t="inlineStr">
        <is>
          <t>World-leading options market maker with a lightning-fast, tech-driven trading model - frame SIG as a 'real-time risk &amp; data' partner in an open prop-trading category, while proactively clearing the sports-betting-adjacent subsidiary in compliance review (est).</t>
        </is>
      </c>
      <c r="Q48" s="11" t="inlineStr">
        <is>
          <t>no published valuation (partnership-owned); operates Nellie Analytics, a Dublin-based sports-betting-linked subsidiary (est. 2017) - compliance/reputational flag given gambling-adjacent business line, though SIG's core business is securities trading, not bet-taking; reported revenue figure is very likely mislabeled/overstated (gross volume vs. net revenue) - genuine data-quality uncertainty; co-founder Jeff Yass is a prominent political donor - light reputational consideration for a sponsorship-facing brand</t>
        </is>
      </c>
      <c r="R48" s="11" t="inlineStr">
        <is>
          <t>verified-existing</t>
        </is>
      </c>
      <c r="S48" s="11" t="inlineStr">
        <is>
          <t>2026-09-28</t>
        </is>
      </c>
    </row>
    <row r="49">
      <c r="A49" s="11" t="n">
        <v>46</v>
      </c>
      <c r="B49" s="11" t="n">
        <v>58</v>
      </c>
      <c r="C49" s="11" t="inlineStr">
        <is>
          <t>Tower Research Capital</t>
        </is>
      </c>
      <c r="D49" s="11" t="inlineStr">
        <is>
          <t>tower-research.com</t>
        </is>
      </c>
      <c r="E49" s="11" t="inlineStr">
        <is>
          <t>USA</t>
        </is>
      </c>
      <c r="F49" s="11" t="inlineStr">
        <is>
          <t>Private, founder-owned (Mark Gorton)</t>
        </is>
      </c>
      <c r="G49" s="11" t="inlineStr">
        <is>
          <t>High-frequency/proprietary trading firm (market-making, quantitative trading)</t>
        </is>
      </c>
      <c r="H49" s="11" t="inlineStr">
        <is>
          <t>1k-5k</t>
        </is>
      </c>
      <c r="I49" s="11" t="inlineStr">
        <is>
          <t>~$360M (est.), 2024 peak (Zippia estimate); precise 2025/2026 figure not disclosed by this private firm — treated as clearing the &gt;$100M bar on an estimated basis</t>
        </is>
      </c>
      <c r="J49" s="11" t="inlineStr">
        <is>
          <t>No published valuation (private, founder-owned, not a fundable/VC-backed entity); ~1,459-1,462 employees (Revelio Labs, 2025, +9.2% YoY) used as a scale proxy — flagged, not a strict family-owned case</t>
        </is>
      </c>
      <c r="K49" s="11" t="inlineStr">
        <is>
          <t>N/A — proprietary trading firm, not VC-backed</t>
        </is>
      </c>
      <c r="L49" s="11" t="inlineStr">
        <is>
          <t>meets parameters</t>
        </is>
      </c>
      <c r="M49" s="11" t="n">
        <v>3</v>
      </c>
      <c r="N49" s="11" t="inlineStr">
        <is>
          <t>Stretch</t>
        </is>
      </c>
      <c r="O49" s="11" t="inlineStr">
        <is>
          <t>Hard filters pass on the numbers available (headcount 1k-5k band; revenue est. ~$360M clears &gt;$100M bar; no F1 ties found; founder-owned with no state/compliance issues), but two real reservations temper confidence: (1) the 'no published valuation' pass relies on treating a single-founder private firm like the brief's family-owned exception, which is a judgment extension rather than an explicit carve-out; (2) as a proprietary trading firm with no traditional customers, the audience/fit criteria are a stretch to apply cleanly.</t>
        </is>
      </c>
      <c r="P49" s="11" t="inlineStr">
        <is>
          <t>Lead with low-latency trading infrastructure as a direct analog to F1 engineering ('milliseconds matter') — an open quant/fintech sponsorship category, though the firm's historically low public profile may limit appetite (est).</t>
        </is>
      </c>
      <c r="Q49" s="11" t="inlineStr">
        <is>
          <t>no published valuation (founder-owned, private) — treated like the family-owned exception as a judgment call, not an explicit brief carve-out; atypical customer base for a sponsorship audience test — proprietary trading firm has no traditional client roster; historically low public profile typical of HFT firms may affect outreach receptiveness</t>
        </is>
      </c>
      <c r="R49" s="11" t="inlineStr">
        <is>
          <t>verified-existing</t>
        </is>
      </c>
      <c r="S49" s="11" t="inlineStr">
        <is>
          <t>2026-09-28</t>
        </is>
      </c>
    </row>
    <row r="50">
      <c r="A50" s="11" t="n">
        <v>47</v>
      </c>
      <c r="B50" s="11" t="n">
        <v>58</v>
      </c>
      <c r="C50" s="11" t="inlineStr">
        <is>
          <t>Leonard Green &amp; Partners</t>
        </is>
      </c>
      <c r="D50" s="11" t="inlineStr">
        <is>
          <t>leonardgreen.com</t>
        </is>
      </c>
      <c r="E50" s="11" t="inlineStr">
        <is>
          <t>Los Angeles, USA</t>
        </is>
      </c>
      <c r="F50" s="11" t="inlineStr">
        <is>
          <t>Private, partner/employee-owned; no state ownership found</t>
        </is>
      </c>
      <c r="G50" s="11" t="inlineStr">
        <is>
          <t>Consumer- and services-focused private equity buyouts</t>
        </is>
      </c>
      <c r="H50" s="11" t="inlineStr">
        <is>
          <t>51-200</t>
        </is>
      </c>
      <c r="I50" s="11" t="inlineStr">
        <is>
          <t>No published revenue; ~$85.6B AUM (recent SEC filings, 2026) implies management-fee revenue well over $100M/yr (est)</t>
        </is>
      </c>
      <c r="J50" s="11" t="inlineStr">
        <is>
          <t>No published firm-level valuation</t>
        </is>
      </c>
      <c r="K50" s="11" t="inlineStr">
        <is>
          <t>Green Equity Investors IX targeted ~$19B, raising 2022-2023 (most recent flagship fund)</t>
        </is>
      </c>
      <c r="L50" s="11" t="inlineStr">
        <is>
          <t>exceeds - mega-brand</t>
        </is>
      </c>
      <c r="M50" s="11" t="n">
        <v>3</v>
      </c>
      <c r="N50" s="11" t="inlineStr">
        <is>
          <t>Stretch</t>
        </is>
      </c>
      <c r="O50" s="11" t="inlineStr">
        <is>
          <t>Hard filters pass (fee revenue on $85.6B AUM, no F1 ties found, clean ownership, headcount 51-200, fit=3 clears the &gt;=2 bar), but capped Stretch for no published valuation.</t>
        </is>
      </c>
      <c r="P50" s="11" t="inlineStr">
        <is>
          <t>Consumer-brand buyout pedigree (Whole Foods, The Container Store, Shake Shack legacy) — pitch a 'brand builders' angle around LGP's history of scaling iconic consumer names, tying to F1's growing consumer-lifestyle sponsor mix.</t>
        </is>
      </c>
      <c r="Q50" s="11" t="inlineStr">
        <is>
          <t>no published valuation (employee-owned)</t>
        </is>
      </c>
      <c r="R50" s="11" t="inlineStr">
        <is>
          <t>verified-existing</t>
        </is>
      </c>
      <c r="S50" s="11" t="inlineStr">
        <is>
          <t>2026-09-28</t>
        </is>
      </c>
    </row>
    <row r="51">
      <c r="A51" s="11" t="n">
        <v>48</v>
      </c>
      <c r="B51" s="11" t="n">
        <v>58</v>
      </c>
      <c r="C51" s="11" t="inlineStr">
        <is>
          <t>Providence Equity Partners</t>
        </is>
      </c>
      <c r="D51" s="11" t="inlineStr">
        <is>
          <t>provequity.com</t>
        </is>
      </c>
      <c r="E51" s="11" t="inlineStr">
        <is>
          <t>Providence, USA</t>
        </is>
      </c>
      <c r="F51" s="11" t="inlineStr">
        <is>
          <t>Private, partner/employee-owned; no state ownership found</t>
        </is>
      </c>
      <c r="G51" s="11" t="inlineStr">
        <is>
          <t>Media, communications, education and technology-focused private equity</t>
        </is>
      </c>
      <c r="H51" s="11" t="inlineStr">
        <is>
          <t>51-200</t>
        </is>
      </c>
      <c r="I51" s="11" t="inlineStr">
        <is>
          <t>No published revenue; AUM reported between ~$24.1B (recent SEC ADV) and ~$35B (2023 figure) — management-fee revenue on that scale implies well over $100M/yr (est)</t>
        </is>
      </c>
      <c r="J51" s="11" t="inlineStr">
        <is>
          <t>No published firm-level valuation</t>
        </is>
      </c>
      <c r="K51" s="11" t="inlineStr">
        <is>
          <t>Providence Equity Partners IX is its most recent flagship vehicle; exact current fund size not independently confirmed in this search (est)</t>
        </is>
      </c>
      <c r="L51" s="11" t="inlineStr">
        <is>
          <t>meets parameters</t>
        </is>
      </c>
      <c r="M51" s="11" t="n">
        <v>3</v>
      </c>
      <c r="N51" s="11" t="inlineStr">
        <is>
          <t>Stretch</t>
        </is>
      </c>
      <c r="O51" s="11" t="inlineStr">
        <is>
          <t>Hard filters pass (fee revenue on $24-35B AUM, no F1 ties found, clean ownership, headcount 51-200, fit=3 clears the &gt;=2 bar), but capped Stretch for no published valuation.</t>
        </is>
      </c>
      <c r="P51" s="11" t="inlineStr">
        <is>
          <t>Providence's media/sports-rights investing pedigree offers a natural 'media rights and global audiences' sponsorship narrative for F1's broadcast-growth story.</t>
        </is>
      </c>
      <c r="Q51" s="11" t="inlineStr">
        <is>
          <t>no published valuation (employee-owned)</t>
        </is>
      </c>
      <c r="R51" s="11" t="inlineStr">
        <is>
          <t>verified-existing</t>
        </is>
      </c>
      <c r="S51" s="11" t="inlineStr">
        <is>
          <t>2026-09-28</t>
        </is>
      </c>
    </row>
    <row r="52">
      <c r="A52" s="11" t="n">
        <v>49</v>
      </c>
      <c r="B52" s="11" t="n">
        <v>58</v>
      </c>
      <c r="C52" s="11" t="inlineStr">
        <is>
          <t>Schonfeld Strategic Advisors</t>
        </is>
      </c>
      <c r="D52" s="11" t="inlineStr">
        <is>
          <t>schonfeld.com</t>
        </is>
      </c>
      <c r="E52" s="11" t="inlineStr">
        <is>
          <t>USA</t>
        </is>
      </c>
      <c r="F52" s="11" t="inlineStr">
        <is>
          <t>Private, founder-owned (Steven Schonfeld; CEO/CIO Ryan Tolkin) — no state/sovereign ties (Wikipedia; company site, accessed Sep 2026)</t>
        </is>
      </c>
      <c r="G52" s="11" t="inlineStr">
        <is>
          <t>Multi-strategy hedge fund / trading platform, ~$19B AUM as of Apr 1 2026 (holdingschannel.com / aum13f.com, 2026)</t>
        </is>
      </c>
      <c r="H52" s="11" t="inlineStr">
        <is>
          <t>201-1k</t>
        </is>
      </c>
      <c r="I52" s="11" t="inlineStr">
        <is>
          <t>~$443.4M (est, third-party aggregate estimate; firm is private and does not publish revenue) — sourced via web aggregator data, 2026</t>
        </is>
      </c>
      <c r="J52" s="11" t="inlineStr">
        <is>
          <t>N/A — private, no external equity raise/published valuation on record (as of Sep 2026)</t>
        </is>
      </c>
      <c r="K52" s="11" t="inlineStr">
        <is>
          <t>N/A — no recent external capital raise found; note 2023 fund liquidity/redemption issues in one strategy, since offset by AUM recovery to ~$19B (2026)</t>
        </is>
      </c>
      <c r="L52" s="11" t="inlineStr">
        <is>
          <t>meets parameters</t>
        </is>
      </c>
      <c r="M52" s="11" t="n">
        <v>3</v>
      </c>
      <c r="N52" s="11" t="inlineStr">
        <is>
          <t>Stretch</t>
        </is>
      </c>
      <c r="O52" s="11" t="inlineStr">
        <is>
          <t>All hard filters pass on available evidence, but revenue is an unverified third-party estimate, valuation is nonexistent (leniently excused as founder-owned), the 2023 liquidity crisis is only presumed resolved, and LP/customer concentration (audience test) could not be confirmed — stack of uncertain figures rather than a clean pass.</t>
        </is>
      </c>
      <c r="P52" s="11" t="inlineStr">
        <is>
          <t>Position as a data-driven, high-performance trading platform — 'engineered precision and speed' narrative aimed at F1's institutional/HNW audience, timed to its post-2023 AUM recovery story (est).</t>
        </is>
      </c>
      <c r="Q52" s="11" t="inlineStr">
        <is>
          <t>revenue figure is a third-party estimate, not company-disclosed; no published valuation — private founder-owned firm, treated leniently like family-owned exception (est); 2023 fund liquidity/redemption issues in one strategy — appears resolved per AUM recovery, not independently reconfirmed; customer/LP concentration not publicly disclosed for this private hedge fund — audience test taken on faith (est)</t>
        </is>
      </c>
      <c r="R52" s="11" t="inlineStr">
        <is>
          <t>verified-existing</t>
        </is>
      </c>
      <c r="S52" s="11" t="inlineStr">
        <is>
          <t>2026-09-28</t>
        </is>
      </c>
    </row>
    <row r="53">
      <c r="A53" s="11" t="n">
        <v>50</v>
      </c>
      <c r="B53" s="11" t="n">
        <v>58</v>
      </c>
      <c r="C53" s="11" t="inlineStr">
        <is>
          <t>Antin Infrastructure Partners</t>
        </is>
      </c>
      <c r="D53" s="11" t="inlineStr">
        <is>
          <t>antin-ip.com</t>
        </is>
      </c>
      <c r="E53" s="11" t="inlineStr">
        <is>
          <t>France</t>
        </is>
      </c>
      <c r="F53" s="11" t="inlineStr">
        <is>
          <t>Public (Euronext Paris: ANTIN)</t>
        </is>
      </c>
      <c r="G53" s="11" t="inlineStr">
        <is>
          <t>Infrastructure private equity / asset management</t>
        </is>
      </c>
      <c r="H53" s="11" t="inlineStr">
        <is>
          <t>201-1k</t>
        </is>
      </c>
      <c r="I53" s="11" t="inlineStr">
        <is>
          <t>Recurring revenue €291.6M in FY2025, +2.2% YoY (H1 2026 revenue €138.5M, down 6.5% YoY); per Euronext/Businesswire results, March 2026</t>
        </is>
      </c>
      <c r="J53" s="11" t="inlineStr">
        <is>
          <t>Market capitalization $1.53B as of September 2026 (per companiesmarketcap.com); historically volatile since the 2021 IPO</t>
        </is>
      </c>
      <c r="K53" s="11" t="inlineStr">
        <is>
          <t>N/A (public company); actively raising new funds - Bridgepoint Europe... [Antin] launched Mid Cap II fundraising, May 2026</t>
        </is>
      </c>
      <c r="L53" s="11" t="inlineStr">
        <is>
          <t>meets parameters</t>
        </is>
      </c>
      <c r="M53" s="11" t="n">
        <v>3</v>
      </c>
      <c r="N53" s="11" t="inlineStr">
        <is>
          <t>Stretch</t>
        </is>
      </c>
      <c r="O53" s="11" t="inlineStr">
        <is>
          <t>Hard filters currently pass: revenue (€291.6M, 2025) clears $100M, valuation ($1.53B, Sept 2026) clears $1B, headcount ~200-500, profitable (55% EBITDA margin) and actively deploying/fundraising (not in distress), no F1 conflict found. Real reservation: the valuation sits close to the $1B line and has been volatile/below it in the recent past, per the original triage note and confirmed by search.</t>
        </is>
      </c>
      <c r="P53" s="11" t="inlineStr">
        <is>
          <t>Infrastructure-investing growth and global-ambition story - frame Antin as the capital behind the physical/digital infrastructure of tomorrow, aligning with F1's own infrastructure and technology narrative; target category-opening 'official infrastructure investment partner.'</t>
        </is>
      </c>
      <c r="Q53" s="11" t="inlineStr">
        <is>
          <t>thin/volatile market cap - sits just above the $1B bar and has previously dipped below it since the 2021 IPO; customer base is institutional LPs (dozens to low hundreds), not a broad consumer audience</t>
        </is>
      </c>
      <c r="R53" s="11" t="inlineStr">
        <is>
          <t>verified-existing</t>
        </is>
      </c>
      <c r="S53" s="11" t="inlineStr">
        <is>
          <t>2026-09-28</t>
        </is>
      </c>
    </row>
    <row r="54">
      <c r="A54" s="11" t="n">
        <v>51</v>
      </c>
      <c r="B54" s="11" t="n">
        <v>58</v>
      </c>
      <c r="C54" s="11" t="inlineStr">
        <is>
          <t>GSR Markets</t>
        </is>
      </c>
      <c r="D54" s="11" t="inlineStr">
        <is>
          <t>gsr.io</t>
        </is>
      </c>
      <c r="E54" s="11" t="inlineStr">
        <is>
          <t>UK/Singapore</t>
        </is>
      </c>
      <c r="F54" s="11" t="inlineStr">
        <is>
          <t>Private, founder-owned since 2013; Standard Chartered's SC Ventures took a minority stake in May 2026 (first external investor)</t>
        </is>
      </c>
      <c r="G54" s="11" t="inlineStr">
        <is>
          <t>Digital-asset market maker / liquidity provider</t>
        </is>
      </c>
      <c r="H54" s="11" t="inlineStr">
        <is>
          <t>201-1k</t>
        </is>
      </c>
      <c r="I54" s="11" t="inlineStr">
        <is>
          <t>Revenue tripled in H1 2024 vs. H1 2023 (per GSR/crypto.news coverage); exact FY2025/2026 revenue not publicly disclosed - (est) plausibly $150-300M+ given the firm's scale (300+ staff, 60 connected trading venues) and comparable crypto market-makers</t>
        </is>
      </c>
      <c r="J54" s="11" t="inlineStr">
        <is>
          <t>Valued above $1B in the Standard Chartered SC Ventures minority-stake investment, announced May 2026 (per CoinDesk)</t>
        </is>
      </c>
      <c r="K54" s="11" t="inlineStr">
        <is>
          <t>Standard Chartered SC Ventures minority investment, announced May 2026 (within the 18-month capacity-to-spend window)</t>
        </is>
      </c>
      <c r="L54" s="11" t="inlineStr">
        <is>
          <t>meets parameters</t>
        </is>
      </c>
      <c r="M54" s="11" t="n">
        <v>3</v>
      </c>
      <c r="N54" s="11" t="inlineStr">
        <is>
          <t>Stretch</t>
        </is>
      </c>
      <c r="O54" s="11" t="inlineStr">
        <is>
          <t>Valuation hard bar passes (above $1B, per the May 2026 Standard Chartered stake) and capacity to spend is supported by that same fresh institutional investment. However, the exact revenue figure is not publicly disclosed (estimated only) so the $100M revenue bar cannot be confirmed with a hard source, and the crypto sponsorship category is already crowded on the grid. No direct F1 conflict was found for GSR itself.</t>
        </is>
      </c>
      <c r="P54" s="11" t="inlineStr">
        <is>
          <t>Institutional-grade digital-asset infrastructure story - now backed by Standard Chartered - framed as bridging traditional finance and crypto with precision trading technology; would need a differentiated angle given how crowded the crypto-sponsor category already is on the grid.</t>
        </is>
      </c>
      <c r="Q54" s="11" t="inlineStr">
        <is>
          <t>crypto-cycle revenue volatility (carried from triage; confirmed by market commentary on the Oct 2025 crypto crash); exact revenue figure not publicly disclosed - estimated; valuation ('above $1B') is freshly set and its margin above the $1B bar is not precisely quantified</t>
        </is>
      </c>
      <c r="R54" s="11" t="inlineStr">
        <is>
          <t>verified-existing</t>
        </is>
      </c>
      <c r="S54" s="11" t="inlineStr">
        <is>
          <t>2026-09-28</t>
        </is>
      </c>
    </row>
    <row r="55">
      <c r="A55" s="11" t="n">
        <v>52</v>
      </c>
      <c r="B55" s="11" t="n">
        <v>58</v>
      </c>
      <c r="C55" s="11" t="inlineStr">
        <is>
          <t>Flow Traders</t>
        </is>
      </c>
      <c r="D55" s="11" t="inlineStr">
        <is>
          <t>flowtraders.com</t>
        </is>
      </c>
      <c r="E55" s="11" t="inlineStr">
        <is>
          <t>Netherlands</t>
        </is>
      </c>
      <c r="F55" s="11" t="inlineStr">
        <is>
          <t>Public (Euronext Amsterdam: FLOW)</t>
        </is>
      </c>
      <c r="G55" s="11" t="inlineStr">
        <is>
          <t>ETF/ETP market maker</t>
        </is>
      </c>
      <c r="H55" s="11" t="inlineStr">
        <is>
          <t>201-1k</t>
        </is>
      </c>
      <c r="I55" s="11" t="inlineStr">
        <is>
          <t>€798.2M FY2025 (company/Euronext results, reported Feb 12, 2026), roughly flat YoY (-0.32%)</t>
        </is>
      </c>
      <c r="J55" s="11" t="inlineStr">
        <is>
          <t>Market cap €1.178B as of Feb 11, 2026 (stockanalysis.com/company data) - currently above $1B, but historically volatile and has traded near/below that level in prior periods</t>
        </is>
      </c>
      <c r="K55" s="11" t="inlineStr">
        <is>
          <t>N/A - long-listed public company (IPO 2015)</t>
        </is>
      </c>
      <c r="L55" s="11" t="inlineStr">
        <is>
          <t>meets parameters</t>
        </is>
      </c>
      <c r="M55" s="11" t="n">
        <v>3</v>
      </c>
      <c r="N55" s="11" t="inlineStr">
        <is>
          <t>Stretch</t>
        </is>
      </c>
      <c r="O55" s="11" t="inlineStr">
        <is>
          <t>Hard filters pass on current figures: FY2025 revenue €798.2M far exceeds the $100M bar; market cap €1.178B (Feb 2026) is above the $1B bar; headcount 635 FTEs (201-1k band); profitable (FY2025 net profit €133.6M, 41% EBITDA margin) with no distress; broad institutional/exchange client base. Reservation: market cap has been volatile and has traded near or below $1B in prior years, so the valuation bar is cleared on a thin, cycle-dependent margin - capping this at Stretch rather than a clean Yes. Fit score 3/4.</t>
        </is>
      </c>
      <c r="P55" s="11" t="inlineStr">
        <is>
          <t>Electronic/algorithmic trading speed and 24/7 global liquidity story maps directly to F1's technology-performance narrative; an open category versus the crypto-exchange sponsors already on the grid (est)</t>
        </is>
      </c>
      <c r="Q55" s="11" t="inlineStr">
        <is>
          <t>market cap sits only modestly above the $1B bar and has been below it in recent years (per original triage and historical volatility) - thin margin on the valuation bar</t>
        </is>
      </c>
      <c r="R55" s="11" t="inlineStr">
        <is>
          <t>verified-existing</t>
        </is>
      </c>
      <c r="S55" s="11" t="inlineStr">
        <is>
          <t>2026-09-28</t>
        </is>
      </c>
    </row>
    <row r="56">
      <c r="A56" s="11" t="n">
        <v>53</v>
      </c>
      <c r="B56" s="11" t="n">
        <v>58</v>
      </c>
      <c r="C56" s="11" t="inlineStr">
        <is>
          <t>PDT Partners</t>
        </is>
      </c>
      <c r="D56" s="11" t="inlineStr">
        <is>
          <t>pdtpartners.com</t>
        </is>
      </c>
      <c r="E56" s="11" t="inlineStr">
        <is>
          <t>USA (New York)</t>
        </is>
      </c>
      <c r="F56" s="11" t="inlineStr">
        <is>
          <t>Private, employee/partner-owned quant hedge fund</t>
        </is>
      </c>
      <c r="G56" s="11" t="inlineStr">
        <is>
          <t>Quantitative hedge fund / systematic trading</t>
        </is>
      </c>
      <c r="H56" s="11" t="inlineStr">
        <is>
          <t>201-1k</t>
        </is>
      </c>
      <c r="I56" s="11" t="inlineStr">
        <is>
          <t>Not independently disclosed; regulatory AUM ~$19.2B as of Dec 31, 2025 (Form ADV/13F aggregation) implies plausible fee revenue &gt;$100M, but no confirmed revenue figure exists (est)</t>
        </is>
      </c>
      <c r="J56" s="11" t="inlineStr">
        <is>
          <t>No published valuation (private, employee-owned)</t>
        </is>
      </c>
      <c r="K56" s="11" t="inlineStr">
        <is>
          <t>N/A - not VC-backed; self-capitalized partnership</t>
        </is>
      </c>
      <c r="L56" s="11" t="inlineStr">
        <is>
          <t>meets parameters</t>
        </is>
      </c>
      <c r="M56" s="11" t="n">
        <v>3</v>
      </c>
      <c r="N56" s="11" t="inlineStr">
        <is>
          <t>Stretch</t>
        </is>
      </c>
      <c r="O56" s="11" t="inlineStr">
        <is>
          <t>Hard bars plausibly clear (large AUM implies revenue likely &gt;$100M; PDT caps AUM/headcount deliberately, consistent with financial stability) but no confirmed revenue or valuation figure exists - real reservation on uncertain financials; employee-owned firm caps this at Stretch per protocol. No F1 conflicts found.</t>
        </is>
      </c>
      <c r="P56" s="11" t="inlineStr">
        <is>
          <t>(est) Quant-driven, data-precision trading firm story mirrors F1's technology/performance narrative; open category (asset management) on the 2026 grid.</t>
        </is>
      </c>
      <c r="Q56" s="11" t="inlineStr">
        <is>
          <t>no published valuation (employee-owned); revenue estimated from AUM, not independently disclosed</t>
        </is>
      </c>
      <c r="R56" s="11" t="inlineStr">
        <is>
          <t>verified-existing</t>
        </is>
      </c>
      <c r="S56" s="11" t="inlineStr">
        <is>
          <t>2026-09-28</t>
        </is>
      </c>
    </row>
    <row r="57">
      <c r="A57" s="11" t="n">
        <v>54</v>
      </c>
      <c r="B57" s="11" t="n">
        <v>52</v>
      </c>
      <c r="C57" s="11" t="inlineStr">
        <is>
          <t>First Sentier Investors</t>
        </is>
      </c>
      <c r="D57" s="11" t="inlineStr">
        <is>
          <t>firstsentierinvestors.com</t>
        </is>
      </c>
      <c r="E57" s="11" t="inlineStr">
        <is>
          <t>UK/Australia</t>
        </is>
      </c>
      <c r="F57" s="11" t="inlineStr">
        <is>
          <t>Wholly-owned subsidiary of Mitsubishi UFJ Financial Group (MUFG), a large publicly traded Japanese bank — not state-owned; no MUFG-F1 tie found (WebSearch, Sep 2026)</t>
        </is>
      </c>
      <c r="G57" s="11" t="inlineStr">
        <is>
          <t>Traditional/global active asset manager</t>
        </is>
      </c>
      <c r="H57" s="11" t="inlineStr">
        <is>
          <t>1k-5k</t>
        </is>
      </c>
      <c r="I57" s="11" t="inlineStr">
        <is>
          <t>Not disclosed separately from parent; AUM AUD $214.4B (June 30, 2026, First Sentier Group). Applying typical asset-management fee margins (~0.3-0.5% of AUM) implies fee revenue in the hundreds of millions of USD (est) — clears the $100M bar.</t>
        </is>
      </c>
      <c r="J57" s="11" t="inlineStr">
        <is>
          <t>No independent published valuation (wholly-owned subsidiary); parent MUFG market cap &gt;$100B (per input triage, unverified precisely this run). Per Track A rule: parent is a large group with no F1 ties, so candidate is kept and flagged rather than excluded.</t>
        </is>
      </c>
      <c r="K57" s="11" t="inlineStr">
        <is>
          <t>N/A (subsidiary of large public bank, not a funding-round company)</t>
        </is>
      </c>
      <c r="L57" s="11" t="inlineStr">
        <is>
          <t>meets parameters</t>
        </is>
      </c>
      <c r="M57" s="11" t="n">
        <v>2</v>
      </c>
      <c r="N57" s="11" t="inlineStr">
        <is>
          <t>Stretch</t>
        </is>
      </c>
      <c r="O57" s="11" t="inlineStr">
        <is>
          <t>Hard filters pass (scale via parent/AUM, no F1 ties, ownership clean once parent is flagged, capacity solid as MUFG-backed). Capped at Stretch per protocol: fit == 2 with weak angles.</t>
        </is>
      </c>
      <c r="P57" s="11" t="inlineStr">
        <is>
          <t>Stewardship/responsible-investing brand story — position First Sentier's ESG-led investment approach alongside F1's sustainability push (net zero 2030, sustainable fuels) to reach ESG-forward institutional buyers. Weaker angle than pure performance-brand peers, hence Stretch.</t>
        </is>
      </c>
      <c r="Q57" s="11" t="inlineStr">
        <is>
          <t>parent: MUFG (Mitsubishi UFJ Financial Group); fit == 2 with a weak brand-story angle</t>
        </is>
      </c>
      <c r="R57" s="11" t="inlineStr">
        <is>
          <t>verified-existing</t>
        </is>
      </c>
      <c r="S57" s="11" t="inlineStr">
        <is>
          <t>2026-09-28</t>
        </is>
      </c>
    </row>
  </sheetData>
  <autoFilter ref="A3:S5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65"/>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Real Estate &amp; Building Produ — existing New-Sectors book, now verified — 62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"02 Real Estate &amp; Building Produ".</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0" t="n">
        <v>1</v>
      </c>
      <c r="B4" s="10" t="n">
        <v>92</v>
      </c>
      <c r="C4" s="10" t="inlineStr">
        <is>
          <t>City Developments Limited</t>
        </is>
      </c>
      <c r="D4" s="10" t="inlineStr">
        <is>
          <t>cdl.com.sg</t>
        </is>
      </c>
      <c r="E4" s="10" t="inlineStr">
        <is>
          <t>Singapore</t>
        </is>
      </c>
      <c r="F4" s="10" t="inlineStr">
        <is>
          <t>Public (SGX: C09), family-controlled (Kwek family / Hong Leong Group) — no state stake identified</t>
        </is>
      </c>
      <c r="G4" s="10" t="inlineStr">
        <is>
          <t>Global developer/hotelier — residential, commercial, and hotels (via Millennium &amp; Copthorne) across 100+ locations worldwide</t>
        </is>
      </c>
      <c r="H4" s="10" t="inlineStr">
        <is>
          <t>1k-5k (est; likely higher once global Millennium &amp; Copthorne hotel staff are included)</t>
        </is>
      </c>
      <c r="I4" s="10" t="inlineStr">
        <is>
          <t>SGD 3.59B FY2025, +9.7% YoY; PATMI SGD 629.7M, +212.8% YoY (cdl.com.sg / DBS research, FY2025 results reported early 2026) — roughly $2.6-2.7B USD</t>
        </is>
      </c>
      <c r="J4" s="10" t="inlineStr">
        <is>
          <t>Market cap ~SGD 6.0-8.9B (~$4.5-6.7B) across 2025-2026 sources (stockanalysis.com)</t>
        </is>
      </c>
      <c r="K4" s="10" t="inlineStr">
        <is>
          <t>N/A — public company</t>
        </is>
      </c>
      <c r="L4" s="10" t="inlineStr">
        <is>
          <t>exceeds - mega-brand</t>
        </is>
      </c>
      <c r="M4" s="10" t="n">
        <v>4</v>
      </c>
      <c r="N4" s="10" t="inlineStr">
        <is>
          <t>Yes</t>
        </is>
      </c>
      <c r="O4" s="10" t="inlineStr">
        <is>
          <t>All hard filters pass cleanly — FY2025 revenue SGD 3.59B with a sharp profit turnaround (PATMI +212.8%), market cap ~SGD 6-9B (well over $1B), broad global customer base via property and hotel operations, no F1 conflicts or ownership issues — and fit scores a clean 4/4 given its genuinely global, multi-market footprint and diversified real-estate/hospitality brand story.</t>
        </is>
      </c>
      <c r="P4" s="10" t="inlineStr">
        <is>
          <t>A truly global portfolio (Singapore, UK, China, Australia, plus 100+ hotel markets via Millennium &amp; Copthorne) gives CDL a rare multi-market rationale for F1 sponsorship spanning several race markets at once (est).</t>
        </is>
      </c>
      <c r="Q4" s="10" t="inlineStr">
        <is>
          <t>family-controlled (Kwek family/Hong Leong Group)</t>
        </is>
      </c>
      <c r="R4" s="10" t="inlineStr">
        <is>
          <t>verified-existing</t>
        </is>
      </c>
      <c r="S4" s="10" t="inlineStr">
        <is>
          <t>2026-09-28</t>
        </is>
      </c>
    </row>
    <row r="5">
      <c r="A5" s="10" t="n">
        <v>2</v>
      </c>
      <c r="B5" s="10" t="n">
        <v>92</v>
      </c>
      <c r="C5" s="10" t="inlineStr">
        <is>
          <t>Hongkong Land Holdings</t>
        </is>
      </c>
      <c r="D5" s="10" t="inlineStr">
        <is>
          <t>hkland.com</t>
        </is>
      </c>
      <c r="E5" s="10" t="inlineStr">
        <is>
          <t>Hong Kong</t>
        </is>
      </c>
      <c r="F5" s="10" t="inlineStr">
        <is>
          <t>Public (LSE/SGX), majority-owned by Jardine Matheson Group — no F1 ties found for parent; no state stake</t>
        </is>
      </c>
      <c r="G5" s="10" t="inlineStr">
        <is>
          <t>Prime commercial/residential property investor-developer across Hong Kong, mainland China, Singapore, Vietnam, Thailand and Japan</t>
        </is>
      </c>
      <c r="H5" s="10" t="inlineStr">
        <is>
          <t>1k-5k</t>
        </is>
      </c>
      <c r="I5" s="10" t="inlineStr">
        <is>
          <t>S$1.84B FY2025 (down from S$2.54B FY2024, reflecting active capital recycling); underlying profit $458M, down 8% YoY (mingtiandi.com / company FY2025 results, reported ~Mar 2026)</t>
        </is>
      </c>
      <c r="J5" s="10" t="inlineStr">
        <is>
          <t>Market cap ~$13.22B (companiesmarketcap.com, 2026)</t>
        </is>
      </c>
      <c r="K5" s="10" t="inlineStr">
        <is>
          <t>N/A — public company</t>
        </is>
      </c>
      <c r="L5" s="10" t="inlineStr">
        <is>
          <t>exceeds - mega-brand</t>
        </is>
      </c>
      <c r="M5" s="10" t="n">
        <v>4</v>
      </c>
      <c r="N5" s="10" t="inlineStr">
        <is>
          <t>Yes</t>
        </is>
      </c>
      <c r="O5" s="10" t="inlineStr">
        <is>
          <t>Hard filters pass cleanly — market cap $13.22B, FY2025 underlying profit $458M with a swing to $1.2B shareholder profit (turnaround year per management), broad multi-country Asia buyer base, no F1 conflicts, and majority-owner Jardine Matheson has no F1 ties (flagged, not disqualifying since Hongkong Land is not wholly-owned and the parent has no team/series sponsorship). Fit is a clean 4/4 given genuinely global footprint, luxury buyer base, and iconic global-ambition brand story.</t>
        </is>
      </c>
      <c r="P5" s="10" t="inlineStr">
        <is>
          <t>Asia's premier property company, with iconic developments across HK/China/Singapore/Vietnam — a global-ambition brand story tailored to F1's Asian calendar (Singapore, China GPs) (est).</t>
        </is>
      </c>
      <c r="Q5" s="10" t="inlineStr">
        <is>
          <t>parent: Jardine Matheson Group (large diversified conglomerate; no F1 sponsorship ties found)</t>
        </is>
      </c>
      <c r="R5" s="10" t="inlineStr">
        <is>
          <t>verified-existing</t>
        </is>
      </c>
      <c r="S5" s="10" t="inlineStr">
        <is>
          <t>2026-09-28</t>
        </is>
      </c>
    </row>
    <row r="6">
      <c r="A6" s="10" t="n">
        <v>3</v>
      </c>
      <c r="B6" s="10" t="n">
        <v>92</v>
      </c>
      <c r="C6" s="10" t="inlineStr">
        <is>
          <t>Prologis</t>
        </is>
      </c>
      <c r="D6" s="10" t="inlineStr">
        <is>
          <t>prologis.com</t>
        </is>
      </c>
      <c r="E6" s="10" t="inlineStr">
        <is>
          <t>San Francisco, California, US</t>
        </is>
      </c>
      <c r="F6" s="10" t="inlineStr">
        <is>
          <t>Public (NYSE: PLD), widely held REIT, no state ownership</t>
        </is>
      </c>
      <c r="G6" s="10" t="inlineStr">
        <is>
          <t>World's largest industrial/logistics REIT</t>
        </is>
      </c>
      <c r="H6" s="10" t="inlineStr">
        <is>
          <t>1k-5k</t>
        </is>
      </c>
      <c r="I6" s="10" t="inlineStr">
        <is>
          <t>$8.79B, FY2025, per SEC 8-K earnings release (sec.gov, filed early 2026)</t>
        </is>
      </c>
      <c r="J6" s="10" t="inlineStr">
        <is>
          <t>~$128-134B market cap, Aug 2026 (stockanalysis.com / PitchBook)</t>
        </is>
      </c>
      <c r="K6" s="10" t="inlineStr">
        <is>
          <t>N/A (public company)</t>
        </is>
      </c>
      <c r="L6" s="10" t="inlineStr">
        <is>
          <t>exceeds - mega-brand</t>
        </is>
      </c>
      <c r="M6" s="10" t="n">
        <v>4</v>
      </c>
      <c r="N6" s="10" t="inlineStr">
        <is>
          <t>Yes</t>
        </is>
      </c>
      <c r="O6" s="10" t="inlineStr">
        <is>
          <t>All hard filters clear by a wide margin (revenue $8.79B, market cap ~$130B, ~2,802 employees, highly profitable, global diversified tenant base, no F1 conflicts found, widely-held public ownership) and fit score is 4/4.</t>
        </is>
      </c>
      <c r="P6" s="10" t="inlineStr">
        <is>
          <t>World's largest logistics/industrial landlord powering global supply chains - a natural tie-in to F1's own high-precision, global logistics operation (est).</t>
        </is>
      </c>
      <c r="Q6" s="10" t="n"/>
      <c r="R6" s="10" t="inlineStr">
        <is>
          <t>verified-existing</t>
        </is>
      </c>
      <c r="S6" s="10" t="inlineStr">
        <is>
          <t>2026-09-28</t>
        </is>
      </c>
    </row>
    <row r="7">
      <c r="A7" s="10" t="n">
        <v>4</v>
      </c>
      <c r="B7" s="10" t="n">
        <v>92</v>
      </c>
      <c r="C7" s="10" t="inlineStr">
        <is>
          <t>Carlisle Companies</t>
        </is>
      </c>
      <c r="D7" s="10" t="inlineStr">
        <is>
          <t>carlisle.com</t>
        </is>
      </c>
      <c r="E7" s="10" t="inlineStr">
        <is>
          <t>US</t>
        </is>
      </c>
      <c r="F7" s="10" t="inlineStr">
        <is>
          <t>Public (NYSE: CSL); no state ties</t>
        </is>
      </c>
      <c r="G7" s="10" t="inlineStr">
        <is>
          <t>Building envelope/roofing &amp; weatherproofing products, North America + Europe</t>
        </is>
      </c>
      <c r="H7" s="10" t="inlineStr">
        <is>
          <t>5k-10k</t>
        </is>
      </c>
      <c r="I7" s="10" t="inlineStr">
        <is>
          <t>$5.02B (US$5,019.9M) FY2025 — Carlisle FY2025 10-K/ARS, sec.gov</t>
        </is>
      </c>
      <c r="J7" s="10" t="inlineStr">
        <is>
          <t>Market cap $12.5B as of Sep 18, 2026 — datainsightsmarket.com</t>
        </is>
      </c>
      <c r="K7" s="10" t="inlineStr">
        <is>
          <t>N/A — public company</t>
        </is>
      </c>
      <c r="L7" s="10" t="inlineStr">
        <is>
          <t>exceeds - mega-brand</t>
        </is>
      </c>
      <c r="M7" s="10" t="n">
        <v>4</v>
      </c>
      <c r="N7" s="10" t="inlineStr">
        <is>
          <t>Yes</t>
        </is>
      </c>
      <c r="O7" s="10" t="inlineStr">
        <is>
          <t>All hard filters clear: rev $5.02B FY2025 (SEC filing); mkt cap $12.5B (Sep 2026); 5,900 employees; consistently profitable industrial manufacturer with active buyback program, no distress signal; broad contractor/distributor customer base; no F1 team/series conflict found; public ownership, no compliance issue. Fit score 4.</t>
        </is>
      </c>
      <c r="P7" s="10" t="inlineStr">
        <is>
          <t>'Engineered for performance under extreme conditions' — weatherproofing/roofing technology story ties directly to F1's precision-engineering narrative; open building-materials category with genuine multi-market (US/Europe) commercial reach.</t>
        </is>
      </c>
      <c r="Q7" s="10" t="n"/>
      <c r="R7" s="10" t="inlineStr">
        <is>
          <t>verified-existing</t>
        </is>
      </c>
      <c r="S7" s="10" t="inlineStr">
        <is>
          <t>2026-09-28</t>
        </is>
      </c>
    </row>
    <row r="8">
      <c r="A8" s="10" t="n">
        <v>5</v>
      </c>
      <c r="B8" s="10" t="n">
        <v>92</v>
      </c>
      <c r="C8" s="10" t="inlineStr">
        <is>
          <t>CK Asset Holdings</t>
        </is>
      </c>
      <c r="D8" s="10" t="inlineStr">
        <is>
          <t>ckah.com</t>
        </is>
      </c>
      <c r="E8" s="10" t="inlineStr">
        <is>
          <t>Hong Kong</t>
        </is>
      </c>
      <c r="F8" s="10" t="inlineStr">
        <is>
          <t>Public (HKEX: 1113); family-controlled (Li Ka-shing/Victor Li), Hong Kong — not state-owned, not a sanctioned jurisdiction</t>
        </is>
      </c>
      <c r="G8" s="10" t="inlineStr">
        <is>
          <t>Diversified property development, investment &amp; infrastructure conglomerate — HK, mainland China, UK, international</t>
        </is>
      </c>
      <c r="H8" s="10" t="inlineStr">
        <is>
          <t>10k+</t>
        </is>
      </c>
      <c r="I8" s="10" t="inlineStr">
        <is>
          <t>HK$59.84B (~US$7.7B) FY2025, +31.43% YoY — companiesmarketcap.com</t>
        </is>
      </c>
      <c r="J8" s="10" t="inlineStr">
        <is>
          <t>Market cap ~US$21.55B as of Jul 2026 (source/date-dependent, range $13-21.5B) — stockanalysis.com</t>
        </is>
      </c>
      <c r="K8" s="10" t="inlineStr">
        <is>
          <t>N/A — public company</t>
        </is>
      </c>
      <c r="L8" s="10" t="inlineStr">
        <is>
          <t>exceeds - mega-brand</t>
        </is>
      </c>
      <c r="M8" s="10" t="n">
        <v>4</v>
      </c>
      <c r="N8" s="10" t="inlineStr">
        <is>
          <t>Yes</t>
        </is>
      </c>
      <c r="O8" s="10" t="inlineStr">
        <is>
          <t>All hard filters clear: rev ~US$7.7B FY2025 (+31% YoY); mkt cap far above $1B; ~54,000 employees group-wide; large diversified conglomerate, not distressed; broad customer base across property, retail and infrastructure arms; no F1 team/series conflict found; family-controlled but publicly listed, no state/sanctions/gambling/alcohol issue. Fit score 4.</t>
        </is>
      </c>
      <c r="P8" s="10" t="inlineStr">
        <is>
          <t>Global infrastructure-and-property conglomerate positioning around 'building the world's next-generation cities' — ties to F1's global-ambition/technology narrative, with genuine multi-continent reach (HK, China, UK, Europe).</t>
        </is>
      </c>
      <c r="Q8" s="10" t="inlineStr">
        <is>
          <t>complex group structure via CK Hutchison affiliates — sponsorship branding/attribution would need care</t>
        </is>
      </c>
      <c r="R8" s="10" t="inlineStr">
        <is>
          <t>verified-existing</t>
        </is>
      </c>
      <c r="S8" s="10" t="inlineStr">
        <is>
          <t>2026-09-28</t>
        </is>
      </c>
    </row>
    <row r="9">
      <c r="A9" s="10" t="n">
        <v>6</v>
      </c>
      <c r="B9" s="10" t="n">
        <v>92</v>
      </c>
      <c r="C9" s="10" t="inlineStr">
        <is>
          <t>Jones Lang LaSalle (JLL)</t>
        </is>
      </c>
      <c r="D9" s="10" t="inlineStr">
        <is>
          <t>jll.com</t>
        </is>
      </c>
      <c r="E9" s="10" t="inlineStr">
        <is>
          <t>US</t>
        </is>
      </c>
      <c r="F9" s="10" t="inlineStr">
        <is>
          <t>Public (NYSE: JLL); widely held, no state ties</t>
        </is>
      </c>
      <c r="G9" s="10" t="inlineStr">
        <is>
          <t>Global commercial real estate services &amp; investment management (LaSalle) — 80+ countries</t>
        </is>
      </c>
      <c r="H9" s="10" t="inlineStr">
        <is>
          <t>10k+</t>
        </is>
      </c>
      <c r="I9" s="10" t="inlineStr">
        <is>
          <t>$26.1B FY2025 — companiesmarketcap.com/FY2025 10-K</t>
        </is>
      </c>
      <c r="J9" s="10" t="inlineStr">
        <is>
          <t>Market cap $17.95B as of Aug 2026 — stockanalysis.com</t>
        </is>
      </c>
      <c r="K9" s="10" t="inlineStr">
        <is>
          <t>N/A — public company</t>
        </is>
      </c>
      <c r="L9" s="10" t="inlineStr">
        <is>
          <t>exceeds - mega-brand</t>
        </is>
      </c>
      <c r="M9" s="10" t="n">
        <v>4</v>
      </c>
      <c r="N9" s="10" t="inlineStr">
        <is>
          <t>Yes</t>
        </is>
      </c>
      <c r="O9" s="10" t="inlineStr">
        <is>
          <t>All hard filters clear: rev $26.1B FY2025; mkt cap $17.95B (Aug 2026); 113,200 employees FY2025; large diversified global services firm with no distress signal in available data; broad global client base across corporate and institutional real estate; no F1 team/series conflict found; public ownership, no compliance issue. Fit score 4.</t>
        </is>
      </c>
      <c r="P9" s="10" t="inlineStr">
        <is>
          <t>Global CRE and investment-management leader positioning around 'data-driven real estate for a global economy' — genuine multi-continent reach and C-suite client overlap with F1's corporate hospitality network make this a strong open-category fit.</t>
        </is>
      </c>
      <c r="Q9" s="10" t="n"/>
      <c r="R9" s="10" t="inlineStr">
        <is>
          <t>verified-existing</t>
        </is>
      </c>
      <c r="S9" s="10" t="inlineStr">
        <is>
          <t>2026-09-28</t>
        </is>
      </c>
    </row>
    <row r="10">
      <c r="A10" s="10" t="n">
        <v>7</v>
      </c>
      <c r="B10" s="10" t="n">
        <v>92</v>
      </c>
      <c r="C10" s="10" t="inlineStr">
        <is>
          <t>Lixil Corporation</t>
        </is>
      </c>
      <c r="D10" s="10" t="inlineStr">
        <is>
          <t>lixil.com</t>
        </is>
      </c>
      <c r="E10" s="10" t="inlineStr">
        <is>
          <t>Japan</t>
        </is>
      </c>
      <c r="F10" s="10" t="inlineStr">
        <is>
          <t>Public (TSE: 5938)</t>
        </is>
      </c>
      <c r="G10" s="10" t="inlineStr">
        <is>
          <t>Global building/water &amp; housing technology products (GROHE, American Standard, INAX)</t>
        </is>
      </c>
      <c r="H10" s="10" t="inlineStr">
        <is>
          <t>10k+ (~54,000 globally, est. from general public reporting; not re-verified this session before search budget ended)</t>
        </is>
      </c>
      <c r="I10" s="10" t="inlineStr">
        <is>
          <t>JPY 1,504.7B (~USD 10B) for FY ended 31 Mar 2025, +1.4% YoY; core earnings +35% YoY (LIXIL FYE2025 results, 30 Apr 2025, newsroom.lixil.com); H1 FYE2026 core earnings +60% YoY (31 Oct 2025 release)</t>
        </is>
      </c>
      <c r="J10" s="10" t="inlineStr">
        <is>
          <t>Market cap ~USD 3.2B as of 1 Sep 2026 (stockanalysis.com/PitchBook, Sep 2026)</t>
        </is>
      </c>
      <c r="K10" s="10" t="inlineStr">
        <is>
          <t>N/A (public company)</t>
        </is>
      </c>
      <c r="L10" s="10" t="inlineStr">
        <is>
          <t>meets parameters</t>
        </is>
      </c>
      <c r="M10" s="10" t="n">
        <v>4</v>
      </c>
      <c r="N10" s="10" t="inlineStr">
        <is>
          <t>Yes</t>
        </is>
      </c>
      <c r="O10" s="10" t="inlineStr">
        <is>
          <t>Passes all hard filters cleanly: revenue and market cap ($3.2B) both clear their bars, headcount well above 51, core earnings clearly improving (+35-60% YoY), diversified global customer base, no F1 ties, no ownership issues; fit score 4</t>
        </is>
      </c>
      <c r="P10" s="10" t="inlineStr">
        <is>
          <t>Water/housing 'technology' precision-engineering story (GROHE, American Standard) targeting a global affluent-homeowner and B2B-developer audience, open building-products category (est)</t>
        </is>
      </c>
      <c r="Q10" s="10" t="n"/>
      <c r="R10" s="10" t="inlineStr">
        <is>
          <t>verified-existing</t>
        </is>
      </c>
      <c r="S10" s="10" t="inlineStr">
        <is>
          <t>2026-09-28</t>
        </is>
      </c>
    </row>
    <row r="11">
      <c r="A11" s="10" t="n">
        <v>8</v>
      </c>
      <c r="B11" s="10" t="n">
        <v>92</v>
      </c>
      <c r="C11" s="10" t="inlineStr">
        <is>
          <t>Mitsubishi Estate</t>
        </is>
      </c>
      <c r="D11" s="10" t="inlineStr">
        <is>
          <t>mec.co.jp</t>
        </is>
      </c>
      <c r="E11" s="10" t="inlineStr">
        <is>
          <t>Japan</t>
        </is>
      </c>
      <c r="F11" s="10" t="inlineStr">
        <is>
          <t>Public (TSE: 8802)</t>
        </is>
      </c>
      <c r="G11" s="10" t="inlineStr">
        <is>
          <t>Marunouchi/Tokyo commercial real estate developer with a global portfolio (US, UK, Asia)</t>
        </is>
      </c>
      <c r="H11" s="10" t="inlineStr">
        <is>
          <t>10k+ (group figures range ~11,400-19,500 depending on source/consolidation basis)</t>
        </is>
      </c>
      <c r="I11" s="10" t="inlineStr">
        <is>
          <t>JPY 1.75T (~USD 11-12B) for FY ended Mar 2026, +10.53% YoY (stockanalysis.com, 2026)</t>
        </is>
      </c>
      <c r="J11" s="10" t="inlineStr">
        <is>
          <t>Market cap ~USD 28-31B as of Jul-Aug 2026 (companiesmarketcap.com/PitchBook, 2026)</t>
        </is>
      </c>
      <c r="K11" s="10" t="inlineStr">
        <is>
          <t>N/A (public company)</t>
        </is>
      </c>
      <c r="L11" s="10" t="inlineStr">
        <is>
          <t>exceeds - mega-brand</t>
        </is>
      </c>
      <c r="M11" s="10" t="n">
        <v>4</v>
      </c>
      <c r="N11" s="10" t="inlineStr">
        <is>
          <t>Yes</t>
        </is>
      </c>
      <c r="O11" s="10" t="inlineStr">
        <is>
          <t>Passes all hard filters cleanly: revenue and market cap far above bars, headcount well above 51, revenue growing double digits, diversified tenant/buyer base, no F1 ties, no ownership issues; fit score 4</t>
        </is>
      </c>
      <c r="P11" s="10" t="inlineStr">
        <is>
          <t>Global real-estate/urban-development 'building the future' story leveraging Marunouchi/global-portfolio prestige, open category, with Japanese GP market-timing tie-in (est)</t>
        </is>
      </c>
      <c r="Q11" s="10" t="n"/>
      <c r="R11" s="10" t="inlineStr">
        <is>
          <t>verified-existing</t>
        </is>
      </c>
      <c r="S11" s="10" t="inlineStr">
        <is>
          <t>2026-09-28</t>
        </is>
      </c>
    </row>
    <row r="12">
      <c r="A12" s="10" t="n">
        <v>9</v>
      </c>
      <c r="B12" s="10" t="n">
        <v>84</v>
      </c>
      <c r="C12" s="10" t="inlineStr">
        <is>
          <t>REA Group</t>
        </is>
      </c>
      <c r="D12" s="10" t="inlineStr">
        <is>
          <t>rea-group.com</t>
        </is>
      </c>
      <c r="E12" s="10" t="inlineStr">
        <is>
          <t>Melbourne, Australia</t>
        </is>
      </c>
      <c r="F12" s="10" t="inlineStr">
        <is>
          <t>Public (ASX: REA); News Corp holds a 61% majority stake (2025) - parent is a global media group with no F1 sponsorship ties</t>
        </is>
      </c>
      <c r="G12" s="10" t="inlineStr">
        <is>
          <t>realestate.com.au parent, global property portals</t>
        </is>
      </c>
      <c r="H12" s="10" t="inlineStr">
        <is>
          <t>1k-5k</t>
        </is>
      </c>
      <c r="I12" s="10" t="inlineStr">
        <is>
          <t>AUD $1.93B, FY2025 (year ended Dec 31, 2025), per company financials (stockanalysis.com)</t>
        </is>
      </c>
      <c r="J12" s="10" t="inlineStr">
        <is>
          <t>~AUD $27.9B market cap, 2026 (stockanalysis.com)</t>
        </is>
      </c>
      <c r="K12" s="10" t="inlineStr">
        <is>
          <t>N/A (public company)</t>
        </is>
      </c>
      <c r="L12" s="10" t="inlineStr">
        <is>
          <t>exceeds - mega-brand</t>
        </is>
      </c>
      <c r="M12" s="10" t="n">
        <v>3</v>
      </c>
      <c r="N12" s="10" t="inlineStr">
        <is>
          <t>Yes</t>
        </is>
      </c>
      <c r="O12" s="10" t="inlineStr">
        <is>
          <t>Hard filters pass cleanly (revenue AUD $1.93B, market cap ~AUD $27.9B, ~3,406 employees, profitable and growing 15% YoY, no F1 conflicts, no compliance issues); majority ownership by News Corp carries no F1 tie. Fit score 3/4.</t>
        </is>
      </c>
      <c r="P12" s="10" t="inlineStr">
        <is>
          <t>Data/AI-driven property marketplace leadership - a technology and precision-matching narrative aimed at affluent property buyers and agents (est).</t>
        </is>
      </c>
      <c r="Q12" s="10" t="inlineStr">
        <is>
          <t>parent: News Corp (61% stake), no F1 ties</t>
        </is>
      </c>
      <c r="R12" s="10" t="inlineStr">
        <is>
          <t>verified-existing</t>
        </is>
      </c>
      <c r="S12" s="10" t="inlineStr">
        <is>
          <t>2026-09-28</t>
        </is>
      </c>
    </row>
    <row r="13">
      <c r="A13" s="10" t="n">
        <v>10</v>
      </c>
      <c r="B13" s="10" t="n">
        <v>84</v>
      </c>
      <c r="C13" s="10" t="inlineStr">
        <is>
          <t>Rightmove plc</t>
        </is>
      </c>
      <c r="D13" s="10" t="inlineStr">
        <is>
          <t>rightmove.co.uk</t>
        </is>
      </c>
      <c r="E13" s="10" t="inlineStr">
        <is>
          <t>Milton Keynes, UK</t>
        </is>
      </c>
      <c r="F13" s="10" t="inlineStr">
        <is>
          <t>Public (LSE: RMV), widely held, no majority owner</t>
        </is>
      </c>
      <c r="G13" s="10" t="inlineStr">
        <is>
          <t>UK's largest property portal</t>
        </is>
      </c>
      <c r="H13" s="10" t="inlineStr">
        <is>
          <t>201-1k</t>
        </is>
      </c>
      <c r="I13" s="10" t="inlineStr">
        <is>
          <t>£425.1M, FY2025, per company results (2025 annual report / stockanalysis.com)</t>
        </is>
      </c>
      <c r="J13" s="10" t="inlineStr">
        <is>
          <t>£3.85B market cap, year-end 2025 (~$4.9-5.15B), stockanalysis.com (2026)</t>
        </is>
      </c>
      <c r="K13" s="10" t="inlineStr">
        <is>
          <t>N/A (public company)</t>
        </is>
      </c>
      <c r="L13" s="10" t="inlineStr">
        <is>
          <t>meets parameters</t>
        </is>
      </c>
      <c r="M13" s="10" t="n">
        <v>3</v>
      </c>
      <c r="N13" s="10" t="inlineStr">
        <is>
          <t>Yes</t>
        </is>
      </c>
      <c r="O13" s="10" t="inlineStr">
        <is>
          <t>All hard filters pass (revenue £425M, market cap £3.85B/~$4.9B, ~900 employees, highly profitable, no F1 ties found, widely-held public ownership). Fit score 3/4.</t>
        </is>
      </c>
      <c r="P13" s="10" t="inlineStr">
        <is>
          <t>UK's #1 property portal - a technology/data-matching precision story aimed at affluent home-movers (est).</t>
        </is>
      </c>
      <c r="Q13" s="10" t="n"/>
      <c r="R13" s="10" t="inlineStr">
        <is>
          <t>verified-existing</t>
        </is>
      </c>
      <c r="S13" s="10" t="inlineStr">
        <is>
          <t>2026-09-28</t>
        </is>
      </c>
    </row>
    <row r="14">
      <c r="A14" s="10" t="n">
        <v>11</v>
      </c>
      <c r="B14" s="10" t="n">
        <v>84</v>
      </c>
      <c r="C14" s="10" t="inlineStr">
        <is>
          <t>Scout24 SE (ImmoScout24)</t>
        </is>
      </c>
      <c r="D14" s="10" t="inlineStr">
        <is>
          <t>scout24.com</t>
        </is>
      </c>
      <c r="E14" s="10" t="inlineStr">
        <is>
          <t>Munich/Berlin, Germany</t>
        </is>
      </c>
      <c r="F14" s="10" t="inlineStr">
        <is>
          <t>Public (XETRA: G24); prior PE ownership (Hellman &amp; Friedman, Blackstone, ~2013-2016/2018) fully exited - public free-float structure by 2024/2025</t>
        </is>
      </c>
      <c r="G14" s="10" t="inlineStr">
        <is>
          <t>Leading German digital property/auto marketplace</t>
        </is>
      </c>
      <c r="H14" s="10" t="inlineStr">
        <is>
          <t>1k-5k</t>
        </is>
      </c>
      <c r="I14" s="10" t="inlineStr">
        <is>
          <t>€649.56M, FY2025, per company financials (stockanalysis.com)</t>
        </is>
      </c>
      <c r="J14" s="10" t="inlineStr">
        <is>
          <t>~€5.9-6.11B market cap, 2025/2026 (finbox.com / stockanalysis.com)</t>
        </is>
      </c>
      <c r="K14" s="10" t="inlineStr">
        <is>
          <t>N/A (public company)</t>
        </is>
      </c>
      <c r="L14" s="10" t="inlineStr">
        <is>
          <t>meets parameters</t>
        </is>
      </c>
      <c r="M14" s="10" t="n">
        <v>3</v>
      </c>
      <c r="N14" s="10" t="inlineStr">
        <is>
          <t>Yes</t>
        </is>
      </c>
      <c r="O14" s="10" t="inlineStr">
        <is>
          <t>All hard filters pass (revenue €650M, market cap ~€6B, ~1,111 employees, growing ~15% YoY, no F1 ties found, no current PE control - prior PE owners fully exited years ago). Fit score 3/4.</t>
        </is>
      </c>
      <c r="P14" s="10" t="inlineStr">
        <is>
          <t>Leading German digital property/auto marketplace - a data-driven matching technology narrative (est).</t>
        </is>
      </c>
      <c r="Q14" s="10" t="n"/>
      <c r="R14" s="10" t="inlineStr">
        <is>
          <t>verified-existing</t>
        </is>
      </c>
      <c r="S14" s="10" t="inlineStr">
        <is>
          <t>2026-09-28</t>
        </is>
      </c>
    </row>
    <row r="15">
      <c r="A15" s="10" t="n">
        <v>12</v>
      </c>
      <c r="B15" s="10" t="n">
        <v>84</v>
      </c>
      <c r="C15" s="10" t="inlineStr">
        <is>
          <t>Andersen Corporation</t>
        </is>
      </c>
      <c r="D15" s="10" t="inlineStr">
        <is>
          <t>andersenwindows.com</t>
        </is>
      </c>
      <c r="E15" s="10" t="inlineStr">
        <is>
          <t>US</t>
        </is>
      </c>
      <c r="F15" s="10" t="inlineStr">
        <is>
          <t>Private, family-owned (Hendricks/Andersen family) — no published valuation</t>
        </is>
      </c>
      <c r="G15" s="10" t="inlineStr">
        <is>
          <t>Largest North American windows/doors manufacturer</t>
        </is>
      </c>
      <c r="H15" s="10" t="inlineStr">
        <is>
          <t>10k+</t>
        </is>
      </c>
      <c r="I15" s="10" t="inlineStr">
        <is>
          <t>~$5.4B (est) 2025 revenue — industry estimate, 2025</t>
        </is>
      </c>
      <c r="J15" s="10" t="inlineStr">
        <is>
          <t>N/A — private, family-owned, no published valuation</t>
        </is>
      </c>
      <c r="K15" s="10" t="inlineStr">
        <is>
          <t>N/A — private, no external funding rounds</t>
        </is>
      </c>
      <c r="L15" s="10" t="inlineStr">
        <is>
          <t>meets parameters</t>
        </is>
      </c>
      <c r="M15" s="10" t="n">
        <v>3</v>
      </c>
      <c r="N15" s="10" t="inlineStr">
        <is>
          <t>Yes</t>
        </is>
      </c>
      <c r="O15" s="10" t="inlineStr">
        <is>
          <t>Passes on revenue alone per the family-owned exception (~$5.4B est. 2025 revenue, well above the $100M bar regardless); 14,000+ employees (Andersen company news, 2025); profitable with no distress signal (record $52.2M employee profit-sharing distribution in 2025); no F1 team/series conflict found; ownership is family, not state/gambling/alcohol. Fit score 3.</t>
        </is>
      </c>
      <c r="P15" s="10" t="inlineStr">
        <is>
          <t>Largest North American window/door maker positioning around 'engineered for performance in extreme conditions' — precision manufacturing and weatherproofing technology maps well to a technical-partner sponsorship; open category on the grid.</t>
        </is>
      </c>
      <c r="Q15" s="10" t="inlineStr">
        <is>
          <t>family-owned, no published valuation</t>
        </is>
      </c>
      <c r="R15" s="10" t="inlineStr">
        <is>
          <t>verified-existing</t>
        </is>
      </c>
      <c r="S15" s="10" t="inlineStr">
        <is>
          <t>2026-09-28</t>
        </is>
      </c>
    </row>
    <row r="16">
      <c r="A16" s="10" t="n">
        <v>13</v>
      </c>
      <c r="B16" s="10" t="n">
        <v>84</v>
      </c>
      <c r="C16" s="10" t="inlineStr">
        <is>
          <t>Sumitomo Forestry Co.</t>
        </is>
      </c>
      <c r="D16" s="10" t="inlineStr">
        <is>
          <t>sfc.co.jp</t>
        </is>
      </c>
      <c r="E16" s="10" t="inlineStr">
        <is>
          <t>Japan</t>
        </is>
      </c>
      <c r="F16" s="10" t="inlineStr">
        <is>
          <t>Public (TSE: 1911); no state, gambling, or alcohol ties</t>
        </is>
      </c>
      <c r="G16" s="10" t="inlineStr">
        <is>
          <t>Timber, wood products and housing conglomerate with international homebuilding subsidiaries</t>
        </is>
      </c>
      <c r="H16" s="10" t="inlineStr">
        <is>
          <t>10k+</t>
        </is>
      </c>
      <c r="I16" s="10" t="inlineStr">
        <is>
          <t>~$15.2B TTM revenue (¥2.27T FY2025, +10.4% YoY) (tipranks.com/stockanalysis.com, as of Dec 2025)</t>
        </is>
      </c>
      <c r="J16" s="10" t="inlineStr">
        <is>
          <t>~$5.16B market cap (disfold.com, as of Jul 2026)</t>
        </is>
      </c>
      <c r="K16" s="10" t="inlineStr">
        <is>
          <t>N/A - public company</t>
        </is>
      </c>
      <c r="L16" s="10" t="inlineStr">
        <is>
          <t>exceeds - mega-brand</t>
        </is>
      </c>
      <c r="M16" s="10" t="n">
        <v>3</v>
      </c>
      <c r="N16" s="10" t="inlineStr">
        <is>
          <t>Yes</t>
        </is>
      </c>
      <c r="O16" s="10" t="inlineStr">
        <is>
          <t>All hard filters pass: revenue $15.2B, market cap $5.16B, headcount 30k+, profitable and growing (+10.4% YoY), diversified international housing/timber customer base, no F1 sponsorship ties found (distinct from unrelated Sumitomo Rubber/Dunlop-Falken tire business), non-state Japanese public company. Fit score 3/4 on genuine international footprint.</t>
        </is>
      </c>
      <c r="P16" s="10" t="inlineStr">
        <is>
          <t>Global sustainable-construction and precision wood-engineering story aligned with F1's sustainability push, leveraging international homebuilding footprint across F1 host markets (est)</t>
        </is>
      </c>
      <c r="Q16" s="10" t="n"/>
      <c r="R16" s="10" t="inlineStr">
        <is>
          <t>verified-existing</t>
        </is>
      </c>
      <c r="S16" s="10" t="inlineStr">
        <is>
          <t>2026-09-28</t>
        </is>
      </c>
    </row>
    <row r="17">
      <c r="A17" s="10" t="n">
        <v>14</v>
      </c>
      <c r="B17" s="10" t="n">
        <v>84</v>
      </c>
      <c r="C17" s="10" t="inlineStr">
        <is>
          <t>Sun Hung Kai Properties</t>
        </is>
      </c>
      <c r="D17" s="10" t="inlineStr">
        <is>
          <t>shkp.com</t>
        </is>
      </c>
      <c r="E17" s="10" t="inlineStr">
        <is>
          <t>Hong Kong</t>
        </is>
      </c>
      <c r="F17" s="10" t="inlineStr">
        <is>
          <t>Public (HKEX: 0016); family-controlled (Kwok family); no state ownership</t>
        </is>
      </c>
      <c r="G17" s="10" t="inlineStr">
        <is>
          <t>Largest HK-listed property developer (residential, office, retail, incl. ICC tower)</t>
        </is>
      </c>
      <c r="H17" s="10" t="inlineStr">
        <is>
          <t>10k+</t>
        </is>
      </c>
      <c r="I17" s="10" t="inlineStr">
        <is>
          <t>~$11.9B TTM revenue (HK$79.7B FY2025) (tipranks.com/companiesmarketcap.com, as of Dec 2025)</t>
        </is>
      </c>
      <c r="J17" s="10" t="inlineStr">
        <is>
          <t>~$43B-$51B market cap, sources vary (companiesmarketcap.com/stockanalysis.com, 2026)</t>
        </is>
      </c>
      <c r="K17" s="10" t="inlineStr">
        <is>
          <t>N/A - public company</t>
        </is>
      </c>
      <c r="L17" s="10" t="inlineStr">
        <is>
          <t>exceeds - mega-brand</t>
        </is>
      </c>
      <c r="M17" s="10" t="n">
        <v>3</v>
      </c>
      <c r="N17" s="10" t="inlineStr">
        <is>
          <t>Yes</t>
        </is>
      </c>
      <c r="O17" s="10" t="inlineStr">
        <is>
          <t>All hard filters pass: revenue ~$11.9B, market cap ~$43-51B, headcount 19.8k-38k (sources vary), profitable, broad tenant/buyer base, no F1 sponsorship ties found, family-controlled non-state HK public company. Fit score 3/4 driven by strong landmark/global-ambition brand story.</t>
        </is>
      </c>
      <c r="P17" s="10" t="inlineStr">
        <is>
          <t>Iconic-engineering and skyline-ambition narrative tied to F1's global prestige, targeting luxury property buyers and corporate tenants across Asia (est)</t>
        </is>
      </c>
      <c r="Q17" s="10" t="n"/>
      <c r="R17" s="10" t="inlineStr">
        <is>
          <t>verified-existing</t>
        </is>
      </c>
      <c r="S17" s="10" t="inlineStr">
        <is>
          <t>2026-09-28</t>
        </is>
      </c>
    </row>
    <row r="18">
      <c r="A18" s="10" t="n">
        <v>15</v>
      </c>
      <c r="B18" s="10" t="n">
        <v>84</v>
      </c>
      <c r="C18" s="10" t="inlineStr">
        <is>
          <t>VELUX Group</t>
        </is>
      </c>
      <c r="D18" s="10" t="inlineStr">
        <is>
          <t>velux.com</t>
        </is>
      </c>
      <c r="E18" s="10" t="inlineStr">
        <is>
          <t>Denmark</t>
        </is>
      </c>
      <c r="F18" s="10" t="inlineStr">
        <is>
          <t>Private, foundation/family-owned via VKR Holding (Villum/VELUX Foundations) — no state ties (press.velux.com, VKR Holding AGM filing, Mar 2025)</t>
        </is>
      </c>
      <c r="G18" s="10" t="inlineStr">
        <is>
          <t>Roof windows/skylights manufacturer, sold in 40+ countries</t>
        </is>
      </c>
      <c r="H18" s="10" t="inlineStr">
        <is>
          <t>10k+</t>
        </is>
      </c>
      <c r="I18" s="10" t="inlineStr">
        <is>
          <t>VELUX Group revenue EUR 2.97B in FY2025 (VKR Holding total revenue EUR 4.11B FY2025); prior year EUR 2.96B (2024) — source: press.velux.com sustainability/financial release, 2025-2026</t>
        </is>
      </c>
      <c r="J18" s="10" t="inlineStr">
        <is>
          <t>N/A — foundation/family-owned, no published valuation (family-owned exception applies)</t>
        </is>
      </c>
      <c r="K18" s="10" t="inlineStr">
        <is>
          <t>N/A — foundation-owned, no external capital raise</t>
        </is>
      </c>
      <c r="L18" s="10" t="inlineStr">
        <is>
          <t>exceeds - mega-brand</t>
        </is>
      </c>
      <c r="M18" s="10" t="n">
        <v>3</v>
      </c>
      <c r="N18" s="10" t="inlineStr">
        <is>
          <t>Yes</t>
        </is>
      </c>
      <c r="O18" s="10" t="inlineStr">
        <is>
          <t>All hard filters clear comfortably: revenue far exceeds $100M bar, family/foundation ownership passes the no-valuation exception, headcount 10k+, financially stable and profitable, global multi-market consumer/trade audience, no F1 conflicts, no compliance issues. Fit score 3/4 with an open category.</t>
        </is>
      </c>
      <c r="P18" s="10" t="inlineStr">
        <is>
          <t>Global home-improvement/sustainability brand story — 'engineering light and air' positioned via building-products category, which is currently open on the 2026 grid.</t>
        </is>
      </c>
      <c r="Q18" s="10" t="inlineStr">
        <is>
          <t>family/foundation-owned, no published valuation</t>
        </is>
      </c>
      <c r="R18" s="10" t="inlineStr">
        <is>
          <t>verified-existing</t>
        </is>
      </c>
      <c r="S18" s="10" t="inlineStr">
        <is>
          <t>2026-09-28</t>
        </is>
      </c>
    </row>
    <row r="19">
      <c r="A19" s="10" t="n">
        <v>16</v>
      </c>
      <c r="B19" s="10" t="n">
        <v>84</v>
      </c>
      <c r="C19" s="10" t="inlineStr">
        <is>
          <t>Oberoi Realty</t>
        </is>
      </c>
      <c r="D19" s="10" t="inlineStr">
        <is>
          <t>oberoirealty.com</t>
        </is>
      </c>
      <c r="E19" s="10" t="inlineStr">
        <is>
          <t>India</t>
        </is>
      </c>
      <c r="F19" s="10" t="inlineStr">
        <is>
          <t>Public (NSE/BSE: OBEROIRLTY), Oberoi family promoter holding ~67.7% — no state ties (screener.in, 2026)</t>
        </is>
      </c>
      <c r="G19" s="10" t="inlineStr">
        <is>
          <t>Mumbai luxury developer</t>
        </is>
      </c>
      <c r="H19" s="10" t="inlineStr">
        <is>
          <t>201-1k</t>
        </is>
      </c>
      <c r="I19" s="10" t="inlineStr">
        <is>
          <t>₹6,304 crore (~$716M USD est) most recent FY, profit ₹2,630 crore (~42% margin) — source: screener.in / tipranks.com, 2026</t>
        </is>
      </c>
      <c r="J19" s="10" t="inlineStr">
        <is>
          <t>Market cap ₹67,266 crore (~$7.6B USD est) as of Sep 24 2026 — source: screener.in</t>
        </is>
      </c>
      <c r="K19" s="10" t="inlineStr">
        <is>
          <t>N/A — public company, no recent capital raise; strong organic profitability</t>
        </is>
      </c>
      <c r="L19" s="10" t="inlineStr">
        <is>
          <t>meets parameters</t>
        </is>
      </c>
      <c r="M19" s="10" t="n">
        <v>3</v>
      </c>
      <c r="N19" s="10" t="inlineStr">
        <is>
          <t>Yes</t>
        </is>
      </c>
      <c r="O19" s="10" t="inlineStr">
        <is>
          <t>All hard filters pass cleanly: revenue and valuation both comfortably clear their bars, very strong ~42% profit margin (clearly not in distress), broad buyer base across multiple luxury projects, no F1 ties, no compliance issues. Fit score of 3/4 driven by a genuinely affluent buyer base and an open category outweighs the single-market limitation.</t>
        </is>
      </c>
      <c r="P19" s="10" t="inlineStr">
        <is>
          <t>Ultra-luxury real estate brand tied to F1's exclusive lifestyle audience — hospitality/paddock-club style experiential association targeting Mumbai's UHNI clientele.</t>
        </is>
      </c>
      <c r="Q19" s="10" t="n"/>
      <c r="R19" s="10" t="inlineStr">
        <is>
          <t>verified-existing</t>
        </is>
      </c>
      <c r="S19" s="10" t="inlineStr">
        <is>
          <t>2026-09-28</t>
        </is>
      </c>
    </row>
    <row r="20">
      <c r="A20" s="11" t="n">
        <v>17</v>
      </c>
      <c r="B20" s="11" t="n">
        <v>64</v>
      </c>
      <c r="C20" s="11" t="inlineStr">
        <is>
          <t>Grosvenor Group</t>
        </is>
      </c>
      <c r="D20" s="11" t="inlineStr">
        <is>
          <t>grosvenor.com</t>
        </is>
      </c>
      <c r="E20" s="11" t="inlineStr">
        <is>
          <t>UK</t>
        </is>
      </c>
      <c r="F20" s="11" t="inlineStr">
        <is>
          <t>Private, family-owned (Hugh Grosvenor, 7th Duke of Westminster, Chair) — no state stake</t>
        </is>
      </c>
      <c r="G20" s="11" t="inlineStr">
        <is>
          <t>Global prime property investor/developer across London, Hong Kong, mainland China, Japan, and the Americas; ultra-prime/HNW and institutional tenants</t>
        </is>
      </c>
      <c r="H20" s="11" t="inlineStr">
        <is>
          <t>201-1k</t>
        </is>
      </c>
      <c r="I20" s="11" t="inlineStr">
        <is>
          <t>UK arm revenue profit £88.8m FY2025 (+15% YoY); international urban property recorded a revenue loss of £23.2m FY2025 (grosvenor.com annual results, 2026) — consolidated group revenue figure not separately published</t>
        </is>
      </c>
      <c r="J20" s="11" t="inlineStr">
        <is>
          <t>N/A — private, no published valuation (family-owned)</t>
        </is>
      </c>
      <c r="K20" s="11" t="inlineStr">
        <is>
          <t>N/A — privately held, no external raise identified</t>
        </is>
      </c>
      <c r="L20" s="11" t="inlineStr">
        <is>
          <t>meets parameters</t>
        </is>
      </c>
      <c r="M20" s="11" t="n">
        <v>4</v>
      </c>
      <c r="N20" s="11" t="inlineStr">
        <is>
          <t>Stretch</t>
        </is>
      </c>
      <c r="O20" s="11" t="inlineStr">
        <is>
          <t>Passes on the family-owned exception (no published valuation; UK arm alone posted £88.8m revenue profit and 97% occupancy) with a strong 4/4 fit (genuinely global footprint, ultra-prime buyers, 300-year global-ambition brand, open category) — but the lack of a published valuation and a single consolidated revenue figure keeps this a Stretch rather than a clean Yes.</t>
        </is>
      </c>
      <c r="P20" s="11" t="inlineStr">
        <is>
          <t>A 300-year-old global property steward (the Duke of Westminster's estate) spanning London, Hong Kong, San Francisco and Tokyo — a heritage-meets-global-ambition story tailored to F1's ultra-affluent international audience (est).</t>
        </is>
      </c>
      <c r="Q20" s="11" t="inlineStr">
        <is>
          <t>family-owned, no published valuation</t>
        </is>
      </c>
      <c r="R20" s="11" t="inlineStr">
        <is>
          <t>verified-existing</t>
        </is>
      </c>
      <c r="S20" s="11" t="inlineStr">
        <is>
          <t>2026-09-28</t>
        </is>
      </c>
    </row>
    <row r="21">
      <c r="A21" s="11" t="n">
        <v>18</v>
      </c>
      <c r="B21" s="11" t="n">
        <v>64</v>
      </c>
      <c r="C21" s="11" t="inlineStr">
        <is>
          <t>Tishman Speyer</t>
        </is>
      </c>
      <c r="D21" s="11" t="inlineStr">
        <is>
          <t>tishmanspeyer.com</t>
        </is>
      </c>
      <c r="E21" s="11" t="inlineStr">
        <is>
          <t>New York, US</t>
        </is>
      </c>
      <c r="F21" s="11" t="inlineStr">
        <is>
          <t>Private, family-controlled (Speyer family - founders Jerry Speyer/Robert Tishman; current leadership includes Rob Speyer as CEO); no state or compliance flags</t>
        </is>
      </c>
      <c r="G21" s="11" t="inlineStr">
        <is>
          <t>Private global developer/investor (Rockefeller Center)</t>
        </is>
      </c>
      <c r="H21" s="11" t="inlineStr">
        <is>
          <t>1k-5k</t>
        </is>
      </c>
      <c r="I21" s="11" t="inlineStr">
        <is>
          <t>No published figure; third-party estimate $100-500M/yr (Owler, undated) - likely well above $100M given the ~83M sq ft / ~$63B portfolio (as of Q3 2024 disclosure) generating rental/fee income (est)</t>
        </is>
      </c>
      <c r="J21" s="11" t="inlineStr">
        <is>
          <t>No published valuation (private, family-owned) - flagged per family-owned exception (est)</t>
        </is>
      </c>
      <c r="K21" s="11" t="inlineStr">
        <is>
          <t>N/A (privately held, no published funding round)</t>
        </is>
      </c>
      <c r="L21" s="11" t="inlineStr">
        <is>
          <t>exceeds - mega-brand</t>
        </is>
      </c>
      <c r="M21" s="11" t="n">
        <v>4</v>
      </c>
      <c r="N21" s="11" t="inlineStr">
        <is>
          <t>Stretch</t>
        </is>
      </c>
      <c r="O21" s="11" t="inlineStr">
        <is>
          <t>No hard filter is confirmed failing (family-owned exception applies, revenue plausibly clears the $100M bar, no F1 ties found, healthy scale/capacity via a ~$63B portfolio) and fit score is a strong 4/4, but the entirely unverified/estimated revenue and valuation figures are a real reservation, capping this at Stretch rather than Yes.</t>
        </is>
      </c>
      <c r="P21" s="11" t="inlineStr">
        <is>
          <t>Global portfolio of iconic, precision-engineered developments (Rockefeller Center, global class-A towers) - a strong 'global ambition meets precision' brand story (est).</t>
        </is>
      </c>
      <c r="Q21" s="11" t="inlineStr">
        <is>
          <t>family-owned, no published valuation (per family-owned exception); revenue is a third-party estimate, not independently confirmed</t>
        </is>
      </c>
      <c r="R21" s="11" t="inlineStr">
        <is>
          <t>verified-existing</t>
        </is>
      </c>
      <c r="S21" s="11" t="inlineStr">
        <is>
          <t>2026-09-28</t>
        </is>
      </c>
    </row>
    <row r="22">
      <c r="A22" s="11" t="n">
        <v>19</v>
      </c>
      <c r="B22" s="11" t="n">
        <v>64</v>
      </c>
      <c r="C22" s="11" t="inlineStr">
        <is>
          <t>Keppel Ltd</t>
        </is>
      </c>
      <c r="D22" s="11" t="inlineStr">
        <is>
          <t>kepcorp.com</t>
        </is>
      </c>
      <c r="E22" s="11" t="inlineStr">
        <is>
          <t>Singapore</t>
        </is>
      </c>
      <c r="F22" s="11" t="inlineStr">
        <is>
          <t>Public (SGX: BN4); Temasek Holdings minority stake ~21% (Wikipedia/company disclosures, Mar 2025) - not majority state-owned</t>
        </is>
      </c>
      <c r="G22" s="11" t="inlineStr">
        <is>
          <t>Global asset manager and operator - infrastructure (power, data centers, decarbonization/sustainability solutions), real estate, and asset management, post-2023 restructuring after Seatrium O&amp;M divestment</t>
        </is>
      </c>
      <c r="H22" s="11" t="inlineStr">
        <is>
          <t>1k-5k</t>
        </is>
      </c>
      <c r="I22" s="11" t="inlineStr">
        <is>
          <t>SGD 5,983M (~USD 4.4B) FY2025 total revenue, +3% YoY; net profit $1.1B, +39% YoY (Keppel FY2025 results release, 5 Feb 2026, keppel.com/sgx filing)</t>
        </is>
      </c>
      <c r="J22" s="11" t="inlineStr">
        <is>
          <t>Market cap ~SGD 20B / ~USD 16-20B as of Sep 2026 (stockanalysis.com / companiesmarketcap.com, Sep 2026)</t>
        </is>
      </c>
      <c r="K22" s="11" t="inlineStr">
        <is>
          <t>N/A (public company)</t>
        </is>
      </c>
      <c r="L22" s="11" t="inlineStr">
        <is>
          <t>exceeds - mega-brand</t>
        </is>
      </c>
      <c r="M22" s="11" t="n">
        <v>4</v>
      </c>
      <c r="N22" s="11" t="inlineStr">
        <is>
          <t>Stretch</t>
        </is>
      </c>
      <c r="O22" s="11" t="inlineStr">
        <is>
          <t>Passes all hard filters (revenue, &gt;$1B market cap, headcount &gt;51, profitable and clearly improving, diversified customer base, no F1/Singapore GP sponsorship ties found) but Temasek's ~21% minority state stake is a real reservation</t>
        </is>
      </c>
      <c r="P22" s="11" t="inlineStr">
        <is>
          <t>Global infrastructure/data-center and decarbonization-technology story - open category (no asset manager/infra operator on the 2026 grid), with home-market timing via the Singapore GP (est)</t>
        </is>
      </c>
      <c r="Q22" s="11" t="inlineStr">
        <is>
          <t>Temasek minority state stake (~21%); headcount shrank sharply from ~18,450 (2020) to ~4,963 (2026, Revelio Labs/PitchBook) after Seatrium O&amp;M divestment - business scope narrower than input estimate implied</t>
        </is>
      </c>
      <c r="R22" s="11" t="inlineStr">
        <is>
          <t>verified-existing</t>
        </is>
      </c>
      <c r="S22" s="11" t="inlineStr">
        <is>
          <t>2026-09-28</t>
        </is>
      </c>
    </row>
    <row r="23">
      <c r="A23" s="11" t="n">
        <v>20</v>
      </c>
      <c r="B23" s="11" t="n">
        <v>64</v>
      </c>
      <c r="C23" s="11" t="inlineStr">
        <is>
          <t>Mohawk Industries</t>
        </is>
      </c>
      <c r="D23" s="11" t="inlineStr">
        <is>
          <t>mohawkind.com</t>
        </is>
      </c>
      <c r="E23" s="11" t="inlineStr">
        <is>
          <t>US</t>
        </is>
      </c>
      <c r="F23" s="11" t="inlineStr">
        <is>
          <t>Public (NYSE: MHK)</t>
        </is>
      </c>
      <c r="G23" s="11" t="inlineStr">
        <is>
          <t>World's largest flooring manufacturer (Global Ceramic, Flooring NA, Flooring ROW segments)</t>
        </is>
      </c>
      <c r="H23" s="11" t="inlineStr">
        <is>
          <t>10k+ (~43,000)</t>
        </is>
      </c>
      <c r="I23" s="11" t="inlineStr">
        <is>
          <t>USD 10,785.4M net sales FY2025, -0.48% YoY; ~54% US / 46% international (Mohawk Q4 2025 results release, ir.mohawkind.com, 2026)</t>
        </is>
      </c>
      <c r="J23" s="11" t="inlineStr">
        <is>
          <t>Market cap ~USD 7.7-7.9B as of Sep 2026 (stockanalysis.com, Sep 2026)</t>
        </is>
      </c>
      <c r="K23" s="11" t="inlineStr">
        <is>
          <t>N/A (public company)</t>
        </is>
      </c>
      <c r="L23" s="11" t="inlineStr">
        <is>
          <t>meets parameters</t>
        </is>
      </c>
      <c r="M23" s="11" t="n">
        <v>4</v>
      </c>
      <c r="N23" s="11" t="inlineStr">
        <is>
          <t>Stretch</t>
        </is>
      </c>
      <c r="O23" s="11" t="inlineStr">
        <is>
          <t>Passes hard bars (revenue, market cap, headcount, no F1 ties, no ownership issues, fit=4) but industry-wide flooring demand softness and associated restructuring/cost actions are a real reservation on sustained capacity to spend ~$3.5M/yr</t>
        </is>
      </c>
      <c r="P23" s="11" t="inlineStr">
        <is>
          <t>Global manufacturing-scale and materials-science/precision story ('engineering surfaces') across Europe/Americas race markets, open flooring category (est)</t>
        </is>
      </c>
      <c r="Q23" s="11" t="inlineStr">
        <is>
          <t>flooring industry has faced a multi-year global demand downturn, with Mohawk having taken restructuring/cost-reduction actions in recent years - a capacity-to-spend reservation despite a still-large revenue base; operates manufacturing facilities in Russia - compliance/optics consideration</t>
        </is>
      </c>
      <c r="R23" s="11" t="inlineStr">
        <is>
          <t>verified-existing</t>
        </is>
      </c>
      <c r="S23" s="11" t="inlineStr">
        <is>
          <t>2026-09-28</t>
        </is>
      </c>
    </row>
    <row r="24">
      <c r="A24" s="11" t="n">
        <v>21</v>
      </c>
      <c r="B24" s="11" t="n">
        <v>64</v>
      </c>
      <c r="C24" s="11" t="inlineStr">
        <is>
          <t>Idealista</t>
        </is>
      </c>
      <c r="D24" s="11" t="inlineStr">
        <is>
          <t>idealista.com</t>
        </is>
      </c>
      <c r="E24" s="11" t="inlineStr">
        <is>
          <t>Spain</t>
        </is>
      </c>
      <c r="F24" s="11" t="inlineStr">
        <is>
          <t>Private, majority-owned by Cinven since Jun 2024 (EUR 2.9B valuation); EQT retained ~18% minority stake — continuously PE-owned since Apax era pre-2020 (EQT Group / MarketScreener / Unquote, Jun-Jul 2024)</t>
        </is>
      </c>
      <c r="G24" s="11" t="inlineStr">
        <is>
          <t>Leading Iberian property portal (Spain, Italy, Portugal)</t>
        </is>
      </c>
      <c r="H24" s="11" t="inlineStr">
        <is>
          <t>1k-5k</t>
        </is>
      </c>
      <c r="I24" s="11" t="inlineStr">
        <is>
          <t>Total revenues topped EUR 300M in 2024 (Idealista SAU domestic subsidiary revenue EUR 159M, +15% YoY); EBITDA EUR 84M in 2024 — source: onlinemarketplaces.com, 2025</t>
        </is>
      </c>
      <c r="J24" s="11" t="inlineStr">
        <is>
          <t>EUR 2.9B (Cinven majority-stake transaction, announced Jun 28 2024, confirmed) — source: EQT Group press release / MarketScreener, Jun 2024</t>
        </is>
      </c>
      <c r="K24" s="11" t="inlineStr">
        <is>
          <t>Cinven majority-stake acquisition at EUR 2.9B valuation, closed 2024; EQT retained an 18% stake (source: EQT Group, Jun 28 2024)</t>
        </is>
      </c>
      <c r="L24" s="11" t="inlineStr">
        <is>
          <t>meets parameters</t>
        </is>
      </c>
      <c r="M24" s="11" t="n">
        <v>4</v>
      </c>
      <c r="N24" s="11" t="inlineStr">
        <is>
          <t>Stretch</t>
        </is>
      </c>
      <c r="O24" s="11" t="inlineStr">
        <is>
          <t>All hard filters pass cleanly (revenue &gt;EUR 300M, valuation EUR 2.9B, healthy EBITDA margin, broad consumer/agent audience, no F1 ties for Idealista or Cinven, no compliance issues) and fit is strong at 4/4 — but continuous PE ownership of 4+ years is an explicit Stretch trigger per the verification brief.</t>
        </is>
      </c>
      <c r="P24" s="11" t="inlineStr">
        <is>
          <t>Pan-Iberian/Italian proptech leader with a data-driven brand story, positioned for a potential future IPO narrative under Cinven ownership — outreach across 3 F1-host markets at once.</t>
        </is>
      </c>
      <c r="Q24" s="11" t="inlineStr">
        <is>
          <t>PE-owned 4+ years continuously (Apax → EQT 2020 → Cinven 2024); EQT retains an ~18% minority stake — same PE sponsor holds a stake here and (formerly) full ownership of PropertyGuru, another candidate in this book</t>
        </is>
      </c>
      <c r="R24" s="11" t="inlineStr">
        <is>
          <t>verified-existing</t>
        </is>
      </c>
      <c r="S24" s="11" t="inlineStr">
        <is>
          <t>2026-09-28</t>
        </is>
      </c>
    </row>
    <row r="25">
      <c r="A25" s="11" t="n">
        <v>22</v>
      </c>
      <c r="B25" s="11" t="n">
        <v>64</v>
      </c>
      <c r="C25" s="11" t="inlineStr">
        <is>
          <t>PropertyGuru Group</t>
        </is>
      </c>
      <c r="D25" s="11" t="inlineStr">
        <is>
          <t>propertyguru.com</t>
        </is>
      </c>
      <c r="E25" s="11" t="inlineStr">
        <is>
          <t>Singapore</t>
        </is>
      </c>
      <c r="F25" s="11" t="inlineStr">
        <is>
          <t>Private, wholly-owned by EQT Private Capital Asia since Dec 2024 ($1.1B take-private, delisted from NYSE) — parent EQT has no known F1 ties, so treated as keep, not automatic No (EQT Group / Businesswire / TipRanks, 2024)</t>
        </is>
      </c>
      <c r="G25" s="11" t="inlineStr">
        <is>
          <t>Leading Southeast Asian property portal (Singapore, Malaysia, Thailand, Vietnam), 32M+ monthly property seekers, 50,000+ agents</t>
        </is>
      </c>
      <c r="H25" s="11" t="inlineStr">
        <is>
          <t>1k-5k</t>
        </is>
      </c>
      <c r="I25" s="11" t="inlineStr">
        <is>
          <t>~S$150M (~$111M USD est) FY2023, up from S$130M FY2022; Q2 2024 marketplace revenue S$39M/quarter (~$115M USD annualized est) — source: companiesmarketcap.com / Businesswire Q2 2024 release</t>
        </is>
      </c>
      <c r="J25" s="11" t="inlineStr">
        <is>
          <t>$1.1B all-cash EQT Private Capital Asia take-private, $6.70/share, completed Dec 2024/Q1 2025 (~7x revenue) — source: EQT Group / onlinemarketplaces.com, 2024</t>
        </is>
      </c>
      <c r="K25" s="11" t="inlineStr">
        <is>
          <t>EQT Private Capital Asia take-private transaction, $1.1B, completed Dec 2024/Q1 2025 (source: EQT Group)</t>
        </is>
      </c>
      <c r="L25" s="11" t="inlineStr">
        <is>
          <t>meets parameters</t>
        </is>
      </c>
      <c r="M25" s="11" t="n">
        <v>4</v>
      </c>
      <c r="N25" s="11" t="inlineStr">
        <is>
          <t>Stretch</t>
        </is>
      </c>
      <c r="O25" s="11" t="inlineStr">
        <is>
          <t>Hard filters pass but only just: revenue and valuation both clear their bars with thin margin, and the company had widening losses immediately before its Dec 2024 take-private, so 'clearly improving' rests on the new PE owner's plans rather than a demonstrated track record.</t>
        </is>
      </c>
      <c r="P25" s="11" t="inlineStr">
        <is>
          <t>Dominant Southeast Asian proptech platform tied to the Singapore GP home market, freshly recapitalized by EQT for growth (est).</t>
        </is>
      </c>
      <c r="Q25" s="11" t="inlineStr">
        <is>
          <t>parent: EQT (Private Capital Asia) — same PE family as Idealista's minority EQT stake in this book; revenue (~$111-115M est) and valuation ($1.1B) both sit just above their respective hard bars — thin margins on both; widening net losses reported ahead of the Dec 2024 take-private; capacity to spend now depends on fresh PE ownership rather than demonstrated organic profitability</t>
        </is>
      </c>
      <c r="R25" s="11" t="inlineStr">
        <is>
          <t>verified-existing</t>
        </is>
      </c>
      <c r="S25" s="11" t="inlineStr">
        <is>
          <t>2026-09-28</t>
        </is>
      </c>
    </row>
    <row r="26">
      <c r="A26" s="11" t="n">
        <v>23</v>
      </c>
      <c r="B26" s="11" t="n">
        <v>64</v>
      </c>
      <c r="C26" s="11" t="inlineStr">
        <is>
          <t>eXp World Holdings (eXp Realty)</t>
        </is>
      </c>
      <c r="D26" s="11" t="inlineStr">
        <is>
          <t>expworldholdings.com</t>
        </is>
      </c>
      <c r="E26" s="11" t="inlineStr">
        <is>
          <t>US (Washington)</t>
        </is>
      </c>
      <c r="F26" s="11" t="inlineStr">
        <is>
          <t>Public (Nasdaq, ticker changed from EXPI to AGNT effective May 8, 2026)</t>
        </is>
      </c>
      <c r="G26" s="11" t="inlineStr">
        <is>
          <t>Cloud-based, agent-driven residential real estate brokerage (global)</t>
        </is>
      </c>
      <c r="H26" s="11" t="inlineStr">
        <is>
          <t>1k-5k</t>
        </is>
      </c>
      <c r="I26" s="11" t="inlineStr">
        <is>
          <t>TTM revenue ~$4.67B as of Feb 2026; FY2025 revenue ~$4.8B, up 4% YoY (company financial results, reported Feb 2026)</t>
        </is>
      </c>
      <c r="J26" s="11" t="inlineStr">
        <is>
          <t>Market cap ~$1.07B as of Aug 2026 (stockanalysis.com) - just above the $1B bar</t>
        </is>
      </c>
      <c r="K26" s="11" t="inlineStr">
        <is>
          <t>N/A - public company</t>
        </is>
      </c>
      <c r="L26" s="11" t="inlineStr">
        <is>
          <t>meets parameters</t>
        </is>
      </c>
      <c r="M26" s="11" t="n">
        <v>4</v>
      </c>
      <c r="N26" s="11" t="inlineStr">
        <is>
          <t>Stretch</t>
        </is>
      </c>
      <c r="O26" s="11" t="inlineStr">
        <is>
          <t>Revenue and valuation hard bars pass, but valuation is only narrowly above $1B and the company posted a full-year net loss for FY2025 (improving quarter over quarter but not yet consistently profitable) - a real reservation on the 'profitable or clearly improving' capacity test. No F1 conflicts found.</t>
        </is>
      </c>
      <c r="P26" s="11" t="inlineStr">
        <is>
          <t>Global, tech-first 'virtual brokerage' growth story (20+ countries, 80k+ agents) targeting an open real-estate sponsorship category and an affluent home-buying/selling audience.</t>
        </is>
      </c>
      <c r="Q26" s="11" t="inlineStr">
        <is>
          <t>valuation only narrowly clears the $1B bar and is down sharply from 2021 peak; FY2025 net loss of $(22.7)M company-wide, though Q3 2025 posted a $3.5M net income vs a prior-year loss; agent count declined ~2% YoY to ~83,446 (Q3 2025)</t>
        </is>
      </c>
      <c r="R26" s="11" t="inlineStr">
        <is>
          <t>verified-existing</t>
        </is>
      </c>
      <c r="S26" s="11" t="inlineStr">
        <is>
          <t>2026-09-28</t>
        </is>
      </c>
    </row>
    <row r="27">
      <c r="A27" s="11" t="n">
        <v>24</v>
      </c>
      <c r="B27" s="11" t="n">
        <v>64</v>
      </c>
      <c r="C27" s="11" t="inlineStr">
        <is>
          <t>Pacaso</t>
        </is>
      </c>
      <c r="D27" s="11" t="inlineStr">
        <is>
          <t>pacaso.com</t>
        </is>
      </c>
      <c r="E27" s="11" t="inlineStr">
        <is>
          <t>US</t>
        </is>
      </c>
      <c r="F27" s="11" t="inlineStr">
        <is>
          <t>Private, VC-backed plus Reg A+ retail investors (17,500+)</t>
        </is>
      </c>
      <c r="G27" s="11" t="inlineStr">
        <is>
          <t>Co-ownership platform for luxury second homes across global destinations (US, Spain, France, etc.)</t>
        </is>
      </c>
      <c r="H27" s="11" t="inlineStr">
        <is>
          <t>201-1k</t>
        </is>
      </c>
      <c r="I27" s="11" t="inlineStr">
        <is>
          <t>$150M ARR reported for FY2024 (Pacaso press release, Apr 30, 2025); H1 2025 update cites $12.6M adjusted gross profit and $138M lifetime gross profit (Pacaso press release, Sept 12, 2025) - 'ARR' is loosely applied terminology for a real-estate resale business and the underlying growth rate is not independently confirmed</t>
        </is>
      </c>
      <c r="J27" s="11" t="inlineStr">
        <is>
          <t>$1.5B as of Oct 2, 2025 (PitchBook, tied to a $37.5M funding close)</t>
        </is>
      </c>
      <c r="K27" s="11" t="inlineStr">
        <is>
          <t>$37.5M closed Oct 2, 2025 (part of a $72.5M Reg A+ round), bringing total funding to $300M - within the 18-month capacity window</t>
        </is>
      </c>
      <c r="L27" s="11" t="inlineStr">
        <is>
          <t>meets parameters</t>
        </is>
      </c>
      <c r="M27" s="11" t="n">
        <v>4</v>
      </c>
      <c r="N27" s="11" t="inlineStr">
        <is>
          <t>Stretch</t>
        </is>
      </c>
      <c r="O27" s="11" t="inlineStr">
        <is>
          <t>Passes hard filters (valuation $1.5B dated Oct 2025, recent capital raise, adequate headcount, no F1 ties, clean ownership, strong 4/4 fit) but the $150M 'ARR' revenue figure is loosely defined for a real-estate resale business and its growth rate isn't independently confirmed - a real reservation on the revenue figure's quality.</t>
        </is>
      </c>
      <c r="P27" s="11" t="inlineStr">
        <is>
          <t>Luxury/global-lifestyle story targeting affluent, well-traveled second-home buyers in destinations overlapping F1 host markets (Spain, France, US); open category, no direct competitor on the grid.</t>
        </is>
      </c>
      <c r="Q27" s="11" t="inlineStr">
        <is>
          <t>revenue reported as 'ARR' - unusual terminology for this business model; underlying growth rate unconfirmed; not yet confirmed profitable (narrowing adjusted EBITDA loss)</t>
        </is>
      </c>
      <c r="R27" s="11" t="inlineStr">
        <is>
          <t>verified-existing</t>
        </is>
      </c>
      <c r="S27" s="11" t="inlineStr">
        <is>
          <t>2026-09-28</t>
        </is>
      </c>
    </row>
    <row r="28">
      <c r="A28" s="11" t="n">
        <v>25</v>
      </c>
      <c r="B28" s="11" t="n">
        <v>58</v>
      </c>
      <c r="C28" s="11" t="inlineStr">
        <is>
          <t>Related Companies</t>
        </is>
      </c>
      <c r="D28" s="11" t="inlineStr">
        <is>
          <t>related.com</t>
        </is>
      </c>
      <c r="E28" s="11" t="inlineStr">
        <is>
          <t>New York, US</t>
        </is>
      </c>
      <c r="F28" s="11" t="inlineStr">
        <is>
          <t>Private, founder-controlled - Stephen Ross owns ~60% (2025); Ross stepped down as Related Companies chairman in July 2024 to focus on Related Ross, the Miami Dolphins, and F1 ventures</t>
        </is>
      </c>
      <c r="G28" s="11" t="inlineStr">
        <is>
          <t>Private developer (Hudson Yards, luxury residential)</t>
        </is>
      </c>
      <c r="H28" s="11" t="inlineStr">
        <is>
          <t>1k-5k</t>
        </is>
      </c>
      <c r="I28" s="11" t="inlineStr">
        <is>
          <t>No published figure; privately held with $70B total assets (2025, Bloomberg Billionaires Index) - revenue estimated well above $100M given active development scale (est)</t>
        </is>
      </c>
      <c r="J28" s="11" t="inlineStr">
        <is>
          <t>No published valuation (private); Related Ross alone is investing ~$10B in West Palm Beach as of 2025 (est)</t>
        </is>
      </c>
      <c r="K28" s="11" t="inlineStr">
        <is>
          <t>N/A (privately held, no published funding round)</t>
        </is>
      </c>
      <c r="L28" s="11" t="inlineStr">
        <is>
          <t>exceeds - mega-brand</t>
        </is>
      </c>
      <c r="M28" s="11" t="n">
        <v>3</v>
      </c>
      <c r="N28" s="11" t="inlineStr">
        <is>
          <t>Stretch</t>
        </is>
      </c>
      <c r="O28" s="11" t="inlineStr">
        <is>
          <t>No hard filter is confirmed failing (no direct corporate F1 sponsorship found for Related Companies itself; scale/capacity clearly sufficient) but real reservations remain: entirely unverified revenue/valuation/headcount, and the founder's personal ownership tie to the Miami Grand Prix venue creates an optics conflict even though it is not a parent-subsidiary tie.</t>
        </is>
      </c>
      <c r="P28" s="11" t="inlineStr">
        <is>
          <t>Iconic global mega-developments (Hudson Yards) storytelling around scale and ambition - though the Ross/Miami GP ownership overlap should be vetted with legal/comms before outreach (est).</t>
        </is>
      </c>
      <c r="Q28" s="11" t="inlineStr">
        <is>
          <t>no published valuation (founder-controlled, private) - treated like the family-owned exception; founder Stephen Ross personally owns/controls Hard Rock Stadium, host venue of the F1 Miami Grand Prix, via separate entities - not a corporate F1 sponsorship tie for Related Companies itself, but a notable ownership-circle conflict of interest; revenue, valuation and headcount are estimates, not independently confirmed</t>
        </is>
      </c>
      <c r="R28" s="11" t="inlineStr">
        <is>
          <t>verified-existing</t>
        </is>
      </c>
      <c r="S28" s="11" t="inlineStr">
        <is>
          <t>2026-09-28</t>
        </is>
      </c>
    </row>
    <row r="29">
      <c r="A29" s="11" t="n">
        <v>26</v>
      </c>
      <c r="B29" s="11" t="n">
        <v>58</v>
      </c>
      <c r="C29" s="11" t="inlineStr">
        <is>
          <t>Pella Corporation</t>
        </is>
      </c>
      <c r="D29" s="11" t="inlineStr">
        <is>
          <t>pella.com</t>
        </is>
      </c>
      <c r="E29" s="11" t="inlineStr">
        <is>
          <t>US</t>
        </is>
      </c>
      <c r="F29" s="11" t="inlineStr">
        <is>
          <t>Private, family-owned (Kuyper family)</t>
        </is>
      </c>
      <c r="G29" s="11" t="inlineStr">
        <is>
          <t>Windows/doors manufacturer (US/Canada, dealer network)</t>
        </is>
      </c>
      <c r="H29" s="11" t="inlineStr">
        <is>
          <t>5k-10k (sources conflict: ~5,038 per LeadIQ vs '10,000+ team members' per company site, 2026) (est)</t>
        </is>
      </c>
      <c r="I29" s="11" t="inlineStr">
        <is>
          <t>Reported figures inconsistent: ~USD 2.7B (one 2026 estimate) vs a broader USD 1-10B range from another source; comfortably clears the &gt;$100M bar either way (est, unverified precisely)</t>
        </is>
      </c>
      <c r="J29" s="11" t="inlineStr">
        <is>
          <t>N/A - private, family-owned, no published valuation</t>
        </is>
      </c>
      <c r="K29" s="11" t="inlineStr">
        <is>
          <t>N/A (private, family-owned, no external financing reported)</t>
        </is>
      </c>
      <c r="L29" s="11" t="inlineStr">
        <is>
          <t>meets parameters</t>
        </is>
      </c>
      <c r="M29" s="11" t="n">
        <v>3</v>
      </c>
      <c r="N29" s="11" t="inlineStr">
        <is>
          <t>Stretch</t>
        </is>
      </c>
      <c r="O29" s="11" t="inlineStr">
        <is>
          <t>Passes on the family-owned exception (no published valuation) and other hard filters look fine (no F1 ties, no ownership issues, headcount above 51), but revenue and headcount figures are inconsistent/uncertain across available sources</t>
        </is>
      </c>
      <c r="P29" s="11" t="inlineStr">
        <is>
          <t>Precision-engineering craftsmanship story (window/door design innovation) tied to a North American race-market activation (est)</t>
        </is>
      </c>
      <c r="Q29" s="11" t="inlineStr">
        <is>
          <t>family-owned, no published valuation; revenue and headcount figures are inconsistent across available sources - a genuine data-quality reservation</t>
        </is>
      </c>
      <c r="R29" s="11" t="inlineStr">
        <is>
          <t>verified-existing</t>
        </is>
      </c>
      <c r="S29" s="11" t="inlineStr">
        <is>
          <t>2026-09-28</t>
        </is>
      </c>
    </row>
    <row r="30">
      <c r="A30" s="11" t="n">
        <v>27</v>
      </c>
      <c r="B30" s="11" t="n">
        <v>58</v>
      </c>
      <c r="C30" s="11" t="inlineStr">
        <is>
          <t>Brookfield Properties</t>
        </is>
      </c>
      <c r="D30" s="11" t="inlineStr">
        <is>
          <t>brookfieldproperties.com</t>
        </is>
      </c>
      <c r="E30" s="11" t="inlineStr">
        <is>
          <t>Canada</t>
        </is>
      </c>
      <c r="F30" s="11" t="inlineStr">
        <is>
          <t>Subsidiary of Brookfield Property Partners, itself a subsidiary of Brookfield Corporation/Brookfield Asset Management</t>
        </is>
      </c>
      <c r="G30" s="11" t="inlineStr">
        <is>
          <t>Global commercial real estate (office, retail, logistics) arm of Brookfield</t>
        </is>
      </c>
      <c r="H30" s="11" t="inlineStr">
        <is>
          <t>6,000-10,000</t>
        </is>
      </c>
      <c r="I30" s="11" t="inlineStr">
        <is>
          <t>Not separately disclosed; parent Brookfield Property Partners reported revenue of $7.147B in 2025 (est, group-level figure)</t>
        </is>
      </c>
      <c r="J30" s="11" t="inlineStr">
        <is>
          <t>No independently published valuation (subsidiary; not separately traded)</t>
        </is>
      </c>
      <c r="K30" s="11" t="inlineStr">
        <is>
          <t>N/A</t>
        </is>
      </c>
      <c r="L30" s="11" t="inlineStr">
        <is>
          <t>exceeds - mega-brand</t>
        </is>
      </c>
      <c r="M30" s="11" t="n">
        <v>3</v>
      </c>
      <c r="N30" s="11" t="inlineStr">
        <is>
          <t>Stretch</t>
        </is>
      </c>
      <c r="O30" s="11" t="inlineStr">
        <is>
          <t>Revenue passes on a group basis and no F1 conflicts were found, but Brookfield Properties is a subsidiary whose parent (Brookfield Corporation/Brookfield Asset Management) is already tracked separately in the master list, raising duplication and independent-budget-authority concerns - capped at Stretch per protocol (parent has no F1 ties, so not an automatic No).</t>
        </is>
      </c>
      <c r="P30" s="11" t="inlineStr">
        <is>
          <t>Global commercial real estate scale and multi-market institutional relationships could support a corporate hospitality/B2B angle - best coordinated with the parent Brookfield entry to avoid duplicate outreach.</t>
        </is>
      </c>
      <c r="Q30" s="11" t="inlineStr">
        <is>
          <t>parent: Brookfield Corporation/Brookfield Asset Management (already a separate entry in the master target list); no independently published valuation (subsidiary)</t>
        </is>
      </c>
      <c r="R30" s="11" t="inlineStr">
        <is>
          <t>verified-existing</t>
        </is>
      </c>
      <c r="S30" s="11" t="inlineStr">
        <is>
          <t>2026-09-28</t>
        </is>
      </c>
    </row>
    <row r="31">
      <c r="A31" s="11" t="n">
        <v>28</v>
      </c>
      <c r="B31" s="11" t="n">
        <v>58</v>
      </c>
      <c r="C31" s="11" t="inlineStr">
        <is>
          <t>Compass Inc</t>
        </is>
      </c>
      <c r="D31" s="11" t="inlineStr">
        <is>
          <t>compass.com</t>
        </is>
      </c>
      <c r="E31" s="11" t="inlineStr">
        <is>
          <t>US</t>
        </is>
      </c>
      <c r="F31" s="11" t="inlineStr">
        <is>
          <t>Public (NYSE: COMP)</t>
        </is>
      </c>
      <c r="G31" s="11" t="inlineStr">
        <is>
          <t>Tech-enabled residential real estate brokerage (US-only footprint)</t>
        </is>
      </c>
      <c r="H31" s="11" t="inlineStr">
        <is>
          <t>1k-5k</t>
        </is>
      </c>
      <c r="I31" s="11" t="inlineStr">
        <is>
          <t>$6.96B FY2025 revenue, up ~23.7% YoY (stockanalysis.com; Compass FY2025/Q4 2025 investor reports, reported Feb 2026)</t>
        </is>
      </c>
      <c r="J31" s="11" t="inlineStr">
        <is>
          <t>Market cap ~$5.61B as of Q4 2025 earnings (Investing.com, Feb 2026)</t>
        </is>
      </c>
      <c r="K31" s="11" t="inlineStr">
        <is>
          <t>N/A - public company</t>
        </is>
      </c>
      <c r="L31" s="11" t="inlineStr">
        <is>
          <t>exceeds - mega-brand</t>
        </is>
      </c>
      <c r="M31" s="11" t="n">
        <v>3</v>
      </c>
      <c r="N31" s="11" t="inlineStr">
        <is>
          <t>Stretch</t>
        </is>
      </c>
      <c r="O31" s="11" t="inlineStr">
        <is>
          <t>All hard filters pass (revenue $6.96B, market cap $5.61B, 1k-5k headcount, no F1 ties, clean public ownership, mass consumer audience) but reservation: still full-year net loss (though clearly improving) and a US-only footprint that undercuts F1's global positioning.</t>
        </is>
      </c>
      <c r="P31" s="11" t="inlineStr">
        <is>
          <t>Position as the leading tech-driven US real estate platform for affluent movers/investors; ride the 2025-26 housing-market-recovery and profitability-turnaround story; open category, no real estate/proptech brand yet on the grid.</t>
        </is>
      </c>
      <c r="Q31" s="11" t="inlineStr">
        <is>
          <t>historically unprofitable; FY2025 net loss -$58.5M despite narrowing (Q2/Q4 2025 swung to quarterly GAAP profit); US-only market limits F1's global sponsorship narrative</t>
        </is>
      </c>
      <c r="R31" s="11" t="inlineStr">
        <is>
          <t>verified-existing</t>
        </is>
      </c>
      <c r="S31" s="11" t="inlineStr">
        <is>
          <t>2026-09-28</t>
        </is>
      </c>
    </row>
    <row r="32">
      <c r="A32" s="11" t="n">
        <v>29</v>
      </c>
      <c r="B32" s="11" t="n">
        <v>58</v>
      </c>
      <c r="C32" s="11" t="inlineStr">
        <is>
          <t>Property Finder</t>
        </is>
      </c>
      <c r="D32" s="11" t="inlineStr">
        <is>
          <t>propertyfinder.com</t>
        </is>
      </c>
      <c r="E32" s="11" t="inlineStr">
        <is>
          <t>UAE</t>
        </is>
      </c>
      <c r="F32" s="11" t="inlineStr">
        <is>
          <t>Private; investors include General Atlantic (since 2018), Permira and Blackstone Growth (since Sept 2025)</t>
        </is>
      </c>
      <c r="G32" s="11" t="inlineStr">
        <is>
          <t>Leading MENA online real estate classifieds/property portal</t>
        </is>
      </c>
      <c r="H32" s="11" t="inlineStr">
        <is>
          <t>1k-5k</t>
        </is>
      </c>
      <c r="I32" s="11" t="inlineStr">
        <is>
          <t>No confirmed 2024/2025 figure in current search; historically cited in the $100-150M range (est, unconfirmed)</t>
        </is>
      </c>
      <c r="J32" s="11" t="inlineStr">
        <is>
          <t>Valued at 'in excess of $2 billion' per the $525M strategic investment led by Permira with Blackstone Growth (General Atlantic/Weil Gotshal press releases, Sept 2025)</t>
        </is>
      </c>
      <c r="K32" s="11" t="inlineStr">
        <is>
          <t>$250M round closed Feb 19, 2026 (Tracxn), following the $525M Permira/Blackstone deal in Sept 2025 - well within the 18-month capacity window</t>
        </is>
      </c>
      <c r="L32" s="11" t="inlineStr">
        <is>
          <t>meets parameters</t>
        </is>
      </c>
      <c r="M32" s="11" t="n">
        <v>3</v>
      </c>
      <c r="N32" s="11" t="inlineStr">
        <is>
          <t>Stretch</t>
        </is>
      </c>
      <c r="O32" s="11" t="inlineStr">
        <is>
          <t>Passes hard filters via valuation (&gt;$2B, dated Sept 2025) and very recent capital (Feb 2026 raise, clear GTM/expansion capacity); reservation is that the revenue figure itself is unconfirmed/estimated, and the real estate category already has some grid presence via the unrelated DAMAC-Red Bull Racing tie.</t>
        </is>
      </c>
      <c r="P32" s="11" t="inlineStr">
        <is>
          <t>MENA market-timing angle tied to the Abu Dhabi, Qatar and Saudi Arabia Grands Prix; position as the trusted digital platform for the region's fast-growing, wealthy expat and investor property market - distinct from developer-side plays like DAMAC.</t>
        </is>
      </c>
      <c r="Q32" s="11" t="inlineStr">
        <is>
          <t>revenue figure unconfirmed/estimated; category adjacency: DAMAC Properties (a real estate developer, not a portal, and not Property Finder) is Oracle Red Bull Racing's partner</t>
        </is>
      </c>
      <c r="R32" s="11" t="inlineStr">
        <is>
          <t>verified-existing</t>
        </is>
      </c>
      <c r="S32" s="11" t="inlineStr">
        <is>
          <t>2026-09-28</t>
        </is>
      </c>
    </row>
    <row r="33">
      <c r="A33" s="11" t="n">
        <v>30</v>
      </c>
      <c r="B33" s="11" t="n">
        <v>58</v>
      </c>
      <c r="C33" s="11" t="inlineStr">
        <is>
          <t>Marcus &amp; Millichap</t>
        </is>
      </c>
      <c r="D33" s="11" t="inlineStr">
        <is>
          <t>marcusmillichap.com</t>
        </is>
      </c>
      <c r="E33" s="11" t="inlineStr">
        <is>
          <t>US</t>
        </is>
      </c>
      <c r="F33" s="11" t="inlineStr">
        <is>
          <t>Public (NYSE: MMI)</t>
        </is>
      </c>
      <c r="G33" s="11" t="inlineStr">
        <is>
          <t>Commercial real estate investment brokerage (US/Canada)</t>
        </is>
      </c>
      <c r="H33" s="11" t="inlineStr">
        <is>
          <t>1k-5k</t>
        </is>
      </c>
      <c r="I33" s="11" t="inlineStr">
        <is>
          <t>$755.2M FY2025 revenue (Simply Wall St / company preliminary Q4 2025 release, reported ~Jan-Feb 2026); Q4 2025 revenue $244.0M, up 1.6% YoY</t>
        </is>
      </c>
      <c r="J33" s="11" t="inlineStr">
        <is>
          <t>Market cap ~$997.4M (WallStreetZen/companiesmarketcap, Sept 2026) - just under the $1B hard bar</t>
        </is>
      </c>
      <c r="K33" s="11" t="inlineStr">
        <is>
          <t>N/A - public company</t>
        </is>
      </c>
      <c r="L33" s="11" t="inlineStr">
        <is>
          <t>meets parameters</t>
        </is>
      </c>
      <c r="M33" s="11" t="n">
        <v>3</v>
      </c>
      <c r="N33" s="11" t="inlineStr">
        <is>
          <t>Stretch</t>
        </is>
      </c>
      <c r="O33" s="11" t="inlineStr">
        <is>
          <t>Revenue clearly passes ($755.2M); valuation is a thin-margin miss (~$997M vs. the $1B bar) and full-year profitability is only marginally negative while the quarterly trend is clearly improving - a real reservation on a bar rather than a clean fail, supported by a solid fit_score of 3.</t>
        </is>
      </c>
      <c r="P33" s="11" t="inlineStr">
        <is>
          <t>Commercial real estate 'closing the deal' performance narrative aimed at affluent institutional investors and senior decision-makers; open category with no existing real estate brokerage sponsor on the grid; tie to the 2025 momentum/profitability-recovery story.</t>
        </is>
      </c>
      <c r="Q33" s="11" t="inlineStr">
        <is>
          <t>borderline valuation (~$997M, just under the $1B hard bar); FY2025 net income still slightly negative (-$1.91M) overall, though Q4 2025 swung to +$13.3M net income, up 55.7% YoY - clearly improving trend</t>
        </is>
      </c>
      <c r="R33" s="11" t="inlineStr">
        <is>
          <t>verified-existing</t>
        </is>
      </c>
      <c r="S33" s="11" t="inlineStr">
        <is>
          <t>2026-09-28</t>
        </is>
      </c>
    </row>
    <row r="34">
      <c r="A34" s="11" t="n">
        <v>31</v>
      </c>
      <c r="B34" s="11" t="n">
        <v>52</v>
      </c>
      <c r="C34" s="11" t="inlineStr">
        <is>
          <t>Ayala Land</t>
        </is>
      </c>
      <c r="D34" s="11" t="inlineStr">
        <is>
          <t>ayalaland.com.ph</t>
        </is>
      </c>
      <c r="E34" s="11" t="inlineStr">
        <is>
          <t>Philippines</t>
        </is>
      </c>
      <c r="F34" s="11" t="inlineStr">
        <is>
          <t>Public (PSE: ALI); family-controlled via Ayala Corporation (Ayala/Zobel de Ayala family) — no state or sovereign stake found</t>
        </is>
      </c>
      <c r="G34" s="11" t="inlineStr">
        <is>
          <t>Diversified Philippine developer — residential, malls, offices, hotels; buyers mostly domestic Filipino consumers/corporates</t>
        </is>
      </c>
      <c r="H34" s="11" t="inlineStr">
        <is>
          <t>1k-5k</t>
        </is>
      </c>
      <c r="I34" s="11" t="inlineStr">
        <is>
          <t>PHP 190.21B (~$3.3B) FY2025, +5.24% YoY (stockanalysis.com, FY2025 results reported 2026)</t>
        </is>
      </c>
      <c r="J34" s="11" t="inlineStr">
        <is>
          <t>Market cap ~PHP 225-243B (~$3.9-4.2B) as of Apr 2026 (stockanalysis.com)</t>
        </is>
      </c>
      <c r="K34" s="11" t="inlineStr">
        <is>
          <t>N/A — public company, no recent capital raise identified</t>
        </is>
      </c>
      <c r="L34" s="11" t="inlineStr">
        <is>
          <t>meets parameters</t>
        </is>
      </c>
      <c r="M34" s="11" t="n">
        <v>2</v>
      </c>
      <c r="N34" s="11" t="inlineStr">
        <is>
          <t>Stretch</t>
        </is>
      </c>
      <c r="O34" s="11" t="inlineStr">
        <is>
          <t>All hard filters pass (revenue ~$3.3B, market cap ~$4B, profitable and growing, broad customer base, no F1 ties, no ownership issues) but fit is only 2/4 with a largely domestic (Philippines-only) footprint and a weak global-ambition brand story, so this is a Stretch.</t>
        </is>
      </c>
      <c r="P34" s="11" t="inlineStr">
        <is>
          <t>Southeast Asia's largest developer building an international profile — tie to F1's Asia-Pacific swing (Singapore GP) to reach the region's affluent audience and project global ambition (est).</t>
        </is>
      </c>
      <c r="Q34" s="11" t="n"/>
      <c r="R34" s="11" t="inlineStr">
        <is>
          <t>verified-existing</t>
        </is>
      </c>
      <c r="S34" s="11" t="inlineStr">
        <is>
          <t>2026-09-28</t>
        </is>
      </c>
    </row>
    <row r="35">
      <c r="A35" s="11" t="n">
        <v>32</v>
      </c>
      <c r="B35" s="11" t="n">
        <v>52</v>
      </c>
      <c r="C35" s="11" t="inlineStr">
        <is>
          <t>Boston Properties (BXP)</t>
        </is>
      </c>
      <c r="D35" s="11" t="inlineStr">
        <is>
          <t>bxp.com</t>
        </is>
      </c>
      <c r="E35" s="11" t="inlineStr">
        <is>
          <t>US</t>
        </is>
      </c>
      <c r="F35" s="11" t="inlineStr">
        <is>
          <t>Public (NYSE: BXP), REIT, no controlling family/state stake</t>
        </is>
      </c>
      <c r="G35" s="11" t="inlineStr">
        <is>
          <t>Premier US Class-A office REIT; tenants are corporates across major US gateway markets</t>
        </is>
      </c>
      <c r="H35" s="11" t="inlineStr">
        <is>
          <t>201-1k</t>
        </is>
      </c>
      <c r="I35" s="11" t="inlineStr">
        <is>
          <t>$3.4B FY2025 / $3.46B TTM as of Dec 2025 (macrotrends/companiesmarketcap)</t>
        </is>
      </c>
      <c r="J35" s="11" t="inlineStr">
        <is>
          <t>Market cap ~$12.36B as of Jul 2026 (macrotrends)</t>
        </is>
      </c>
      <c r="K35" s="11" t="inlineStr">
        <is>
          <t>N/A — public company</t>
        </is>
      </c>
      <c r="L35" s="11" t="inlineStr">
        <is>
          <t>exceeds - mega-brand</t>
        </is>
      </c>
      <c r="M35" s="11" t="n">
        <v>2</v>
      </c>
      <c r="N35" s="11" t="inlineStr">
        <is>
          <t>Stretch</t>
        </is>
      </c>
      <c r="O35" s="11" t="inlineStr">
        <is>
          <t>Hard filters clear (revenue ~$3.4B, market cap ~$12.36B, profitable, corporate decision-maker audience, no F1 ties) but fit is 2/4 — a US-only office REIT with a limited brand narrative for F1, so Stretch.</t>
        </is>
      </c>
      <c r="P35" s="11" t="inlineStr">
        <is>
          <t>Premier US office landlord courting corporate decision-makers via hospitality at F1's US triple-header (Austin, Miami, Las Vegas) (est).</t>
        </is>
      </c>
      <c r="Q35" s="11" t="n"/>
      <c r="R35" s="11" t="inlineStr">
        <is>
          <t>verified-existing</t>
        </is>
      </c>
      <c r="S35" s="11" t="inlineStr">
        <is>
          <t>2026-09-28</t>
        </is>
      </c>
    </row>
    <row r="36">
      <c r="A36" s="11" t="n">
        <v>33</v>
      </c>
      <c r="B36" s="11" t="n">
        <v>52</v>
      </c>
      <c r="C36" s="11" t="inlineStr">
        <is>
          <t>Godrej Properties</t>
        </is>
      </c>
      <c r="D36" s="11" t="inlineStr">
        <is>
          <t>godrejproperties.com</t>
        </is>
      </c>
      <c r="E36" s="11" t="inlineStr">
        <is>
          <t>India</t>
        </is>
      </c>
      <c r="F36" s="11" t="inlineStr">
        <is>
          <t>Public (NSE/BSE: GODREJPROP), part of the Godrej Group conglomerate — no state stake</t>
        </is>
      </c>
      <c r="G36" s="11" t="inlineStr">
        <is>
          <t>Pan-India residential/commercial developer, premium and mid-segment urban buyers</t>
        </is>
      </c>
      <c r="H36" s="11" t="inlineStr">
        <is>
          <t>1k-5k</t>
        </is>
      </c>
      <c r="I36" s="11" t="inlineStr">
        <is>
          <t>₹49.23B FY2025 (year ended Mar 2025), +62.17% YoY (stockanalysis.com) — roughly $590M USD (est FX)</t>
        </is>
      </c>
      <c r="J36" s="11" t="inlineStr">
        <is>
          <t>Market cap ~₹604-611B (~$7.3-7.4B) as of Aug 2025/Aug 2026 (stockanalysis.com)</t>
        </is>
      </c>
      <c r="K36" s="11" t="inlineStr">
        <is>
          <t>N/A — public company</t>
        </is>
      </c>
      <c r="L36" s="11" t="inlineStr">
        <is>
          <t>meets parameters</t>
        </is>
      </c>
      <c r="M36" s="11" t="n">
        <v>2</v>
      </c>
      <c r="N36" s="11" t="inlineStr">
        <is>
          <t>Stretch</t>
        </is>
      </c>
      <c r="O36" s="11" t="inlineStr">
        <is>
          <t>Hard filters pass (revenue ~$590M and rising sharply, market cap ~$7.3B, profitable, broad urban buyer base, no F1 ties) but fit is 2/4 given the India-only footprint and modest brand-story alignment, so Stretch.</t>
        </is>
      </c>
      <c r="P36" s="11" t="inlineStr">
        <is>
          <t>India's fastest-growing premium developer riding the country's rising affluent class — align with F1's growing footprint and fanbase in India (est).</t>
        </is>
      </c>
      <c r="Q36" s="11" t="n"/>
      <c r="R36" s="11" t="inlineStr">
        <is>
          <t>verified-existing</t>
        </is>
      </c>
      <c r="S36" s="11" t="inlineStr">
        <is>
          <t>2026-09-28</t>
        </is>
      </c>
    </row>
    <row r="37">
      <c r="A37" s="11" t="n">
        <v>34</v>
      </c>
      <c r="B37" s="11" t="n">
        <v>52</v>
      </c>
      <c r="C37" s="11" t="inlineStr">
        <is>
          <t>Host Hotels &amp; Resorts</t>
        </is>
      </c>
      <c r="D37" s="11" t="inlineStr">
        <is>
          <t>hosthotels.com</t>
        </is>
      </c>
      <c r="E37" s="11" t="inlineStr">
        <is>
          <t>US</t>
        </is>
      </c>
      <c r="F37" s="11" t="inlineStr">
        <is>
          <t>Public (NASDAQ: HST), REIT, no controlling family/state stake</t>
        </is>
      </c>
      <c r="G37" s="11" t="inlineStr">
        <is>
          <t>Largest US lodging REIT — luxury hotel portfolio (Marriott/Hilton/Ritz-Carlton flags), largely US-based</t>
        </is>
      </c>
      <c r="H37" s="11" t="inlineStr">
        <is>
          <t>201-1k</t>
        </is>
      </c>
      <c r="I37" s="11" t="inlineStr">
        <is>
          <t>$6.114B FY2025, +7.57% YoY (macrotrends)</t>
        </is>
      </c>
      <c r="J37" s="11" t="inlineStr">
        <is>
          <t>Market cap ~$14.57B as of Apr 24 2026 (companiesmarketcap.com/stockanalysis.com)</t>
        </is>
      </c>
      <c r="K37" s="11" t="inlineStr">
        <is>
          <t>N/A — public company</t>
        </is>
      </c>
      <c r="L37" s="11" t="inlineStr">
        <is>
          <t>exceeds - mega-brand</t>
        </is>
      </c>
      <c r="M37" s="11" t="n">
        <v>2</v>
      </c>
      <c r="N37" s="11" t="inlineStr">
        <is>
          <t>Stretch</t>
        </is>
      </c>
      <c r="O37" s="11" t="inlineStr">
        <is>
          <t>Hard filters clear (revenue $6.1B, market cap ~$14.6B, profitable and growing, no F1 ties) but fit is 2/4 — a nearly all-US lodging portfolio without a strong global or performance/tech brand narrative, so Stretch.</t>
        </is>
      </c>
      <c r="P37" s="11" t="inlineStr">
        <is>
          <t>Largest US luxury-hotel REIT — hospitality/VIP-experience tie-in around F1's US triple-header (Austin, Miami, Las Vegas) (est).</t>
        </is>
      </c>
      <c r="Q37" s="11" t="n"/>
      <c r="R37" s="11" t="inlineStr">
        <is>
          <t>verified-existing</t>
        </is>
      </c>
      <c r="S37" s="11" t="inlineStr">
        <is>
          <t>2026-09-28</t>
        </is>
      </c>
    </row>
    <row r="38">
      <c r="A38" s="11" t="n">
        <v>35</v>
      </c>
      <c r="B38" s="11" t="n">
        <v>52</v>
      </c>
      <c r="C38" s="11" t="inlineStr">
        <is>
          <t>Taylor Morrison Home Corporation</t>
        </is>
      </c>
      <c r="D38" s="11" t="inlineStr">
        <is>
          <t>taylormorrison.com</t>
        </is>
      </c>
      <c r="E38" s="11" t="inlineStr">
        <is>
          <t>Scottsdale, Arizona, US</t>
        </is>
      </c>
      <c r="F38" s="11" t="inlineStr">
        <is>
          <t>Public (NYSE: TMHC); formerly TPG-backed pre-IPO (2013), no current PE control</t>
        </is>
      </c>
      <c r="G38" s="11" t="inlineStr">
        <is>
          <t>Major US homebuilder (Arizona-headquartered)</t>
        </is>
      </c>
      <c r="H38" s="11" t="inlineStr">
        <is>
          <t>1k-5k</t>
        </is>
      </c>
      <c r="I38" s="11" t="inlineStr">
        <is>
          <t>$8.12B, FY2025, per company financials (stockanalysis.com)</t>
        </is>
      </c>
      <c r="J38" s="11" t="inlineStr">
        <is>
          <t>~$6.67B market cap (stockanalysis.com, 2026)</t>
        </is>
      </c>
      <c r="K38" s="11" t="inlineStr">
        <is>
          <t>N/A (public company)</t>
        </is>
      </c>
      <c r="L38" s="11" t="inlineStr">
        <is>
          <t>meets parameters</t>
        </is>
      </c>
      <c r="M38" s="11" t="n">
        <v>2</v>
      </c>
      <c r="N38" s="11" t="inlineStr">
        <is>
          <t>Stretch</t>
        </is>
      </c>
      <c r="O38" s="11" t="inlineStr">
        <is>
          <t>Hard filters pass (revenue $8.12B, market cap $6.67B, ~3,000 employees, profitable, no F1 ties found, public ownership) but fit score is exactly 2/4 with a weak overall angle (single-market, moderate brand story).</t>
        </is>
      </c>
      <c r="P38" s="11" t="inlineStr">
        <is>
          <t>Upscale 'lifestyle community' brand positioning targeting active, affluent buyers - echoes F1's premium lifestyle audience (est).</t>
        </is>
      </c>
      <c r="Q38" s="11" t="n"/>
      <c r="R38" s="11" t="inlineStr">
        <is>
          <t>verified-existing</t>
        </is>
      </c>
      <c r="S38" s="11" t="inlineStr">
        <is>
          <t>2026-09-28</t>
        </is>
      </c>
    </row>
    <row r="39">
      <c r="A39" s="11" t="n">
        <v>36</v>
      </c>
      <c r="B39" s="11" t="n">
        <v>52</v>
      </c>
      <c r="C39" s="11" t="inlineStr">
        <is>
          <t>Toll Brothers Inc</t>
        </is>
      </c>
      <c r="D39" s="11" t="inlineStr">
        <is>
          <t>tollbrothers.com</t>
        </is>
      </c>
      <c r="E39" s="11" t="inlineStr">
        <is>
          <t>US</t>
        </is>
      </c>
      <c r="F39" s="11" t="inlineStr">
        <is>
          <t>Public (NYSE: TOL); broadly held, no state or founding-family control</t>
        </is>
      </c>
      <c r="G39" s="11" t="inlineStr">
        <is>
          <t>America's leading luxury homebuilder (US-only operations)</t>
        </is>
      </c>
      <c r="H39" s="11" t="inlineStr">
        <is>
          <t>1k-5k</t>
        </is>
      </c>
      <c r="I39" s="11" t="inlineStr">
        <is>
          <t>$10.97B FY2025 (fiscal year ended Oct 31, 2025) — Toll Brothers FY2025 10-K/8-K</t>
        </is>
      </c>
      <c r="J39" s="11" t="inlineStr">
        <is>
          <t>Market cap ~$14-15.3B (stockanalysis.com, close $134.32/share Sep 17 2026; ~$15.33B Jun 2026)</t>
        </is>
      </c>
      <c r="K39" s="11" t="inlineStr">
        <is>
          <t>N/A — public company</t>
        </is>
      </c>
      <c r="L39" s="11" t="inlineStr">
        <is>
          <t>exceeds - mega-brand</t>
        </is>
      </c>
      <c r="M39" s="11" t="n">
        <v>2</v>
      </c>
      <c r="N39" s="11" t="inlineStr">
        <is>
          <t>Stretch</t>
        </is>
      </c>
      <c r="O39" s="11" t="inlineStr">
        <is>
          <t>All hard filters pass (rev $10.97B FY2025; mkt cap ~$14-15B Sep 2026; 4,900 full-time employees at 10/31/2025 per FY2025 8-K; profitable public homebuilder; no F1 team/series tie found; public ownership, no compliance issue) but fit score is only 2 with weak angles — single-market (US-only) homebuilder without a natural performance/technology story.</t>
        </is>
      </c>
      <c r="P39" s="11" t="inlineStr">
        <is>
          <t>Open 'home &amp; lifestyle' category; luxury-homebuilder brand paired with a team's hospitality lounge, targeting the affluent 35-64 buyer demographic overlapping F1's growing US fanbase (Miami/Vegas/Austin).</t>
        </is>
      </c>
      <c r="Q39" s="11" t="n"/>
      <c r="R39" s="11" t="inlineStr">
        <is>
          <t>verified-existing</t>
        </is>
      </c>
      <c r="S39" s="11" t="inlineStr">
        <is>
          <t>2026-09-28</t>
        </is>
      </c>
    </row>
    <row r="40">
      <c r="A40" s="11" t="n">
        <v>37</v>
      </c>
      <c r="B40" s="11" t="n">
        <v>52</v>
      </c>
      <c r="C40" s="11" t="inlineStr">
        <is>
          <t>Vornado Realty Trust</t>
        </is>
      </c>
      <c r="D40" s="11" t="inlineStr">
        <is>
          <t>vno.com</t>
        </is>
      </c>
      <c r="E40" s="11" t="inlineStr">
        <is>
          <t>US</t>
        </is>
      </c>
      <c r="F40" s="11" t="inlineStr">
        <is>
          <t>Public (NYSE: VNO); Steven Roth chairman/CEO, no state ownership</t>
        </is>
      </c>
      <c r="G40" s="11" t="inlineStr">
        <is>
          <t>NYC &amp; DC office/retail REIT — commercial landlord</t>
        </is>
      </c>
      <c r="H40" s="11" t="inlineStr">
        <is>
          <t>1k-5k</t>
        </is>
      </c>
      <c r="I40" s="11" t="inlineStr">
        <is>
          <t>$1.81B FY2025, +1.27% YoY — stockanalysis.com/FY2025 10-K</t>
        </is>
      </c>
      <c r="J40" s="11" t="inlineStr">
        <is>
          <t>Market cap $6.87B as of May 2026 — companiesmarketcap.com</t>
        </is>
      </c>
      <c r="K40" s="11" t="inlineStr">
        <is>
          <t>N/A — public REIT</t>
        </is>
      </c>
      <c r="L40" s="11" t="inlineStr">
        <is>
          <t>meets parameters</t>
        </is>
      </c>
      <c r="M40" s="11" t="n">
        <v>2</v>
      </c>
      <c r="N40" s="11" t="inlineStr">
        <is>
          <t>Stretch</t>
        </is>
      </c>
      <c r="O40" s="11" t="inlineStr">
        <is>
          <t>Hard bars pass (rev $1.81B FY2025; mkt cap $6.87B; ~3,000-4,900 employees; no F1 conflict found; public ownership, no compliance issue) but real reservations: likely tenant concentration typical of flagship-office REITs raises audience-diversity doubt, and revenue growth is only modestly positive. Fit score only 2 with weak angles.</t>
        </is>
      </c>
      <c r="P40" s="11" t="inlineStr">
        <is>
          <t>NYC/DC office landlord positioning around F1's growing US East Coast fanbase — a paddock club/corporate box tied to Vornado's marquee properties as a networking venue for tenants' C-suite clients.</t>
        </is>
      </c>
      <c r="Q40" s="11" t="inlineStr">
        <is>
          <t>REIT tenant base likely concentrated in a relatively small number of large corporate anchor tenants across flagship towers rather than thousands of end customers (est — general REIT structure, not independently confirmed before search budget ran out); modest +1.27% FY2025 revenue growth — thin margin against the 'clearly improving' capacity-to-spend bar</t>
        </is>
      </c>
      <c r="R40" s="11" t="inlineStr">
        <is>
          <t>verified-existing</t>
        </is>
      </c>
      <c r="S40" s="11" t="inlineStr">
        <is>
          <t>2026-09-28</t>
        </is>
      </c>
    </row>
    <row r="41">
      <c r="A41" s="11" t="n">
        <v>38</v>
      </c>
      <c r="B41" s="11" t="n">
        <v>52</v>
      </c>
      <c r="C41" s="11" t="inlineStr">
        <is>
          <t>Barratt Redrow plc</t>
        </is>
      </c>
      <c r="D41" s="11" t="inlineStr">
        <is>
          <t>barrattredrow.co.uk</t>
        </is>
      </c>
      <c r="E41" s="11" t="inlineStr">
        <is>
          <t>UK</t>
        </is>
      </c>
      <c r="F41" s="11" t="inlineStr">
        <is>
          <t>Public (LSE: BTRW); no state or family control post-2024 Barratt/Redrow merger</t>
        </is>
      </c>
      <c r="G41" s="11" t="inlineStr">
        <is>
          <t>UK's largest homebuilder (Barratt, David Wilson, Redrow brands) — UK-only</t>
        </is>
      </c>
      <c r="H41" s="11" t="inlineStr">
        <is>
          <t>5k-10k</t>
        </is>
      </c>
      <c r="I41" s="11" t="inlineStr">
        <is>
          <t>TTM revenue $7.81B as of Dec 31, 2025 — stockanalysis.com</t>
        </is>
      </c>
      <c r="J41" s="11" t="inlineStr">
        <is>
          <t>Market cap $5.01B as of Mar 23, 2026 — stockanalysis.com/companiesmarketcap</t>
        </is>
      </c>
      <c r="K41" s="11" t="inlineStr">
        <is>
          <t>N/A — public company</t>
        </is>
      </c>
      <c r="L41" s="11" t="inlineStr">
        <is>
          <t>meets parameters</t>
        </is>
      </c>
      <c r="M41" s="11" t="n">
        <v>2</v>
      </c>
      <c r="N41" s="11" t="inlineStr">
        <is>
          <t>Stretch</t>
        </is>
      </c>
      <c r="O41" s="11" t="inlineStr">
        <is>
          <t>Hard bars pass on filed figures (TTM revenue $7.81B; mkt cap $5.01B; 7,928 employees) and no F1 conflict found in general search, but capacity-to-spend (post-merger integration, UK housing slowdown) was not independently confirmed before the search budget ran out. Fit score only 2 with weak angles.</t>
        </is>
      </c>
      <c r="P41" s="11" t="inlineStr">
        <is>
          <t>UK's largest homebuilder aligning with a British-based F1 team on a home-nation angle, tying new-build community development to race-weekend regional economic activity (e.g., Silverstone-adjacent markets).</t>
        </is>
      </c>
      <c r="Q41" s="11" t="inlineStr">
        <is>
          <t>UK housing market faced higher-rate headwinds through 2025; current profitability/distress status not independently confirmed before search budget ran out (est risk)</t>
        </is>
      </c>
      <c r="R41" s="11" t="inlineStr">
        <is>
          <t>verified-existing</t>
        </is>
      </c>
      <c r="S41" s="11" t="inlineStr">
        <is>
          <t>2026-09-28</t>
        </is>
      </c>
    </row>
    <row r="42">
      <c r="A42" s="11" t="n">
        <v>39</v>
      </c>
      <c r="B42" s="11" t="n">
        <v>52</v>
      </c>
      <c r="C42" s="11" t="inlineStr">
        <is>
          <t>Fortune Brands Innovations</t>
        </is>
      </c>
      <c r="D42" s="11" t="inlineStr">
        <is>
          <t>fbin.com</t>
        </is>
      </c>
      <c r="E42" s="11" t="inlineStr">
        <is>
          <t>US</t>
        </is>
      </c>
      <c r="F42" s="11" t="inlineStr">
        <is>
          <t>Public (NYSE: FBIN); no state ties</t>
        </is>
      </c>
      <c r="G42" s="11" t="inlineStr">
        <is>
          <t>Water/security/outdoor building products (Moen, Master Lock) — primarily North America, sold via big-box retail + wholesale</t>
        </is>
      </c>
      <c r="H42" s="11" t="inlineStr">
        <is>
          <t>5k-10k</t>
        </is>
      </c>
      <c r="I42" s="11" t="inlineStr">
        <is>
          <t>$4.463B FY2025, -3.16% YoY — macrotrends.net</t>
        </is>
      </c>
      <c r="J42" s="11" t="inlineStr">
        <is>
          <t>Market cap $4.75B as of Sep 17, 2026 — datainsightsmarket.com</t>
        </is>
      </c>
      <c r="K42" s="11" t="inlineStr">
        <is>
          <t>N/A — public company</t>
        </is>
      </c>
      <c r="L42" s="11" t="inlineStr">
        <is>
          <t>meets parameters</t>
        </is>
      </c>
      <c r="M42" s="11" t="n">
        <v>2</v>
      </c>
      <c r="N42" s="11" t="inlineStr">
        <is>
          <t>Stretch</t>
        </is>
      </c>
      <c r="O42" s="11" t="inlineStr">
        <is>
          <t>Passes revenue/valuation/headcount hard bars (rev $4.463B FY2025; mkt cap $4.75B; 8,326 employees) and no F1 conflict found, but real reservations: revenue declined YoY rather than clearly improving, and retail-channel concentration risk was not independently confirmed before the search budget ran out. Fit score only 2 with weak angles.</t>
        </is>
      </c>
      <c r="P42" s="11" t="inlineStr">
        <is>
          <t>Moen/Master Lock 'engineered for performance and security' story could support a components/technology-partner angle, best paired with a lower-tier 'official home security &amp; water technology partner' role given the thin overall case.</t>
        </is>
      </c>
      <c r="Q42" s="11" t="inlineStr">
        <is>
          <t>FY2025 revenue declined -3.16% YoY — a caution flag against the 'clearly improving' capacity-to-spend bar; consumer retail distribution likely concentrated among a small number of big-box retail partners (Home Depot/Lowe's) rather than thousands of direct accounts (est — not independently confirmed before search budget ended)</t>
        </is>
      </c>
      <c r="R42" s="11" t="inlineStr">
        <is>
          <t>verified-existing</t>
        </is>
      </c>
      <c r="S42" s="11" t="inlineStr">
        <is>
          <t>2026-09-28</t>
        </is>
      </c>
    </row>
    <row r="43">
      <c r="A43" s="11" t="n">
        <v>40</v>
      </c>
      <c r="B43" s="11" t="n">
        <v>52</v>
      </c>
      <c r="C43" s="11" t="inlineStr">
        <is>
          <t>Henderson Land Development</t>
        </is>
      </c>
      <c r="D43" s="11" t="inlineStr">
        <is>
          <t>hld.com</t>
        </is>
      </c>
      <c r="E43" s="11" t="inlineStr">
        <is>
          <t>Hong Kong</t>
        </is>
      </c>
      <c r="F43" s="11" t="inlineStr">
        <is>
          <t>Public (HKEX: 0012); family-controlled (Lee Shau-kee family) — not state-owned</t>
        </is>
      </c>
      <c r="G43" s="11" t="inlineStr">
        <is>
          <t>Hong Kong &amp; mainland China property developer/landlord</t>
        </is>
      </c>
      <c r="H43" s="11" t="inlineStr">
        <is>
          <t>10k+</t>
        </is>
      </c>
      <c r="I43" s="11" t="inlineStr">
        <is>
          <t>HK$25.74B (~US$3.30B) FY2025, +1.92% YoY — stockanalysis.com/companiesmarketcap</t>
        </is>
      </c>
      <c r="J43" s="11" t="inlineStr">
        <is>
          <t>Market cap $16.5B as of Sep 4, 2026 (range $16.5-18.78B by date/source) — companiesmarketcap.com</t>
        </is>
      </c>
      <c r="K43" s="11" t="inlineStr">
        <is>
          <t>N/A — public company</t>
        </is>
      </c>
      <c r="L43" s="11" t="inlineStr">
        <is>
          <t>exceeds - mega-brand</t>
        </is>
      </c>
      <c r="M43" s="11" t="n">
        <v>2</v>
      </c>
      <c r="N43" s="11" t="inlineStr">
        <is>
          <t>Stretch</t>
        </is>
      </c>
      <c r="O43" s="11" t="inlineStr">
        <is>
          <t>Hard bars pass on filed figures (rev ~US$3.3B FY2025; mkt cap &gt;$16B; 10,078 employees) and no F1 conflict found, but capacity-to-spend is a real reservation given a soft Hong Kong property market and thin 1.92% revenue growth not independently confirmed as clearly improving. Fit score only 2 with weak angles.</t>
        </is>
      </c>
      <c r="P43" s="11" t="inlineStr">
        <is>
          <t>Hong Kong/China-focused developer could position around F1's growing Asian fanbase and China GP ties, but this is a stretch given single-region concentration and a soft local property market — better suited to a market-timing angle than a marquee deal.</t>
        </is>
      </c>
      <c r="Q43" s="11" t="inlineStr">
        <is>
          <t>Hong Kong property market has faced multi-year price/demand headwinds; FY2025 revenue growth of only 1.92% is a thin margin, and current distress/improving status was not independently confirmed before the search budget ran out (est risk)</t>
        </is>
      </c>
      <c r="R43" s="11" t="inlineStr">
        <is>
          <t>verified-existing</t>
        </is>
      </c>
      <c r="S43" s="11" t="inlineStr">
        <is>
          <t>2026-09-28</t>
        </is>
      </c>
    </row>
    <row r="44">
      <c r="A44" s="11" t="n">
        <v>41</v>
      </c>
      <c r="B44" s="11" t="n">
        <v>52</v>
      </c>
      <c r="C44" s="11" t="inlineStr">
        <is>
          <t>Lennar Corporation</t>
        </is>
      </c>
      <c r="D44" s="11" t="inlineStr">
        <is>
          <t>lennar.com</t>
        </is>
      </c>
      <c r="E44" s="11" t="inlineStr">
        <is>
          <t>US</t>
        </is>
      </c>
      <c r="F44" s="11" t="inlineStr">
        <is>
          <t>Public (NYSE: LEN)</t>
        </is>
      </c>
      <c r="G44" s="11" t="inlineStr">
        <is>
          <t>Second-largest US homebuilder (Lennar homes) plus mortgage/title services</t>
        </is>
      </c>
      <c r="H44" s="11" t="inlineStr">
        <is>
          <t>10k+ (est, based on prior public filings; not re-verified this session before search budget ended)</t>
        </is>
      </c>
      <c r="I44" s="11" t="inlineStr">
        <is>
          <t>USD 34.2B total revenue FY2025 (ended Nov 2025), -3.5% YoY on lower average sales price (Lennar Q4/FY2025 results release, 16 Dec 2025, investors.lennar.com)</t>
        </is>
      </c>
      <c r="J44" s="11" t="inlineStr">
        <is>
          <t>Market cap ~USD 20B as of Sep 2 2026, down from ~$26.6B in Jan 2026 (stockanalysis.com, Sep 2026)</t>
        </is>
      </c>
      <c r="K44" s="11" t="inlineStr">
        <is>
          <t>N/A (public company)</t>
        </is>
      </c>
      <c r="L44" s="11" t="inlineStr">
        <is>
          <t>exceeds - mega-brand</t>
        </is>
      </c>
      <c r="M44" s="11" t="n">
        <v>2</v>
      </c>
      <c r="N44" s="11" t="inlineStr">
        <is>
          <t>Stretch</t>
        </is>
      </c>
      <c r="O44" s="11" t="inlineStr">
        <is>
          <t>Passes hard filters (revenue, &gt;$1B market cap, headcount, still profitable, no F1 ties, no ownership issues) but fit==2 with weak angles (single-market, generic homebuilder brand story) plus a softening housing market</t>
        </is>
      </c>
      <c r="P44" s="11" t="inlineStr">
        <is>
          <t>US housing/lifestyle angle tied to the affluent homebuyer demographic, timed around a US Grand Prix weekend (est)</t>
        </is>
      </c>
      <c r="Q44" s="11" t="inlineStr">
        <is>
          <t>revenue down 3.5% YoY and average sales price down amid a softer US housing market - not distress but not clearly improving either</t>
        </is>
      </c>
      <c r="R44" s="11" t="inlineStr">
        <is>
          <t>verified-existing</t>
        </is>
      </c>
      <c r="S44" s="11" t="inlineStr">
        <is>
          <t>2026-09-28</t>
        </is>
      </c>
    </row>
    <row r="45">
      <c r="A45" s="11" t="n">
        <v>42</v>
      </c>
      <c r="B45" s="11" t="n">
        <v>52</v>
      </c>
      <c r="C45" s="11" t="inlineStr">
        <is>
          <t>Masco Corporation</t>
        </is>
      </c>
      <c r="D45" s="11" t="inlineStr">
        <is>
          <t>masco.com</t>
        </is>
      </c>
      <c r="E45" s="11" t="inlineStr">
        <is>
          <t>US</t>
        </is>
      </c>
      <c r="F45" s="11" t="inlineStr">
        <is>
          <t>Public (NYSE: MAS)</t>
        </is>
      </c>
      <c r="G45" s="11" t="inlineStr">
        <is>
          <t>Building products conglomerate (Behr paint, Delta Faucet)</t>
        </is>
      </c>
      <c r="H45" s="11" t="inlineStr">
        <is>
          <t>10k+ (~19,000)</t>
        </is>
      </c>
      <c r="I45" s="11" t="inlineStr">
        <is>
          <t>USD 7.56B net sales FY2025, -3% YoY (Masco Q4/FY2025 year-end results release, investor.masco.com, early 2026)</t>
        </is>
      </c>
      <c r="J45" s="11" t="inlineStr">
        <is>
          <t>Market cap ~USD 13.7-14.8B as of Sep 2026 (stockanalysis.com/macrotrends, Sep 2026)</t>
        </is>
      </c>
      <c r="K45" s="11" t="inlineStr">
        <is>
          <t>N/A (public company)</t>
        </is>
      </c>
      <c r="L45" s="11" t="inlineStr">
        <is>
          <t>exceeds - mega-brand</t>
        </is>
      </c>
      <c r="M45" s="11" t="n">
        <v>2</v>
      </c>
      <c r="N45" s="11" t="inlineStr">
        <is>
          <t>Stretch</t>
        </is>
      </c>
      <c r="O45" s="11" t="inlineStr">
        <is>
          <t>Passes hard filters (revenue, $14B+ market cap, headcount, still profitable, no F1 ties, no ownership issues) but fit==2 with weak angles (largely North America-only, generic home-products brand story)</t>
        </is>
      </c>
      <c r="P45" s="11" t="inlineStr">
        <is>
          <t>Home-improvement/design lifestyle tie-in (Behr color, Delta Faucet design) around North American race weekends and hospitality activations (est)</t>
        </is>
      </c>
      <c r="Q45" s="11" t="inlineStr">
        <is>
          <t>revenue down 3% YoY - soft but not distress</t>
        </is>
      </c>
      <c r="R45" s="11" t="inlineStr">
        <is>
          <t>verified-existing</t>
        </is>
      </c>
      <c r="S45" s="11" t="inlineStr">
        <is>
          <t>2026-09-28</t>
        </is>
      </c>
    </row>
    <row r="46">
      <c r="A46" s="11" t="n">
        <v>43</v>
      </c>
      <c r="B46" s="11" t="n">
        <v>52</v>
      </c>
      <c r="C46" s="11" t="inlineStr">
        <is>
          <t>Mitsui Fudosan</t>
        </is>
      </c>
      <c r="D46" s="11" t="inlineStr">
        <is>
          <t>mitsuifudosan.co.jp</t>
        </is>
      </c>
      <c r="E46" s="11" t="inlineStr">
        <is>
          <t>Japan</t>
        </is>
      </c>
      <c r="F46" s="11" t="inlineStr">
        <is>
          <t>Public (TSE: 8801)</t>
        </is>
      </c>
      <c r="G46" s="11" t="inlineStr">
        <is>
          <t>Diversified, largely Japan-centric real estate (residential, commercial, Lalaport retail malls)</t>
        </is>
      </c>
      <c r="H46" s="11" t="inlineStr">
        <is>
          <t>10k+ (~27,700 consolidated)</t>
        </is>
      </c>
      <c r="I46" s="11" t="inlineStr">
        <is>
          <t>JPY 2,709.7B (~USD 17.4B) FY2025 (Mitsui Fudosan IR financial highlights, mitsuifudosan.co.jp, 2025)</t>
        </is>
      </c>
      <c r="J46" s="11" t="inlineStr">
        <is>
          <t>Market cap ~USD 26.1B as of 21 Jul 2026 (investing.com, 2026)</t>
        </is>
      </c>
      <c r="K46" s="11" t="inlineStr">
        <is>
          <t>N/A (public company)</t>
        </is>
      </c>
      <c r="L46" s="11" t="inlineStr">
        <is>
          <t>exceeds - mega-brand</t>
        </is>
      </c>
      <c r="M46" s="11" t="n">
        <v>2</v>
      </c>
      <c r="N46" s="11" t="inlineStr">
        <is>
          <t>Stretch</t>
        </is>
      </c>
      <c r="O46" s="11" t="inlineStr">
        <is>
          <t>Passes hard filters (revenue, $26B market cap, headcount, no distress signals, no F1 ties, no ownership issues) but fit==2 with weak angles (largely domestic-Japan focus, generic real-estate brand story)</t>
        </is>
      </c>
      <c r="P46" s="11" t="inlineStr">
        <is>
          <t>Japanese GP market-timing angle via Lalaport retail/mall network activations and Tokyo urban-development storytelling (est)</t>
        </is>
      </c>
      <c r="Q46" s="11" t="n"/>
      <c r="R46" s="11" t="inlineStr">
        <is>
          <t>verified-existing</t>
        </is>
      </c>
      <c r="S46" s="11" t="inlineStr">
        <is>
          <t>2026-09-28</t>
        </is>
      </c>
    </row>
    <row r="47">
      <c r="A47" s="11" t="n">
        <v>44</v>
      </c>
      <c r="B47" s="11" t="n">
        <v>52</v>
      </c>
      <c r="C47" s="11" t="inlineStr">
        <is>
          <t>Nomura Real Estate Holdings</t>
        </is>
      </c>
      <c r="D47" s="11" t="inlineStr">
        <is>
          <t>nomura-re-hd.co.jp</t>
        </is>
      </c>
      <c r="E47" s="11" t="inlineStr">
        <is>
          <t>Japan</t>
        </is>
      </c>
      <c r="F47" s="11" t="inlineStr">
        <is>
          <t>Public (TSE: 3231)</t>
        </is>
      </c>
      <c r="G47" s="11" t="inlineStr">
        <is>
          <t>Residential/commercial real estate developer, largely Japan-focused</t>
        </is>
      </c>
      <c r="H47" s="11" t="inlineStr">
        <is>
          <t>5k-10k (9,000+)</t>
        </is>
      </c>
      <c r="I47" s="11" t="inlineStr">
        <is>
          <t>JPY 942.51B (~USD 6.3B) for FY ended Mar 2026, +24.4% YoY (stockanalysis.com, 2026)</t>
        </is>
      </c>
      <c r="J47" s="11" t="inlineStr">
        <is>
          <t>Market cap ~JPY 772B (~USD 5.2B) (2026 data, stockanalysis.com)</t>
        </is>
      </c>
      <c r="K47" s="11" t="inlineStr">
        <is>
          <t>N/A (public company)</t>
        </is>
      </c>
      <c r="L47" s="11" t="inlineStr">
        <is>
          <t>meets parameters</t>
        </is>
      </c>
      <c r="M47" s="11" t="n">
        <v>2</v>
      </c>
      <c r="N47" s="11" t="inlineStr">
        <is>
          <t>Stretch</t>
        </is>
      </c>
      <c r="O47" s="11" t="inlineStr">
        <is>
          <t>Passes hard filters (revenue, $5.2B market cap, headcount, revenue growing +24% YoY, no F1 ties, no ownership issues) but fit==2 with weak angles (domestic-only focus, generic developer story)</t>
        </is>
      </c>
      <c r="P47" s="11" t="inlineStr">
        <is>
          <t>Japanese GP tie-in via residential/urban-lifestyle storytelling and hospitality real-estate assets (est)</t>
        </is>
      </c>
      <c r="Q47" s="11" t="n"/>
      <c r="R47" s="11" t="inlineStr">
        <is>
          <t>verified-existing</t>
        </is>
      </c>
      <c r="S47" s="11" t="inlineStr">
        <is>
          <t>2026-09-28</t>
        </is>
      </c>
    </row>
    <row r="48">
      <c r="A48" s="11" t="n">
        <v>45</v>
      </c>
      <c r="B48" s="11" t="n">
        <v>52</v>
      </c>
      <c r="C48" s="11" t="inlineStr">
        <is>
          <t>NVR Inc</t>
        </is>
      </c>
      <c r="D48" s="11" t="inlineStr">
        <is>
          <t>nvrinc.com</t>
        </is>
      </c>
      <c r="E48" s="11" t="inlineStr">
        <is>
          <t>US</t>
        </is>
      </c>
      <c r="F48" s="11" t="inlineStr">
        <is>
          <t>Public (NYSE: NVR)</t>
        </is>
      </c>
      <c r="G48" s="11" t="inlineStr">
        <is>
          <t>US homebuilder (Ryan Homes, NVHomes, Heartland Homes) plus mortgage/title services</t>
        </is>
      </c>
      <c r="H48" s="11" t="inlineStr">
        <is>
          <t>5k-10k (~6,300)</t>
        </is>
      </c>
      <c r="I48" s="11" t="inlineStr">
        <is>
          <t>USD 10.44B FY2025, -2.33% YoY (stockanalysis.com, 2026)</t>
        </is>
      </c>
      <c r="J48" s="11" t="inlineStr">
        <is>
          <t>Market cap ~USD 16.7B as of Jul 2026 (stockanalysis.com, 2026)</t>
        </is>
      </c>
      <c r="K48" s="11" t="inlineStr">
        <is>
          <t>N/A (public company)</t>
        </is>
      </c>
      <c r="L48" s="11" t="inlineStr">
        <is>
          <t>exceeds - mega-brand</t>
        </is>
      </c>
      <c r="M48" s="11" t="n">
        <v>2</v>
      </c>
      <c r="N48" s="11" t="inlineStr">
        <is>
          <t>Stretch</t>
        </is>
      </c>
      <c r="O48" s="11" t="inlineStr">
        <is>
          <t>Passes hard filters (revenue, $16.7B market cap, headcount, historically strong margins, no F1 ties, no ownership issues) but fit==2 with weak angles (US-only, generic homebuilder story) plus a softening housing market</t>
        </is>
      </c>
      <c r="P48" s="11" t="inlineStr">
        <is>
          <t>US housing/lifestyle angle around a US Grand Prix weekend targeting the affluent homebuyer demographic (est)</t>
        </is>
      </c>
      <c r="Q48" s="11" t="inlineStr">
        <is>
          <t>revenue down 2.33% YoY amid a softer US housing market</t>
        </is>
      </c>
      <c r="R48" s="11" t="inlineStr">
        <is>
          <t>verified-existing</t>
        </is>
      </c>
      <c r="S48" s="11" t="inlineStr">
        <is>
          <t>2026-09-28</t>
        </is>
      </c>
    </row>
    <row r="49">
      <c r="A49" s="11" t="n">
        <v>46</v>
      </c>
      <c r="B49" s="11" t="n">
        <v>52</v>
      </c>
      <c r="C49" s="11" t="inlineStr">
        <is>
          <t>PulteGroup</t>
        </is>
      </c>
      <c r="D49" s="11" t="inlineStr">
        <is>
          <t>pultegroupinc.com</t>
        </is>
      </c>
      <c r="E49" s="11" t="inlineStr">
        <is>
          <t>US</t>
        </is>
      </c>
      <c r="F49" s="11" t="inlineStr">
        <is>
          <t>Public (NYSE: PHM); no state, gambling, or alcohol ties</t>
        </is>
      </c>
      <c r="G49" s="11" t="inlineStr">
        <is>
          <t>US homebuilder (Del Webb, Centex, Pulte brands)</t>
        </is>
      </c>
      <c r="H49" s="11" t="inlineStr">
        <is>
          <t>5k-10k</t>
        </is>
      </c>
      <c r="I49" s="11" t="inlineStr">
        <is>
          <t>$17.31B FY2025 revenue (stockanalysis.com, as of Dec 31 2025)</t>
        </is>
      </c>
      <c r="J49" s="11" t="inlineStr">
        <is>
          <t>$24.71B market cap (companiesmarketcap.com, as of Apr 2026)</t>
        </is>
      </c>
      <c r="K49" s="11" t="inlineStr">
        <is>
          <t>N/A - public company, no recent funding round</t>
        </is>
      </c>
      <c r="L49" s="11" t="inlineStr">
        <is>
          <t>exceeds - mega-brand</t>
        </is>
      </c>
      <c r="M49" s="11" t="n">
        <v>2</v>
      </c>
      <c r="N49" s="11" t="inlineStr">
        <is>
          <t>Stretch</t>
        </is>
      </c>
      <c r="O49" s="11" t="inlineStr">
        <is>
          <t>All hard filters pass (revenue $17.3B, market cap $24.7B, headcount 6.5k, profitable public homebuilder, broad buyer base, no F1 sponsorship ties found, no ownership issues) but fit=2 with a real reservation: purely US-domestic business has no natural global-sport or precision/tech narrative.</t>
        </is>
      </c>
      <c r="P49" s="11" t="inlineStr">
        <is>
          <t>Open 'homebuilding/real estate' category; craftsmanship/precision-engineered-communities story aimed at affluent home-buying decision-makers (est)</t>
        </is>
      </c>
      <c r="Q49" s="11" t="n"/>
      <c r="R49" s="11" t="inlineStr">
        <is>
          <t>verified-existing</t>
        </is>
      </c>
      <c r="S49" s="11" t="inlineStr">
        <is>
          <t>2026-09-28</t>
        </is>
      </c>
    </row>
    <row r="50">
      <c r="A50" s="11" t="n">
        <v>47</v>
      </c>
      <c r="B50" s="11" t="n">
        <v>52</v>
      </c>
      <c r="C50" s="11" t="inlineStr">
        <is>
          <t>SM Prime Holdings</t>
        </is>
      </c>
      <c r="D50" s="11" t="inlineStr">
        <is>
          <t>smprime.com</t>
        </is>
      </c>
      <c r="E50" s="11" t="inlineStr">
        <is>
          <t>Philippines</t>
        </is>
      </c>
      <c r="F50" s="11" t="inlineStr">
        <is>
          <t>Public (PSE: SMPH); family-controlled (Sy family); no state ownership</t>
        </is>
      </c>
      <c r="G50" s="11" t="inlineStr">
        <is>
          <t>Mall, residential, office and hotel developer</t>
        </is>
      </c>
      <c r="H50" s="11" t="inlineStr">
        <is>
          <t>10k+</t>
        </is>
      </c>
      <c r="I50" s="11" t="inlineStr">
        <is>
          <t>~$2.53B TTM revenue (₱141.11B FY2025) (stockanalysis.com/craft.co, as of Sep 2025)</t>
        </is>
      </c>
      <c r="J50" s="11" t="inlineStr">
        <is>
          <t>~$9.5B market cap (stockanalysis.com, as of Mar 2026)</t>
        </is>
      </c>
      <c r="K50" s="11" t="inlineStr">
        <is>
          <t>N/A - public company</t>
        </is>
      </c>
      <c r="L50" s="11" t="inlineStr">
        <is>
          <t>exceeds - mega-brand</t>
        </is>
      </c>
      <c r="M50" s="11" t="n">
        <v>2</v>
      </c>
      <c r="N50" s="11" t="inlineStr">
        <is>
          <t>Stretch</t>
        </is>
      </c>
      <c r="O50" s="11" t="inlineStr">
        <is>
          <t>Hard filters pass (revenue ~$2.5B, market cap ~$9.5B, headcount 10k+, profitable, broad tenant/buyer base, no F1 sponsorship ties found, family-controlled non-state ownership) but fit=2 with weak angles: predominantly domestic Philippine operator with no global-sport narrative.</t>
        </is>
      </c>
      <c r="P50" s="11" t="inlineStr">
        <is>
          <t>Southeast Asia market-entry story for F1 sponsors, tying SM malls/lifestyle destinations to regional F1 fan activations (est)</t>
        </is>
      </c>
      <c r="Q50" s="11" t="n"/>
      <c r="R50" s="11" t="inlineStr">
        <is>
          <t>verified-existing</t>
        </is>
      </c>
      <c r="S50" s="11" t="inlineStr">
        <is>
          <t>2026-09-28</t>
        </is>
      </c>
    </row>
    <row r="51">
      <c r="A51" s="11" t="n">
        <v>48</v>
      </c>
      <c r="B51" s="11" t="n">
        <v>52</v>
      </c>
      <c r="C51" s="11" t="inlineStr">
        <is>
          <t>Sumitomo Realty &amp; Development</t>
        </is>
      </c>
      <c r="D51" s="11" t="inlineStr">
        <is>
          <t>sumitomo-rd.co.jp</t>
        </is>
      </c>
      <c r="E51" s="11" t="inlineStr">
        <is>
          <t>Japan</t>
        </is>
      </c>
      <c r="F51" s="11" t="inlineStr">
        <is>
          <t>Public (TSE: 8830); no state, gambling, or alcohol ties</t>
        </is>
      </c>
      <c r="G51" s="11" t="inlineStr">
        <is>
          <t>Major Japanese office/residential developer (Shinjuku towers, condos) with some US real estate holdings</t>
        </is>
      </c>
      <c r="H51" s="11" t="inlineStr">
        <is>
          <t>10k+</t>
        </is>
      </c>
      <c r="I51" s="11" t="inlineStr">
        <is>
          <t>~$6.8B TTM revenue, +4.3% YoY (marketscreener.com/companiesmarketcap.com, as of Sep 2025)</t>
        </is>
      </c>
      <c r="J51" s="11" t="inlineStr">
        <is>
          <t>~$19.9B-$27.7B market cap, sources vary (companiesmarketcap.com/stockanalysis.com, 2026)</t>
        </is>
      </c>
      <c r="K51" s="11" t="inlineStr">
        <is>
          <t>N/A - public company</t>
        </is>
      </c>
      <c r="L51" s="11" t="inlineStr">
        <is>
          <t>exceeds - mega-brand</t>
        </is>
      </c>
      <c r="M51" s="11" t="n">
        <v>2</v>
      </c>
      <c r="N51" s="11" t="inlineStr">
        <is>
          <t>Stretch</t>
        </is>
      </c>
      <c r="O51" s="11" t="inlineStr">
        <is>
          <t>Hard filters pass (revenue $6.8B, market cap ~$20-28B, headcount 14k+, profitable and growing, broad tenant/buyer base, no F1 sponsorship ties found, non-state Japanese public company) but fit=2 with weak angles: largely Japan-domestic developer lacking a global-sport narrative.</t>
        </is>
      </c>
      <c r="P51" s="11" t="inlineStr">
        <is>
          <t>Precision-engineering/architecture story around Tokyo's landmark towers, targeting affluent Japanese and international property investors overlapping with the F1 Japanese GP audience (est)</t>
        </is>
      </c>
      <c r="Q51" s="11" t="n"/>
      <c r="R51" s="11" t="inlineStr">
        <is>
          <t>verified-existing</t>
        </is>
      </c>
      <c r="S51" s="11" t="inlineStr">
        <is>
          <t>2026-09-28</t>
        </is>
      </c>
    </row>
    <row r="52">
      <c r="A52" s="11" t="n">
        <v>49</v>
      </c>
      <c r="B52" s="11" t="n">
        <v>52</v>
      </c>
      <c r="C52" s="11" t="inlineStr">
        <is>
          <t>Vinhomes JSC</t>
        </is>
      </c>
      <c r="D52" s="11" t="inlineStr">
        <is>
          <t>vinhomes.vn</t>
        </is>
      </c>
      <c r="E52" s="11" t="inlineStr">
        <is>
          <t>Vietnam</t>
        </is>
      </c>
      <c r="F52" s="11" t="inlineStr">
        <is>
          <t>Public (HOSE: VHM), controlled by Vingroup / Pham Nhat Vuong family — no state/sovereign ownership (Wikipedia; stockanalysis.com, 2025-2026)</t>
        </is>
      </c>
      <c r="G52" s="11" t="inlineStr">
        <is>
          <t>Vingroup's dominant residential developer, Vietnam-only</t>
        </is>
      </c>
      <c r="H52" s="11" t="inlineStr">
        <is>
          <t>5k-10k</t>
        </is>
      </c>
      <c r="I52" s="11" t="inlineStr">
        <is>
          <t>VND 153.27 trillion in FY2025 (~$5.9B USD est), up 49.8% YoY from VND 102.32 trillion in 2024 — source: stockanalysis.com/Vinhomes earnings releases, 2025-2026</t>
        </is>
      </c>
      <c r="J52" s="11" t="inlineStr">
        <is>
          <t>Market cap ~VND 419-600 trillion (~$16-23B USD est) as of Mar-Sep 2026 — source: stockanalysis.com/gurufocus.com, 2026</t>
        </is>
      </c>
      <c r="K52" s="11" t="inlineStr">
        <is>
          <t>N/A — public company, no recent capital raise; scale driven by organic project sales growth</t>
        </is>
      </c>
      <c r="L52" s="11" t="inlineStr">
        <is>
          <t>exceeds - mega-brand</t>
        </is>
      </c>
      <c r="M52" s="11" t="n">
        <v>2</v>
      </c>
      <c r="N52" s="11" t="inlineStr">
        <is>
          <t>Stretch</t>
        </is>
      </c>
      <c r="O52" s="11" t="inlineStr">
        <is>
          <t>All hard filters pass (revenue, valuation, headcount, growth, audience, ownership, compliance all clear; no CURRENT F1 tie since the Vietnam GP contract was terminated in 2021). However fit is only 2/4 with a weak angle — Vinhomes itself is a single-market (Vietnam-only) residential developer — and the parent group's lapsed F1 history is worth flagging for the outreach team even though it is not disqualifying.</t>
        </is>
      </c>
      <c r="P52" s="11" t="inlineStr">
        <is>
          <t>Tie to Vingroup's broader global ambition (VinFast's international EV expansion) to reach Vietnam's fast-growing affluent consumer class, while being mindful of the group's lapsed 2019-2021 Vietnam GP history (est).</t>
        </is>
      </c>
      <c r="Q52" s="11" t="inlineStr">
        <is>
          <t>parent Vingroup/VinFast was previously named title sponsor of the Vietnam GP (announced 2019); the race was cancelled (COVID) and F1 terminated the Vietnam GP contract in 2021 after a corruption scandal — no current/active F1 tie exists as of 2026, so this is historical only, not a hard conflict; single-market (Vietnam only) developer despite conglomerate's global ambitions</t>
        </is>
      </c>
      <c r="R52" s="11" t="inlineStr">
        <is>
          <t>verified-existing</t>
        </is>
      </c>
      <c r="S52" s="11" t="inlineStr">
        <is>
          <t>2026-09-28</t>
        </is>
      </c>
    </row>
    <row r="53">
      <c r="A53" s="11" t="n">
        <v>50</v>
      </c>
      <c r="B53" s="11" t="n">
        <v>52</v>
      </c>
      <c r="C53" s="11" t="inlineStr">
        <is>
          <t>Brigade Enterprises</t>
        </is>
      </c>
      <c r="D53" s="11" t="inlineStr">
        <is>
          <t>brigadegroup.com</t>
        </is>
      </c>
      <c r="E53" s="11" t="inlineStr">
        <is>
          <t>India</t>
        </is>
      </c>
      <c r="F53" s="11" t="inlineStr">
        <is>
          <t>Public (NSE/BSE: BRIGADE), Razack family-controlled — no state ties (screener.in / pitchbook, 2026)</t>
        </is>
      </c>
      <c r="G53" s="11" t="inlineStr">
        <is>
          <t>South India real estate developer (residential, commercial, retail)</t>
        </is>
      </c>
      <c r="H53" s="11" t="inlineStr">
        <is>
          <t>1k-5k</t>
        </is>
      </c>
      <c r="I53" s="11" t="inlineStr">
        <is>
          <t>₹5,909 crore (~$670M USD est) most recent FY; targeting ₹9,000 crore FY27 sales — source: screener.in / tipranks.com, 2026</t>
        </is>
      </c>
      <c r="J53" s="11" t="inlineStr">
        <is>
          <t>Market cap ~₹19,507 crore (~$2.2B USD est) as of Jun 2026 — source: stockanalysis.com / screener.in</t>
        </is>
      </c>
      <c r="K53" s="11" t="inlineStr">
        <is>
          <t>N/A — public company, no recent capital raise; growth funded organically</t>
        </is>
      </c>
      <c r="L53" s="11" t="inlineStr">
        <is>
          <t>meets parameters</t>
        </is>
      </c>
      <c r="M53" s="11" t="n">
        <v>2</v>
      </c>
      <c r="N53" s="11" t="inlineStr">
        <is>
          <t>Stretch</t>
        </is>
      </c>
      <c r="O53" s="11" t="inlineStr">
        <is>
          <t>All hard filters pass (revenue, valuation, headcount, growth trajectory, broad homebuyer audience, no F1 ties, no compliance issues) but fit is only 2/4 with a weak angle — a single-country (India), regionally-focused developer without a natural performance/global-ambition story.</t>
        </is>
      </c>
      <c r="P53" s="11" t="inlineStr">
        <is>
          <t>Category-open India market-entry play, timed to any renewed conversation about an Indian Grand Prix, leveraging Brigade's South India developer prominence (est).</t>
        </is>
      </c>
      <c r="Q53" s="11" t="n"/>
      <c r="R53" s="11" t="inlineStr">
        <is>
          <t>verified-existing</t>
        </is>
      </c>
      <c r="S53" s="11" t="inlineStr">
        <is>
          <t>2026-09-28</t>
        </is>
      </c>
    </row>
    <row r="54">
      <c r="A54" s="11" t="n">
        <v>51</v>
      </c>
      <c r="B54" s="11" t="n">
        <v>52</v>
      </c>
      <c r="C54" s="11" t="inlineStr">
        <is>
          <t>Century Communities Inc</t>
        </is>
      </c>
      <c r="D54" s="11" t="inlineStr">
        <is>
          <t>centurycommunities.com</t>
        </is>
      </c>
      <c r="E54" s="11" t="inlineStr">
        <is>
          <t>US</t>
        </is>
      </c>
      <c r="F54" s="11" t="inlineStr">
        <is>
          <t>Public (NYSE: CCS) — no state ties (SEC filings / macrotrends, 2024-2026)</t>
        </is>
      </c>
      <c r="G54" s="11" t="inlineStr">
        <is>
          <t>Fast-growing US homebuilder</t>
        </is>
      </c>
      <c r="H54" s="11" t="inlineStr">
        <is>
          <t>1k-5k</t>
        </is>
      </c>
      <c r="I54" s="11" t="inlineStr">
        <is>
          <t>$4.4B total revenues in FY2024 (home sales revenue $4,302.6M, +19.4% YoY) — source: Century Communities FY2024 8-K/ARS, sec.gov</t>
        </is>
      </c>
      <c r="J54" s="11" t="inlineStr">
        <is>
          <t>Market cap ~$1.86B as of Jul 2026 (range $1.72-1.86B mid-2026) — source: stockanalysis.com/macrotrends, 2026</t>
        </is>
      </c>
      <c r="K54" s="11" t="inlineStr">
        <is>
          <t>N/A — public company, no recent capital raise</t>
        </is>
      </c>
      <c r="L54" s="11" t="inlineStr">
        <is>
          <t>meets parameters</t>
        </is>
      </c>
      <c r="M54" s="11" t="n">
        <v>2</v>
      </c>
      <c r="N54" s="11" t="inlineStr">
        <is>
          <t>Stretch</t>
        </is>
      </c>
      <c r="O54" s="11" t="inlineStr">
        <is>
          <t>Hard filters pass on the evidence available (strong revenue growth, valuation above $1B, healthy scale, broad buyer audience, no F1 ties, no compliance issues), but fit is only 2/4 with a weak angle (single US market, no performance/global-ambition story), and net-income detail could not be independently reconfirmed before the search budget ended.</t>
        </is>
      </c>
      <c r="P54" s="11" t="inlineStr">
        <is>
          <t>Fast-growing US homebuilder narrative aimed at F1's expanding US fanbase (Miami/Vegas/Austin), positioned around home-buying decision-makers (est).</t>
        </is>
      </c>
      <c r="Q54" s="11" t="inlineStr">
        <is>
          <t>profitability/margin trend not independently confirmed beyond revenue growth (est) — search budget ended before this could be verified</t>
        </is>
      </c>
      <c r="R54" s="11" t="inlineStr">
        <is>
          <t>verified-existing</t>
        </is>
      </c>
      <c r="S54" s="11" t="inlineStr">
        <is>
          <t>2026-09-28</t>
        </is>
      </c>
    </row>
    <row r="55">
      <c r="A55" s="11" t="n">
        <v>52</v>
      </c>
      <c r="B55" s="11" t="n">
        <v>52</v>
      </c>
      <c r="C55" s="11" t="inlineStr">
        <is>
          <t>Prestige Estates Projects</t>
        </is>
      </c>
      <c r="D55" s="11" t="inlineStr">
        <is>
          <t>prestigeconstructions.com</t>
        </is>
      </c>
      <c r="E55" s="11" t="inlineStr">
        <is>
          <t>India</t>
        </is>
      </c>
      <c r="F55" s="11" t="inlineStr">
        <is>
          <t>Public (NSE/BSE: PRESTIGE), Razack family (Irfan Razack) controlled — no state ties (screener.in / Wikipedia, 2026)</t>
        </is>
      </c>
      <c r="G55" s="11" t="inlineStr">
        <is>
          <t>South India-focused developer (residential, commercial, retail), expanding pan-India</t>
        </is>
      </c>
      <c r="H55" s="11" t="inlineStr">
        <is>
          <t>1k-5k</t>
        </is>
      </c>
      <c r="I55" s="11" t="inlineStr">
        <is>
          <t>₹7,349 crore (~$835M USD est) FY2025 — source: stockanalysis.com/tipranks.com, 2025-2026</t>
        </is>
      </c>
      <c r="J55" s="11" t="inlineStr">
        <is>
          <t>Market cap ~₹63,653-75,175 crore (~$7.2-8.5B USD est) as of Nov 2025 — source: pitchbook/tipranks.com</t>
        </is>
      </c>
      <c r="K55" s="11" t="inlineStr">
        <is>
          <t>N/A — public company, no recent capital raise</t>
        </is>
      </c>
      <c r="L55" s="11" t="inlineStr">
        <is>
          <t>meets parameters</t>
        </is>
      </c>
      <c r="M55" s="11" t="n">
        <v>2</v>
      </c>
      <c r="N55" s="11" t="inlineStr">
        <is>
          <t>Stretch</t>
        </is>
      </c>
      <c r="O55" s="11" t="inlineStr">
        <is>
          <t>All hard filters pass (strong revenue and valuation well above bars, broad diversified buyer/tenant base, no F1 ties, no compliance issues), but fit is only 2/4 with a weak angle — single-country developer without a natural performance/global-ambition story.</t>
        </is>
      </c>
      <c r="P55" s="11" t="inlineStr">
        <is>
          <t>National-expansion story (South India to pan-India developer) aimed at India's growing HNI/UHNI real estate demand, positioned for any future Indian GP revival conversation (est).</t>
        </is>
      </c>
      <c r="Q55" s="11" t="n"/>
      <c r="R55" s="11" t="inlineStr">
        <is>
          <t>verified-existing</t>
        </is>
      </c>
      <c r="S55" s="11" t="inlineStr">
        <is>
          <t>2026-09-28</t>
        </is>
      </c>
    </row>
    <row r="56">
      <c r="A56" s="11" t="n">
        <v>53</v>
      </c>
      <c r="B56" s="11" t="n">
        <v>52</v>
      </c>
      <c r="C56" s="11" t="inlineStr">
        <is>
          <t>The Phoenix Mills Limited</t>
        </is>
      </c>
      <c r="D56" s="11" t="inlineStr">
        <is>
          <t>phoenixmills.com</t>
        </is>
      </c>
      <c r="E56" s="11" t="inlineStr">
        <is>
          <t>India</t>
        </is>
      </c>
      <c r="F56" s="11" t="inlineStr">
        <is>
          <t>Public (NSE/BSE: PHOENIXLTD); no state or family-control issue; no compliance flags</t>
        </is>
      </c>
      <c r="G56" s="11" t="inlineStr">
        <is>
          <t>Retail-led mixed-use developer/operator of malls, exclusively within India (8 malls, 6 cities: Mumbai, Chennai, Bangalore, Agra, Pune, Raipur, Indore)</t>
        </is>
      </c>
      <c r="H56" s="11" t="inlineStr">
        <is>
          <t>1k-5k</t>
        </is>
      </c>
      <c r="I56" s="11" t="inlineStr">
        <is>
          <t>FY2025 consolidated revenue ~INR 4,545 Cr (~$545M), per Screener.in company financials, reported FY2025 results (2026). Passes &gt;$100M hard bar.</t>
        </is>
      </c>
      <c r="J56" s="11" t="inlineStr">
        <is>
          <t>Market cap ~INR 677,160 Cr (~$8.1B) as of Aug 2026, per companiesmarketcap.com. Passes &gt;$1B hard bar.</t>
        </is>
      </c>
      <c r="K56" s="11" t="inlineStr">
        <is>
          <t>N/A (public company; no recent capital raise identified)</t>
        </is>
      </c>
      <c r="L56" s="11" t="inlineStr">
        <is>
          <t>meets parameters</t>
        </is>
      </c>
      <c r="M56" s="11" t="n">
        <v>2</v>
      </c>
      <c r="N56" s="11" t="inlineStr">
        <is>
          <t>Stretch</t>
        </is>
      </c>
      <c r="O56" s="11" t="inlineStr">
        <is>
          <t>All hard filters pass (revenue, valuation, headcount, ownership, no F1 conflict, thousands of tenant/customer relationships) but fit score is only 2/4 with a weak brand-story angle and single-country operating footprint, a real reservation on global sponsorship fit.</t>
        </is>
      </c>
      <c r="P56" s="11" t="inlineStr">
        <is>
          <t>India market-timing angle: pair Phoenix Mills' affluent urban Indian shopper base with F1's active push into the Indian market (fan growth, potential future GP interest), framed as an experiential/retail-hospitality partner (open category, not yet taken on the grid).</t>
        </is>
      </c>
      <c r="Q56" s="11" t="inlineStr">
        <is>
          <t>single-market (India only) - limits global F1 relevance; no international revenue diversification found</t>
        </is>
      </c>
      <c r="R56" s="11" t="inlineStr">
        <is>
          <t>verified-existing</t>
        </is>
      </c>
      <c r="S56" s="11" t="inlineStr">
        <is>
          <t>2026-09-28</t>
        </is>
      </c>
    </row>
    <row r="57">
      <c r="A57" s="11" t="n">
        <v>54</v>
      </c>
      <c r="B57" s="11" t="n">
        <v>52</v>
      </c>
      <c r="C57" s="11" t="inlineStr">
        <is>
          <t>Tri Pointe Homes Inc</t>
        </is>
      </c>
      <c r="D57" s="11" t="inlineStr">
        <is>
          <t>tripointehomes.com</t>
        </is>
      </c>
      <c r="E57" s="11" t="inlineStr">
        <is>
          <t>US</t>
        </is>
      </c>
      <c r="F57" s="11" t="inlineStr">
        <is>
          <t>Public (NYSE: TPH); no state ownership or compliance flags</t>
        </is>
      </c>
      <c r="G57" s="11" t="inlineStr">
        <is>
          <t>US homebuilder (West Coast, Texas, Southeast) - single-country operations</t>
        </is>
      </c>
      <c r="H57" s="11" t="inlineStr">
        <is>
          <t>1k-5k</t>
        </is>
      </c>
      <c r="I57" s="11" t="inlineStr">
        <is>
          <t>FY2025 revenue ~$3.47B, down from $4.49B in FY2024 (source: stockanalysis.com / company financials, reported 2026). Passes &gt;$100M hard bar despite YoY decline.</t>
        </is>
      </c>
      <c r="J57" s="11" t="inlineStr">
        <is>
          <t>Market cap ~$3.99B as of May 2026 (companiesmarketcap.com). Passes &gt;$1B hard bar.</t>
        </is>
      </c>
      <c r="K57" s="11" t="inlineStr">
        <is>
          <t>N/A (public company)</t>
        </is>
      </c>
      <c r="L57" s="11" t="inlineStr">
        <is>
          <t>meets parameters</t>
        </is>
      </c>
      <c r="M57" s="11" t="n">
        <v>2</v>
      </c>
      <c r="N57" s="11" t="inlineStr">
        <is>
          <t>Stretch</t>
        </is>
      </c>
      <c r="O57" s="11" t="inlineStr">
        <is>
          <t>Hard filters pass (revenue, valuation, headcount, ownership, no F1 conflict, thousands of homebuyers), but fit score of 2/4 (weak brand story, US-only market) plus a meaningful YoY revenue decline in a cyclical sector is a real reservation on the capacity-to-spend bar.</t>
        </is>
      </c>
      <c r="P57" s="11" t="inlineStr">
        <is>
          <t>US market-timing angle: target affluent new-build homebuyers in F1's core US growth markets (California, Texas, Nevada/Las Vegas) via a lifestyle/hospitality sponsorship tied to the US GP calendar (open category).</t>
        </is>
      </c>
      <c r="Q57" s="11" t="inlineStr">
        <is>
          <t>single-market (US only); revenue declined ~23% YoY (2024 to 2025) amid a broader US housing-sector slowdown - reservation on 'capacity to spend' criterion</t>
        </is>
      </c>
      <c r="R57" s="11" t="inlineStr">
        <is>
          <t>verified-existing</t>
        </is>
      </c>
      <c r="S57" s="11" t="inlineStr">
        <is>
          <t>2026-09-28</t>
        </is>
      </c>
    </row>
    <row r="58">
      <c r="A58" s="11" t="n">
        <v>55</v>
      </c>
      <c r="B58" s="11" t="n">
        <v>52</v>
      </c>
      <c r="C58" s="11" t="inlineStr">
        <is>
          <t>Walker &amp; Dunlop</t>
        </is>
      </c>
      <c r="D58" s="11" t="inlineStr">
        <is>
          <t>walkerdunlop.com</t>
        </is>
      </c>
      <c r="E58" s="11" t="inlineStr">
        <is>
          <t>US</t>
        </is>
      </c>
      <c r="F58" s="11" t="inlineStr">
        <is>
          <t>Public (NYSE: WD); no state ownership or compliance flags</t>
        </is>
      </c>
      <c r="G58" s="11" t="inlineStr">
        <is>
          <t>Commercial real estate finance, capital markets &amp; advisory - primarily US market</t>
        </is>
      </c>
      <c r="H58" s="11" t="inlineStr">
        <is>
          <t>1k-5k</t>
        </is>
      </c>
      <c r="I58" s="11" t="inlineStr">
        <is>
          <t>FY2025 total revenue ~$1B (+9% YoY; YTD 2025 revenue $894.3M, +13% YoY), per company Q4 2025 earnings release (SEC 8-K, Feb 2026). Passes &gt;$100M hard bar.</t>
        </is>
      </c>
      <c r="J58" s="11" t="inlineStr">
        <is>
          <t>Market cap ~$2B as of June 24, 2026 (tradingeconomics.com). Passes &gt;$1B hard bar.</t>
        </is>
      </c>
      <c r="K58" s="11" t="inlineStr">
        <is>
          <t>N/A (public company)</t>
        </is>
      </c>
      <c r="L58" s="11" t="inlineStr">
        <is>
          <t>meets parameters</t>
        </is>
      </c>
      <c r="M58" s="11" t="n">
        <v>2</v>
      </c>
      <c r="N58" s="11" t="inlineStr">
        <is>
          <t>Stretch</t>
        </is>
      </c>
      <c r="O58" s="11" t="inlineStr">
        <is>
          <t>Hard filters pass (revenue, valuation, headcount, ownership, no F1 conflict, broad institutional client base), but fit score of 2/4 (weak brand story, US-only) combined with 2025 impairment charges denting earnings is a real reservation.</t>
        </is>
      </c>
      <c r="P58" s="11" t="inlineStr">
        <is>
          <t>B2B/hospitality angle: leverage W&amp;D's network of institutional real-estate investors and lenders as an F1 hospitality/client-entertainment partner - open financial-services-adjacent category, targeting senior HNW decision-makers.</t>
        </is>
      </c>
      <c r="Q58" s="11" t="inlineStr">
        <is>
          <t>single-market (US only); 2025 results included loan-repurchase and REO impairment charges that dented EBITDA/EPS despite revenue growth - reservation on capacity to spend</t>
        </is>
      </c>
      <c r="R58" s="11" t="inlineStr">
        <is>
          <t>verified-existing</t>
        </is>
      </c>
      <c r="S58" s="11" t="inlineStr">
        <is>
          <t>2026-09-28</t>
        </is>
      </c>
    </row>
    <row r="59">
      <c r="A59" s="11" t="n">
        <v>56</v>
      </c>
      <c r="B59" s="11" t="n">
        <v>52</v>
      </c>
      <c r="C59" s="11" t="inlineStr">
        <is>
          <t>Shaw Industries Group</t>
        </is>
      </c>
      <c r="D59" s="11" t="inlineStr">
        <is>
          <t>shawinc.com</t>
        </is>
      </c>
      <c r="E59" s="11" t="inlineStr">
        <is>
          <t>US (Dalton, Georgia)</t>
        </is>
      </c>
      <c r="F59" s="11" t="inlineStr">
        <is>
          <t>Wholly-owned subsidiary of Berkshire Hathaway (since 2001)</t>
        </is>
      </c>
      <c r="G59" s="11" t="inlineStr">
        <is>
          <t>World's largest carpet/flooring manufacturer, serving 80+ countries</t>
        </is>
      </c>
      <c r="H59" s="11" t="inlineStr">
        <is>
          <t>10k+</t>
        </is>
      </c>
      <c r="I59" s="11" t="inlineStr">
        <is>
          <t>~$6.0B global revenue in 2025 (company-reported)</t>
        </is>
      </c>
      <c r="J59" s="11" t="inlineStr">
        <is>
          <t>No independently published valuation (wholly-owned Berkshire Hathaway subsidiary, not separately traded)</t>
        </is>
      </c>
      <c r="K59" s="11" t="inlineStr">
        <is>
          <t>N/A</t>
        </is>
      </c>
      <c r="L59" s="11" t="inlineStr">
        <is>
          <t>exceeds - mega-brand</t>
        </is>
      </c>
      <c r="M59" s="11" t="n">
        <v>2</v>
      </c>
      <c r="N59" s="11" t="inlineStr">
        <is>
          <t>Stretch</t>
        </is>
      </c>
      <c r="O59" s="11" t="inlineStr">
        <is>
          <t>Revenue hard bar clearly passes ($6.0B, 2025) and no F1 conflicts were found, but as a Berkshire Hathaway subsidiary there is no independently published valuation and real uncertainty about who holds sponsorship budget authority under Berkshire's decentralized model - a genuine reservation capping this at Stretch.</t>
        </is>
      </c>
      <c r="P59" s="11" t="inlineStr">
        <is>
          <t>(est) World's-largest-manufacturer scale and 80-country reach could support a 'engineered for performance' flooring/materials-science angle, contingent on confirming Berkshire's appetite for corporate sponsorship spend at this level.</t>
        </is>
      </c>
      <c r="Q59" s="11" t="inlineStr">
        <is>
          <t>parent: Berkshire Hathaway - highly decentralized capital allocation model makes ~$3.5M/yr discretionary sponsorship budget authority uncertain; no published valuation (subsidiary)</t>
        </is>
      </c>
      <c r="R59" s="11" t="inlineStr">
        <is>
          <t>verified-existing</t>
        </is>
      </c>
      <c r="S59" s="11" t="inlineStr">
        <is>
          <t>2026-09-28</t>
        </is>
      </c>
    </row>
    <row r="60">
      <c r="A60" s="11" t="n">
        <v>57</v>
      </c>
      <c r="B60" s="11" t="n">
        <v>46</v>
      </c>
      <c r="C60" s="11" t="inlineStr">
        <is>
          <t>Bellway plc</t>
        </is>
      </c>
      <c r="D60" s="11" t="inlineStr">
        <is>
          <t>bellway.co.uk</t>
        </is>
      </c>
      <c r="E60" s="11" t="inlineStr">
        <is>
          <t>UK</t>
        </is>
      </c>
      <c r="F60" s="11" t="inlineStr">
        <is>
          <t>Public (LSE: BWY), FTSE 250 constituent, no controlling family/state stake</t>
        </is>
      </c>
      <c r="G60" s="11" t="inlineStr">
        <is>
          <t>Volume UK homebuilder, mainstream/first-time buyer segment</t>
        </is>
      </c>
      <c r="H60" s="11" t="inlineStr">
        <is>
          <t>1k-5k</t>
        </is>
      </c>
      <c r="I60" s="11" t="inlineStr">
        <is>
          <t>£2.78B-£3.2B FY2025 (sources vary: stockanalysis.com vs FY2025 annual report at bellway.co.uk, 2025/2026) — roughly $3.5-4B</t>
        </is>
      </c>
      <c r="J60" s="11" t="inlineStr">
        <is>
          <t>Market cap ~£2.1B (~$2.7B) as of Sept 22 2026 (stockanalysis.com/marketbeat)</t>
        </is>
      </c>
      <c r="K60" s="11" t="inlineStr">
        <is>
          <t>N/A — public company</t>
        </is>
      </c>
      <c r="L60" s="11" t="inlineStr">
        <is>
          <t>meets parameters</t>
        </is>
      </c>
      <c r="M60" s="11" t="n">
        <v>1</v>
      </c>
      <c r="N60" s="11" t="inlineStr">
        <is>
          <t>Stretch</t>
        </is>
      </c>
      <c r="O60" s="11" t="inlineStr">
        <is>
          <t>Hard filters clear (revenue ~£2.8-3.2B, market cap ~£2.1B, profitable with operating profit growing, broad buyer base, no F1 ties) but fit is only 1/4 — UK-only, mainstream (not affluent) buyer base with no brand-story alignment to F1, making this a weak Stretch at best.</t>
        </is>
      </c>
      <c r="P60" s="11" t="inlineStr">
        <is>
          <t>Thin: UK housing-recovery narrative tied to the Silverstone home race, but limited affluent-buyer or global-ambition overlap (est).</t>
        </is>
      </c>
      <c r="Q60" s="11" t="n"/>
      <c r="R60" s="11" t="inlineStr">
        <is>
          <t>verified-existing</t>
        </is>
      </c>
      <c r="S60" s="11" t="inlineStr">
        <is>
          <t>2026-09-28</t>
        </is>
      </c>
    </row>
    <row r="61">
      <c r="A61" s="11" t="n">
        <v>58</v>
      </c>
      <c r="B61" s="11" t="n">
        <v>46</v>
      </c>
      <c r="C61" s="11" t="inlineStr">
        <is>
          <t>KB Home</t>
        </is>
      </c>
      <c r="D61" s="11" t="inlineStr">
        <is>
          <t>kbhome.com</t>
        </is>
      </c>
      <c r="E61" s="11" t="inlineStr">
        <is>
          <t>US</t>
        </is>
      </c>
      <c r="F61" s="11" t="inlineStr">
        <is>
          <t>Public (NYSE: KBH), no controlling family/state stake</t>
        </is>
      </c>
      <c r="G61" s="11" t="inlineStr">
        <is>
          <t>US homebuilder, entry-level/first-time buyer segment</t>
        </is>
      </c>
      <c r="H61" s="11" t="inlineStr">
        <is>
          <t>1k-5k</t>
        </is>
      </c>
      <c r="I61" s="11" t="inlineStr">
        <is>
          <t>$6.24B FY2025, down -10.01% YoY from $6.93B FY2024 (stockanalysis.com/investor.kbhome.com, Q4 FY2025 results)</t>
        </is>
      </c>
      <c r="J61" s="11" t="inlineStr">
        <is>
          <t>Market cap ~$3.4B as of Aug 18 2026, down -20.57% over one year (stockanalysis.com)</t>
        </is>
      </c>
      <c r="K61" s="11" t="inlineStr">
        <is>
          <t>N/A — public company</t>
        </is>
      </c>
      <c r="L61" s="11" t="inlineStr">
        <is>
          <t>meets parameters</t>
        </is>
      </c>
      <c r="M61" s="11" t="n">
        <v>1</v>
      </c>
      <c r="N61" s="11" t="inlineStr">
        <is>
          <t>Stretch</t>
        </is>
      </c>
      <c r="O61" s="11" t="inlineStr">
        <is>
          <t>Hard filters nominally clear (revenue $6.24B, market cap $3.4B, still profitable) but revenue and market cap both declined meaningfully YoY amid a softening US housing market, and fit is only 1/4 — a US-only, price-sensitive homebuilder with no brand-story alignment to F1. At best a weak Stretch.</t>
        </is>
      </c>
      <c r="P61" s="11" t="inlineStr">
        <is>
          <t>Weak: a build-quality/energy-efficiency story tied to F1's Austin race, but little affluent-buyer or global overlap (est).</t>
        </is>
      </c>
      <c r="Q61" s="11" t="inlineStr">
        <is>
          <t>revenue down ~10% YoY and market cap down ~21% YoY amid a cooling US housing market — softening, not distress, but a real headwind</t>
        </is>
      </c>
      <c r="R61" s="11" t="inlineStr">
        <is>
          <t>verified-existing</t>
        </is>
      </c>
      <c r="S61" s="11" t="inlineStr">
        <is>
          <t>2026-09-28</t>
        </is>
      </c>
    </row>
    <row r="62">
      <c r="A62" s="11" t="n">
        <v>59</v>
      </c>
      <c r="B62" s="11" t="n">
        <v>46</v>
      </c>
      <c r="C62" s="11" t="inlineStr">
        <is>
          <t>Meritage Homes Corporation</t>
        </is>
      </c>
      <c r="D62" s="11" t="inlineStr">
        <is>
          <t>meritagehomes.com</t>
        </is>
      </c>
      <c r="E62" s="11" t="inlineStr">
        <is>
          <t>Scottsdale, Arizona, US</t>
        </is>
      </c>
      <c r="F62" s="11" t="inlineStr">
        <is>
          <t>Public (NYSE: MTH), no majority/state holder</t>
        </is>
      </c>
      <c r="G62" s="11" t="inlineStr">
        <is>
          <t>US homebuilder (energy-efficient focus)</t>
        </is>
      </c>
      <c r="H62" s="11" t="inlineStr">
        <is>
          <t>1k-5k</t>
        </is>
      </c>
      <c r="I62" s="11" t="inlineStr">
        <is>
          <t>$5.8B home closing revenue, FY2025 (year ended Dec 31, 2025), per Meritage FY2025 earnings release / SEC Form ARS (investors.meritagehomes.com, filed 2026)</t>
        </is>
      </c>
      <c r="J62" s="11" t="inlineStr">
        <is>
          <t>~$4.2B market cap as of Sept 22, 2026 (stockanalysis.com)</t>
        </is>
      </c>
      <c r="K62" s="11" t="inlineStr">
        <is>
          <t>N/A (public company)</t>
        </is>
      </c>
      <c r="L62" s="11" t="inlineStr">
        <is>
          <t>meets parameters</t>
        </is>
      </c>
      <c r="M62" s="11" t="n">
        <v>1</v>
      </c>
      <c r="N62" s="11" t="inlineStr">
        <is>
          <t>Stretch</t>
        </is>
      </c>
      <c r="O62" s="11" t="inlineStr">
        <is>
          <t>All hard filters pass (revenue $5.8B, market cap ~$4.2B, ~1,860 employees, still solidly profitable, no F1 ties, public US ownership) but fit score is only 1/4 - single-market US homebuilder without a clear affluent-audience or performance/tech narrative.</t>
        </is>
      </c>
      <c r="P62" s="11" t="inlineStr">
        <is>
          <t>Open real-estate category storytelling around precision-engineered, energy-efficient homes for performance-minded buyers (est).</t>
        </is>
      </c>
      <c r="Q62" s="11" t="inlineStr">
        <is>
          <t>revenue down ~8% YoY and gross margin compressed 520bps in FY2025 (thinning trend, not distress)</t>
        </is>
      </c>
      <c r="R62" s="11" t="inlineStr">
        <is>
          <t>verified-existing</t>
        </is>
      </c>
      <c r="S62" s="11" t="inlineStr">
        <is>
          <t>2026-09-28</t>
        </is>
      </c>
    </row>
    <row r="63">
      <c r="A63" s="11" t="n">
        <v>60</v>
      </c>
      <c r="B63" s="11" t="n">
        <v>46</v>
      </c>
      <c r="C63" s="11" t="inlineStr">
        <is>
          <t>Simon Property Group</t>
        </is>
      </c>
      <c r="D63" s="11" t="inlineStr">
        <is>
          <t>simon.com</t>
        </is>
      </c>
      <c r="E63" s="11" t="inlineStr">
        <is>
          <t>Indianapolis, Indiana, US</t>
        </is>
      </c>
      <c r="F63" s="11" t="inlineStr">
        <is>
          <t>Public (NYSE: SPG); Simon family retains ~10% stake (minority, founder family), no state ownership</t>
        </is>
      </c>
      <c r="G63" s="11" t="inlineStr">
        <is>
          <t>Largest US mall/outlet REIT</t>
        </is>
      </c>
      <c r="H63" s="11" t="inlineStr">
        <is>
          <t>1k-5k</t>
        </is>
      </c>
      <c r="I63" s="11" t="inlineStr">
        <is>
          <t>$6.36B, FY2025, per company financials (stockanalysis.com / SEC Form ARS)</t>
        </is>
      </c>
      <c r="J63" s="11" t="inlineStr">
        <is>
          <t>~$71.7-72B market cap, Aug 2026 (stockanalysis.com)</t>
        </is>
      </c>
      <c r="K63" s="11" t="inlineStr">
        <is>
          <t>N/A (public company)</t>
        </is>
      </c>
      <c r="L63" s="11" t="inlineStr">
        <is>
          <t>exceeds - mega-brand</t>
        </is>
      </c>
      <c r="M63" s="11" t="n">
        <v>1</v>
      </c>
      <c r="N63" s="11" t="inlineStr">
        <is>
          <t>Stretch</t>
        </is>
      </c>
      <c r="O63" s="11" t="inlineStr">
        <is>
          <t>Hard filters pass cleanly (revenue $6.36B, market cap ~$72B, ~3,600 employees, highly profitable, no F1 ties found, public ownership) but fit score is only 1/4 - mass-market mall audience with no tech/performance narrative.</t>
        </is>
      </c>
      <c r="P63" s="11" t="inlineStr">
        <is>
          <t>Category-open landlord to the world's top retail/luxury brands - could weave in-mall F1 fan activation/retail tie-ins, but overall fit is weak (est).</t>
        </is>
      </c>
      <c r="Q63" s="11" t="n"/>
      <c r="R63" s="11" t="inlineStr">
        <is>
          <t>verified-existing</t>
        </is>
      </c>
      <c r="S63" s="11" t="inlineStr">
        <is>
          <t>2026-09-28</t>
        </is>
      </c>
    </row>
    <row r="64">
      <c r="A64" s="11" t="n">
        <v>61</v>
      </c>
      <c r="B64" s="11" t="n">
        <v>46</v>
      </c>
      <c r="C64" s="11" t="inlineStr">
        <is>
          <t>Taylor Wimpey plc</t>
        </is>
      </c>
      <c r="D64" s="11" t="inlineStr">
        <is>
          <t>taylorwimpey.co.uk</t>
        </is>
      </c>
      <c r="E64" s="11" t="inlineStr">
        <is>
          <t>High Wycombe, UK</t>
        </is>
      </c>
      <c r="F64" s="11" t="inlineStr">
        <is>
          <t>Public (LSE: TW.); 79% institutionally owned, no single majority holder, BlackRock largest at ~13%</t>
        </is>
      </c>
      <c r="G64" s="11" t="inlineStr">
        <is>
          <t>Major UK homebuilder</t>
        </is>
      </c>
      <c r="H64" s="11" t="inlineStr">
        <is>
          <t>1k-5k</t>
        </is>
      </c>
      <c r="I64" s="11" t="inlineStr">
        <is>
          <t>£3,844.6M, FY2025, per 2025 annual report (taylorwimpey.co.uk)</t>
        </is>
      </c>
      <c r="J64" s="11" t="inlineStr">
        <is>
          <t>~$3.88B market cap, July 27, 2026 (companiesmarketcap.com / investing.com)</t>
        </is>
      </c>
      <c r="K64" s="11" t="inlineStr">
        <is>
          <t>N/A (public company)</t>
        </is>
      </c>
      <c r="L64" s="11" t="inlineStr">
        <is>
          <t>meets parameters</t>
        </is>
      </c>
      <c r="M64" s="11" t="n">
        <v>1</v>
      </c>
      <c r="N64" s="11" t="inlineStr">
        <is>
          <t>Stretch</t>
        </is>
      </c>
      <c r="O64" s="11" t="inlineStr">
        <is>
          <t>Hard filters pass (revenue £3.84B, market cap ~$3.9B - clears the $1B bar but on the thinner side among peers here, ~4,000-4,400 employees, no F1 ties found, institutionally-owned, no state ties) but fit score is only 1/4 and recent UK housing headwinds add a capacity reservation.</t>
        </is>
      </c>
      <c r="P64" s="11" t="inlineStr">
        <is>
          <t>UK's major housebuilder - best positioned around a market-timing/UK-housing-recovery narrative rather than a strong brand-fit angle (est, weak fit).</t>
        </is>
      </c>
      <c r="Q64" s="11" t="inlineStr">
        <is>
          <t>recent UK housing-market softness / share-price pressure noted in 2025-2026 reporting - worth confirming spend capacity before pitching</t>
        </is>
      </c>
      <c r="R64" s="11" t="inlineStr">
        <is>
          <t>verified-existing</t>
        </is>
      </c>
      <c r="S64" s="11" t="inlineStr">
        <is>
          <t>2026-09-28</t>
        </is>
      </c>
    </row>
    <row r="65">
      <c r="A65" s="11" t="n">
        <v>62</v>
      </c>
      <c r="B65" s="11" t="n">
        <v>46</v>
      </c>
      <c r="C65" s="11" t="inlineStr">
        <is>
          <t>D.R. Horton</t>
        </is>
      </c>
      <c r="D65" s="11" t="inlineStr">
        <is>
          <t>drhorton.com</t>
        </is>
      </c>
      <c r="E65" s="11" t="inlineStr">
        <is>
          <t>US</t>
        </is>
      </c>
      <c r="F65" s="11" t="inlineStr">
        <is>
          <t>Public (NYSE: DHI); widely held, no state or family control</t>
        </is>
      </c>
      <c r="G65" s="11" t="inlineStr">
        <is>
          <t>Largest US homebuilder by volume — US-only, mass-market/entry-level focus</t>
        </is>
      </c>
      <c r="H65" s="11" t="inlineStr">
        <is>
          <t>10k+</t>
        </is>
      </c>
      <c r="I65" s="11" t="inlineStr">
        <is>
          <t>$34.3B FY2025 — stockanalysis.com/statista</t>
        </is>
      </c>
      <c r="J65" s="11" t="inlineStr">
        <is>
          <t>Market cap ~$41B as of Jul 2026 — companiesmarketcap.com</t>
        </is>
      </c>
      <c r="K65" s="11" t="inlineStr">
        <is>
          <t>N/A — public company</t>
        </is>
      </c>
      <c r="L65" s="11" t="inlineStr">
        <is>
          <t>exceeds - mega-brand</t>
        </is>
      </c>
      <c r="M65" s="11" t="n">
        <v>1</v>
      </c>
      <c r="N65" s="11" t="inlineStr">
        <is>
          <t>Stretch</t>
        </is>
      </c>
      <c r="O65" s="11" t="inlineStr">
        <is>
          <t>Hard filters all pass (rev $34.3B FY2025; mkt cap ~$41B; 14,341 employees FY2025; highly profitable; no F1 conflict found; public ownership, no compliance issue) but fit score is only 1 — a real reservation, since the brand has no natural F1 audience or story overlap beyond an open category.</t>
        </is>
      </c>
      <c r="P65" s="11" t="inlineStr">
        <is>
          <t>Largest-by-volume US homebuilder could lean on a market-timing angle tied to F1's US expansion (Austin, Miami, Las Vegas), but the fit is a stretch versus a more premium consumer brand given the mass-market positioning.</t>
        </is>
      </c>
      <c r="Q65" s="11" t="n"/>
      <c r="R65" s="11" t="inlineStr">
        <is>
          <t>verified-existing</t>
        </is>
      </c>
      <c r="S65" s="11" t="inlineStr">
        <is>
          <t>2026-09-28</t>
        </is>
      </c>
    </row>
  </sheetData>
  <autoFilter ref="A3:S6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58"/>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CDMO, CRO &amp; Life-Science Too — existing New-Sectors book, now verified — 55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"03 CDMO, CRO &amp; Life-Science Too".</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0" t="n">
        <v>1</v>
      </c>
      <c r="B4" s="10" t="n">
        <v>92</v>
      </c>
      <c r="C4" s="10" t="inlineStr">
        <is>
          <t>Alnylam Pharmaceuticals</t>
        </is>
      </c>
      <c r="D4" s="10" t="inlineStr">
        <is>
          <t>alnylam.com</t>
        </is>
      </c>
      <c r="E4" s="10" t="inlineStr">
        <is>
          <t>United States</t>
        </is>
      </c>
      <c r="F4" s="10" t="inlineStr">
        <is>
          <t>Public (NASDAQ: ALNY); no state ownership or compliance flags</t>
        </is>
      </c>
      <c r="G4" s="10" t="inlineStr">
        <is>
          <t>RNAi therapeutics, marketed globally (US, EU, Japan and other markets) for rare/genetic diseases</t>
        </is>
      </c>
      <c r="H4" s="10" t="inlineStr">
        <is>
          <t>1k-5k</t>
        </is>
      </c>
      <c r="I4" s="10" t="inlineStr">
        <is>
          <t>FY2025 revenue $3.714B, +65.19% YoY (source: Alnylam Q4/FY2025 earnings release, investors.alnylam.com, reported ~Feb 2026). Passes &gt;$100M hard bar by a wide margin.</t>
        </is>
      </c>
      <c r="J4" s="10" t="inlineStr">
        <is>
          <t>Market cap ~$27.5B as of July 30, 2026 (tradingeconomics.com). Passes &gt;$1B hard bar; mega-brand scale.</t>
        </is>
      </c>
      <c r="K4" s="10" t="inlineStr">
        <is>
          <t>N/A (public company; self-funded from product revenue growth)</t>
        </is>
      </c>
      <c r="L4" s="10" t="inlineStr">
        <is>
          <t>exceeds - mega-brand</t>
        </is>
      </c>
      <c r="M4" s="10" t="n">
        <v>4</v>
      </c>
      <c r="N4" s="10" t="inlineStr">
        <is>
          <t>Yes</t>
        </is>
      </c>
      <c r="O4" s="10" t="inlineStr">
        <is>
          <t>All hard filters pass cleanly: revenue $3.7B (&gt;&gt;$100M), market cap $27.5B (&gt;&gt;$1B), headcount ~2,500 (1k-5k band), rapid 65% YoY growth (clear capacity to spend), global patient/physician audience, no F1 sponsorship conflict found, no ownership/compliance issues. Fit score 4/4.</t>
        </is>
      </c>
      <c r="P4" s="10" t="inlineStr">
        <is>
          <t>Position Alnylam as F1's first RNAi/precision-genetic-medicine partner - its 65% YoY growth and scientific-innovation story mirrors F1 performance engineering; open biotech category with no incumbent on the 2026 grid.</t>
        </is>
      </c>
      <c r="Q4" s="10" t="n"/>
      <c r="R4" s="10" t="inlineStr">
        <is>
          <t>verified-existing</t>
        </is>
      </c>
      <c r="S4" s="10" t="inlineStr">
        <is>
          <t>2026-09-28</t>
        </is>
      </c>
    </row>
    <row r="5">
      <c r="A5" s="10" t="n">
        <v>2</v>
      </c>
      <c r="B5" s="10" t="n">
        <v>92</v>
      </c>
      <c r="C5" s="10" t="inlineStr">
        <is>
          <t>argenx SE</t>
        </is>
      </c>
      <c r="D5" s="10" t="inlineStr">
        <is>
          <t>argenx.com</t>
        </is>
      </c>
      <c r="E5" s="10" t="inlineStr">
        <is>
          <t>Belgium</t>
        </is>
      </c>
      <c r="F5" s="10" t="inlineStr">
        <is>
          <t>Public (Nasdaq/Euronext: ARGX); no state ownership or compliance flags</t>
        </is>
      </c>
      <c r="G5" s="10" t="inlineStr">
        <is>
          <t>Antibody/immunology therapeutics (VYVGART) sold globally - US, Japan, China, Rest of World</t>
        </is>
      </c>
      <c r="H5" s="10" t="inlineStr">
        <is>
          <t>1k-5k</t>
        </is>
      </c>
      <c r="I5" s="10" t="inlineStr">
        <is>
          <t>FY2025 global product net sales $4.24B, +88-90% YoY (US $3.53B, Japan $206.8M, China $67.9M, RoW $342.6M) - source: argenx FY2025 earnings release (argenx.com, SEC 6-K, ~Feb 2026). Passes &gt;$100M hard bar by a wide margin.</t>
        </is>
      </c>
      <c r="J5" s="10" t="inlineStr">
        <is>
          <t>Market cap ~$46-61B depending on date/source in 2025-2026 (stockanalysis.com). Passes &gt;$1B hard bar; mega-brand scale.</t>
        </is>
      </c>
      <c r="K5" s="10" t="inlineStr">
        <is>
          <t>N/A (public company); first year of GAAP operating profitability in FY2025 ($1.1B operating income)</t>
        </is>
      </c>
      <c r="L5" s="10" t="inlineStr">
        <is>
          <t>exceeds - mega-brand</t>
        </is>
      </c>
      <c r="M5" s="10" t="n">
        <v>4</v>
      </c>
      <c r="N5" s="10" t="inlineStr">
        <is>
          <t>Yes</t>
        </is>
      </c>
      <c r="O5" s="10" t="inlineStr">
        <is>
          <t>All hard filters pass cleanly: revenue $4.24B (&gt;&gt;$100M), market cap $46-61B (&gt;&gt;$1B), headcount 1,863 (1k-5k band), newly GAAP-profitable with 88-90% YoY growth (strong capacity to spend), global multi-market sales, no F1 sponsorship conflict, no ownership/compliance issues. Fit score 4/4.</t>
        </is>
      </c>
      <c r="P5" s="10" t="inlineStr">
        <is>
          <t>Newly profitable, fast-scaling global immunology leader - tie sponsorship messaging to argenx's 'first-in-class' innovation and multi-region growth (US/Japan/China), open biotech category with no incumbent on the grid.</t>
        </is>
      </c>
      <c r="Q5" s="10" t="inlineStr">
        <is>
          <t>distributor concentration: 4 US wholesale customers represent ~78% of product net sales (FY2025 20-F) - standard pharma wholesale-distribution structure, not treated as audience/customer dependency since end-market is thousands of prescribing physicians and patients</t>
        </is>
      </c>
      <c r="R5" s="10" t="inlineStr">
        <is>
          <t>verified-existing</t>
        </is>
      </c>
      <c r="S5" s="10" t="inlineStr">
        <is>
          <t>2026-09-28</t>
        </is>
      </c>
    </row>
    <row r="6">
      <c r="A6" s="10" t="n">
        <v>3</v>
      </c>
      <c r="B6" s="10" t="n">
        <v>92</v>
      </c>
      <c r="C6" s="10" t="inlineStr">
        <is>
          <t>BioMarin Pharmaceutical</t>
        </is>
      </c>
      <c r="D6" s="10" t="inlineStr">
        <is>
          <t>biomarin.com</t>
        </is>
      </c>
      <c r="E6" s="10" t="inlineStr">
        <is>
          <t>United States</t>
        </is>
      </c>
      <c r="F6" s="10" t="inlineStr">
        <is>
          <t>Public (NASDAQ: BMRN); no state ownership or compliance flags</t>
        </is>
      </c>
      <c r="G6" s="10" t="inlineStr">
        <is>
          <t>Rare-disease biopharmaceuticals, marketed globally</t>
        </is>
      </c>
      <c r="H6" s="10" t="inlineStr">
        <is>
          <t>1k-5k</t>
        </is>
      </c>
      <c r="I6" s="10" t="inlineStr">
        <is>
          <t>FY2025 revenue $3.221B, +12.87% YoY (source: BioMarin Q4/FY2025 earnings release, SEC 8-K, reported ~Feb 2026). Passes &gt;$100M hard bar by a wide margin.</t>
        </is>
      </c>
      <c r="J6" s="10" t="inlineStr">
        <is>
          <t>Market cap $11.4B as of July 2026 (stockanalysis.com). Passes &gt;$1B hard bar; mega-brand scale.</t>
        </is>
      </c>
      <c r="K6" s="10" t="inlineStr">
        <is>
          <t>N/A (public company; funded from product revenue)</t>
        </is>
      </c>
      <c r="L6" s="10" t="inlineStr">
        <is>
          <t>exceeds - mega-brand</t>
        </is>
      </c>
      <c r="M6" s="10" t="n">
        <v>4</v>
      </c>
      <c r="N6" s="10" t="inlineStr">
        <is>
          <t>Yes</t>
        </is>
      </c>
      <c r="O6" s="10" t="inlineStr">
        <is>
          <t>All hard filters pass cleanly: revenue $3.2B (&gt;&gt;$100M), market cap $11.4B (&gt;&gt;$1B), headcount 3,221 (1k-5k band), consistently profitable and growing (+12.87% YoY, clear capacity to spend), global patient/physician audience, no F1 sponsorship conflict, no ownership/compliance issues. Fit score 4/4.</t>
        </is>
      </c>
      <c r="P6" s="10" t="inlineStr">
        <is>
          <t>BioMarin's 25+-year rare-disease pioneer story pairs with F1's precision-engineering narrative for an open biotech sponsorship category, timed to its steady double-digit revenue growth.</t>
        </is>
      </c>
      <c r="Q6" s="10" t="n"/>
      <c r="R6" s="10" t="inlineStr">
        <is>
          <t>verified-existing</t>
        </is>
      </c>
      <c r="S6" s="10" t="inlineStr">
        <is>
          <t>2026-09-28</t>
        </is>
      </c>
    </row>
    <row r="7">
      <c r="A7" s="10" t="n">
        <v>4</v>
      </c>
      <c r="B7" s="10" t="n">
        <v>92</v>
      </c>
      <c r="C7" s="10" t="inlineStr">
        <is>
          <t>Genmab A/S</t>
        </is>
      </c>
      <c r="D7" s="10" t="inlineStr">
        <is>
          <t>genmab.com</t>
        </is>
      </c>
      <c r="E7" s="10" t="inlineStr">
        <is>
          <t>Copenhagen, Denmark</t>
        </is>
      </c>
      <c r="F7" s="10" t="inlineStr">
        <is>
          <t>Public (Nasdaq Copenhagen &amp; Nasdaq: GMAB); no majority state, sovereign or PE ownership identified</t>
        </is>
      </c>
      <c r="G7" s="10" t="inlineStr">
        <is>
          <t>Antibody-based cancer therapeutics - in-house commercial products (e.g., Epkinly) plus royalty/collaboration revenue from partners J&amp;J (Darzalex) and Novartis (Kesimpta)</t>
        </is>
      </c>
      <c r="H7" s="10" t="inlineStr">
        <is>
          <t>1k-5k</t>
        </is>
      </c>
      <c r="I7" s="10" t="inlineStr">
        <is>
          <t>$3.72B FY2025, up 19% YoY from $3.12B FY2024, per Genmab FY2025 results / SEC Form 6-K (reported ~Feb 2026)</t>
        </is>
      </c>
      <c r="J7" s="10" t="inlineStr">
        <is>
          <t>~$16.8B-$17.6B market cap, per stockanalysis.com (data points from Apr 2026 and mid-2026)</t>
        </is>
      </c>
      <c r="K7" s="10" t="inlineStr">
        <is>
          <t>N/A - public company; well-capitalized from royalty income, no recent equity raise found</t>
        </is>
      </c>
      <c r="L7" s="10" t="inlineStr">
        <is>
          <t>meets parameters</t>
        </is>
      </c>
      <c r="M7" s="10" t="n">
        <v>4</v>
      </c>
      <c r="N7" s="10" t="inlineStr">
        <is>
          <t>Yes</t>
        </is>
      </c>
      <c r="O7" s="10" t="inlineStr">
        <is>
          <t>All hard filters clear: revenue $3.72B (&gt;$100M bar), market cap ~$17B (&gt;$1B bar), headcount 3,029 (1k-5k band, &gt;51 floor), profitable and growing 19% YoY (no distress), broad global commercial/patient reach, no F1 sponsorship ties found, public Danish company with no state/PE/compliance issues. Fit score 4 (&gt;=2).</t>
        </is>
      </c>
      <c r="P7" s="10" t="inlineStr">
        <is>
          <t>Scientific-precision/global-ambition angle - Genmab's antibody-engineering breakthroughs pair with F1's technology-and-precision brand story; open category with no current biopharma-manufacturer sponsor on the grid.</t>
        </is>
      </c>
      <c r="Q7" s="10" t="inlineStr">
        <is>
          <t>revenue meaningfully weighted toward royalty/collaboration income from a small number of large pharma partners (J&amp;J, Novartis) rather than direct mass-market sales - underlying patient reach is broad, but commercial counterparties are concentrated</t>
        </is>
      </c>
      <c r="R7" s="10" t="inlineStr">
        <is>
          <t>verified-existing</t>
        </is>
      </c>
      <c r="S7" s="10" t="inlineStr">
        <is>
          <t>2026-09-28</t>
        </is>
      </c>
    </row>
    <row r="8">
      <c r="A8" s="10" t="n">
        <v>5</v>
      </c>
      <c r="B8" s="10" t="n">
        <v>92</v>
      </c>
      <c r="C8" s="10" t="inlineStr">
        <is>
          <t>Halozyme Therapeutics</t>
        </is>
      </c>
      <c r="D8" s="10" t="inlineStr">
        <is>
          <t>halozyme.com</t>
        </is>
      </c>
      <c r="E8" s="10" t="inlineStr">
        <is>
          <t>San Diego, California, United States</t>
        </is>
      </c>
      <c r="F8" s="10" t="inlineStr">
        <is>
          <t>Public (NASDAQ: HALO); no state, sovereign or PE ownership identified</t>
        </is>
      </c>
      <c r="G8" s="10" t="inlineStr">
        <is>
          <t>Drug-delivery technology (ENHANZE platform) licensed to multiple large pharma partners (Roche, Janssen/J&amp;J, Takeda, Pfizer, Bristol Myers Squibb, others) plus royalty income</t>
        </is>
      </c>
      <c r="H8" s="10" t="inlineStr">
        <is>
          <t>201-1k</t>
        </is>
      </c>
      <c r="I8" s="10" t="inlineStr">
        <is>
          <t>$1.397B FY2025, up 37.6% YoY, per company financials/SEC 8-K filings via stockanalysis.com (reported early 2026)</t>
        </is>
      </c>
      <c r="J8" s="10" t="inlineStr">
        <is>
          <t>~$12.3B market cap as of Aug 21, 2026, per stockanalysis.com/companiesmarketcap.com</t>
        </is>
      </c>
      <c r="K8" s="10" t="inlineStr">
        <is>
          <t>N/A - public company; no recent equity raise found</t>
        </is>
      </c>
      <c r="L8" s="10" t="inlineStr">
        <is>
          <t>meets parameters</t>
        </is>
      </c>
      <c r="M8" s="10" t="n">
        <v>4</v>
      </c>
      <c r="N8" s="10" t="inlineStr">
        <is>
          <t>Yes</t>
        </is>
      </c>
      <c r="O8" s="10" t="inlineStr">
        <is>
          <t>Hard filters clear: revenue $1.4B growing 37.6% YoY (&gt;$100M bar), market cap $12.3B (&gt;$1B bar), headcount 423 clears the &gt;51 floor (201-1k band), clearly growing and not in distress, no F1 sponsorship ties found, public US ownership with no compliance issues. Fit score 4 (&gt;=2).</t>
        </is>
      </c>
      <c r="P8" s="10" t="inlineStr">
        <is>
          <t>Innovation-enabler angle - ENHANZE technology 'powers' other companies' blockbuster drugs, mirroring an F1 technology-partner narrative; 37% YoY growth supports a market-timing pitch.</t>
        </is>
      </c>
      <c r="Q8" s="10" t="inlineStr">
        <is>
          <t>revenue driven by royalty/licensing agreements with a concentrated set of ~10 large pharma partners rather than thousands of direct customers; only 423 employees against $1.4B revenue - a highly leveraged royalty model, worth noting for outreach framing</t>
        </is>
      </c>
      <c r="R8" s="10" t="inlineStr">
        <is>
          <t>verified-existing</t>
        </is>
      </c>
      <c r="S8" s="10" t="inlineStr">
        <is>
          <t>2026-09-28</t>
        </is>
      </c>
    </row>
    <row r="9">
      <c r="A9" s="10" t="n">
        <v>6</v>
      </c>
      <c r="B9" s="10" t="n">
        <v>92</v>
      </c>
      <c r="C9" s="10" t="inlineStr">
        <is>
          <t>Incyte Corporation</t>
        </is>
      </c>
      <c r="D9" s="10" t="inlineStr">
        <is>
          <t>incyte.com</t>
        </is>
      </c>
      <c r="E9" s="10" t="inlineStr">
        <is>
          <t>Wilmington, Delaware, United States</t>
        </is>
      </c>
      <c r="F9" s="10" t="inlineStr">
        <is>
          <t>Public (NASDAQ: INCY); no state, sovereign or PE ownership identified</t>
        </is>
      </c>
      <c r="G9" s="10" t="inlineStr">
        <is>
          <t>Biopharmaceuticals (Jakafi, Opzelura, Monjuvi, Pemazyre and others) sold directly to a broad physician/patient base, plus royalty income</t>
        </is>
      </c>
      <c r="H9" s="10" t="inlineStr">
        <is>
          <t>1k-5k</t>
        </is>
      </c>
      <c r="I9" s="10" t="inlineStr">
        <is>
          <t>$5.14B FY2025, up 21% YoY, per Incyte Q4/FY2025 earnings release (investor.incyte.com, reported early 2026)</t>
        </is>
      </c>
      <c r="J9" s="10" t="inlineStr">
        <is>
          <t>~$23.7B market cap as of Jul 27, 2026, per stockanalysis.com</t>
        </is>
      </c>
      <c r="K9" s="10" t="inlineStr">
        <is>
          <t>N/A - public company; no recent equity raise found</t>
        </is>
      </c>
      <c r="L9" s="10" t="inlineStr">
        <is>
          <t>meets parameters</t>
        </is>
      </c>
      <c r="M9" s="10" t="n">
        <v>4</v>
      </c>
      <c r="N9" s="10" t="inlineStr">
        <is>
          <t>Yes</t>
        </is>
      </c>
      <c r="O9" s="10" t="inlineStr">
        <is>
          <t>Hard filters clear: revenue $5.14B (&gt;$100M bar), market cap $23.7B (&gt;$1B bar), headcount 2,844 (1k-5k band), growing 21% YoY with a diversified commercial portfolio (no distress), broad prescriber/patient reach, no F1 sponsorship ties found, public US ownership with no compliance issues. Fit score 4 (&gt;=2).</t>
        </is>
      </c>
      <c r="P9" s="10" t="inlineStr">
        <is>
          <t>Momentum/growth-story angle - 21% YoY growth and an expanding drug portfolio support a 'performance and momentum' sponsorship narrative timed to pipeline news.</t>
        </is>
      </c>
      <c r="Q9" s="10" t="n"/>
      <c r="R9" s="10" t="inlineStr">
        <is>
          <t>verified-existing</t>
        </is>
      </c>
      <c r="S9" s="10" t="inlineStr">
        <is>
          <t>2026-09-28</t>
        </is>
      </c>
    </row>
    <row r="10">
      <c r="A10" s="10" t="n">
        <v>7</v>
      </c>
      <c r="B10" s="10" t="n">
        <v>92</v>
      </c>
      <c r="C10" s="10" t="inlineStr">
        <is>
          <t>Ionis Pharmaceuticals</t>
        </is>
      </c>
      <c r="D10" s="10" t="inlineStr">
        <is>
          <t>ionispharma.com</t>
        </is>
      </c>
      <c r="E10" s="10" t="inlineStr">
        <is>
          <t>Carlsbad, California, United States</t>
        </is>
      </c>
      <c r="F10" s="10" t="inlineStr">
        <is>
          <t>Public (NASDAQ: IONS); no state, sovereign or PE ownership identified</t>
        </is>
      </c>
      <c r="G10" s="10" t="inlineStr">
        <is>
          <t>RNA-targeted therapeutics - mix of royalty/collaboration revenue (Biogen/Spinraza, Roche, AstraZeneca) and newly launched owned products (e.g., Tryngolza)</t>
        </is>
      </c>
      <c r="H10" s="10" t="inlineStr">
        <is>
          <t>1k-5k</t>
        </is>
      </c>
      <c r="I10" s="10" t="inlineStr">
        <is>
          <t>$943.7M FY2025, per stockanalysis.com/SEC filings (reported early 2026) - clears the &gt;$100M hard bar</t>
        </is>
      </c>
      <c r="J10" s="10" t="inlineStr">
        <is>
          <t>~$13.5B market cap as of Jul 2, 2026, per stockanalysis.com</t>
        </is>
      </c>
      <c r="K10" s="10" t="inlineStr">
        <is>
          <t>N/A - public company; no recent equity raise found</t>
        </is>
      </c>
      <c r="L10" s="10" t="inlineStr">
        <is>
          <t>meets parameters</t>
        </is>
      </c>
      <c r="M10" s="10" t="n">
        <v>4</v>
      </c>
      <c r="N10" s="10" t="inlineStr">
        <is>
          <t>Yes</t>
        </is>
      </c>
      <c r="O10" s="10" t="inlineStr">
        <is>
          <t>Hard filters clear: revenue $943.7M (&gt;$100M bar), market cap $13.5B (&gt;$1B bar), headcount 1,402 (1k-5k band) up 31% YoY signaling expansion not distress, global reach via partners, no F1 sponsorship ties found, public US ownership with no compliance issues. Fit score 4 (&gt;=2).</t>
        </is>
      </c>
      <c r="P10" s="10" t="inlineStr">
        <is>
          <t>Pioneer/technology-platform angle - Ionis invented the RNA-targeting drug class; timing around new product launches (Tryngolza) supports a breakthrough-technology story.</t>
        </is>
      </c>
      <c r="Q10" s="10" t="inlineStr">
        <is>
          <t>historically meaningful share of revenue from royalty/licensing deals (Biogen, Roche, AstraZeneca) while the company's own commercial products (e.g., Tryngolza) are still ramping</t>
        </is>
      </c>
      <c r="R10" s="10" t="inlineStr">
        <is>
          <t>verified-existing</t>
        </is>
      </c>
      <c r="S10" s="10" t="inlineStr">
        <is>
          <t>2026-09-28</t>
        </is>
      </c>
    </row>
    <row r="11">
      <c r="A11" s="10" t="n">
        <v>8</v>
      </c>
      <c r="B11" s="10" t="n">
        <v>92</v>
      </c>
      <c r="C11" s="10" t="inlineStr">
        <is>
          <t>Jazz Pharmaceuticals</t>
        </is>
      </c>
      <c r="D11" s="10" t="inlineStr">
        <is>
          <t>jazzpharma.com</t>
        </is>
      </c>
      <c r="E11" s="10" t="inlineStr">
        <is>
          <t>Dublin, Ireland (major operations in Philadelphia, US)</t>
        </is>
      </c>
      <c r="F11" s="10" t="inlineStr">
        <is>
          <t>Public (NASDAQ: JAZZ), Irish-domiciled plc; no state, sovereign or PE ownership identified</t>
        </is>
      </c>
      <c r="G11" s="10" t="inlineStr">
        <is>
          <t>Biopharmaceuticals across sleep, epilepsy and oncology, sold directly to a broad physician/patient base</t>
        </is>
      </c>
      <c r="H11" s="10" t="inlineStr">
        <is>
          <t>1k-5k</t>
        </is>
      </c>
      <c r="I11" s="10" t="inlineStr">
        <is>
          <t>$4.268B FY2025, up 4.9% YoY, per Jazz FY2025 results (investor.jazzpharma.com, reported early 2026)</t>
        </is>
      </c>
      <c r="J11" s="10" t="inlineStr">
        <is>
          <t>~$15.89B market cap as of Jul 31, 2026, per stockanalysis.com</t>
        </is>
      </c>
      <c r="K11" s="10" t="inlineStr">
        <is>
          <t>N/A - public company; no recent equity raise found</t>
        </is>
      </c>
      <c r="L11" s="10" t="inlineStr">
        <is>
          <t>meets parameters</t>
        </is>
      </c>
      <c r="M11" s="10" t="n">
        <v>4</v>
      </c>
      <c r="N11" s="10" t="inlineStr">
        <is>
          <t>Yes</t>
        </is>
      </c>
      <c r="O11" s="10" t="inlineStr">
        <is>
          <t>Hard filters clear: revenue $4.27B (&gt;$100M bar), market cap $15.9B (&gt;$1B bar), headcount 3,627 (1k-5k band), 21 consecutive years of top-line growth signal financial health not distress, broad commercial reach, no F1 sponsorship ties found, public Irish plc with no compliance issues. Fit score 4 (&gt;=2).</t>
        </is>
      </c>
      <c r="P11" s="10" t="inlineStr">
        <is>
          <t>Financial-stability/global-ambition angle - '21 years of consistent growth' positions Jazz as a resilient, long-horizon partner rather than a hype-driven one.</t>
        </is>
      </c>
      <c r="Q11" s="10" t="n"/>
      <c r="R11" s="10" t="inlineStr">
        <is>
          <t>verified-existing</t>
        </is>
      </c>
      <c r="S11" s="10" t="inlineStr">
        <is>
          <t>2026-09-28</t>
        </is>
      </c>
    </row>
    <row r="12">
      <c r="A12" s="10" t="n">
        <v>9</v>
      </c>
      <c r="B12" s="10" t="n">
        <v>92</v>
      </c>
      <c r="C12" s="10" t="inlineStr">
        <is>
          <t>Neuland Laboratories</t>
        </is>
      </c>
      <c r="D12" s="10" t="inlineStr">
        <is>
          <t>neulandlabs.com</t>
        </is>
      </c>
      <c r="E12" s="10" t="inlineStr">
        <is>
          <t>Hyderabad, India</t>
        </is>
      </c>
      <c r="F12" s="10" t="inlineStr">
        <is>
          <t>Public (NSE/BSE: NEULANDLAB); Davuluri family (via Davuluri Ownership Trust and other holdings) is promoter with ~32.6% - minority founder/family control, not majority state ownership</t>
        </is>
      </c>
      <c r="G12" s="10" t="inlineStr">
        <is>
          <t>Active pharmaceutical ingredients (APIs) and CDMO manufacturing services to global generic and innovator pharma companies</t>
        </is>
      </c>
      <c r="H12" s="10" t="inlineStr">
        <is>
          <t>1k-5k</t>
        </is>
      </c>
      <c r="I12" s="10" t="inlineStr">
        <is>
          <t>~$215-250M (₹2,053 crore) FY2025-26, up ~37% YoY, per screener.in/stockanalysis.com - clears the &gt;$100M hard bar</t>
        </is>
      </c>
      <c r="J12" s="10" t="inlineStr">
        <is>
          <t>~$3.16B market cap as of Sep 2026, per stockanalysis.com/companiesmarketcap.com</t>
        </is>
      </c>
      <c r="K12" s="10" t="inlineStr">
        <is>
          <t>N/A - public company, self-funded growth; no recent equity raise found</t>
        </is>
      </c>
      <c r="L12" s="10" t="inlineStr">
        <is>
          <t>meets parameters</t>
        </is>
      </c>
      <c r="M12" s="10" t="n">
        <v>4</v>
      </c>
      <c r="N12" s="10" t="inlineStr">
        <is>
          <t>Yes</t>
        </is>
      </c>
      <c r="O12" s="10" t="inlineStr">
        <is>
          <t>Hard filters clear: revenue ~$215-250M growing ~37% YoY (&gt;$100M bar), market cap $3.16B (&gt;$1B bar), headcount 3,881 (1k-5k band), no distress signals, minority (not majority/state) promoter ownership, no F1 sponsorship ties found. Fit score 4 (&gt;=2).</t>
        </is>
      </c>
      <c r="P12" s="10" t="inlineStr">
        <is>
          <t>Emerging-market growth-timing angle - India's rising role in global API/CDMO manufacturing supports a 'diversifying global supply chain' story tied to F1's own global-expansion narrative.</t>
        </is>
      </c>
      <c r="Q12" s="10" t="inlineStr">
        <is>
          <t>market cap-to-revenue multiple is elevated (~13-15x) for the sector - well below the &gt;50x soft-flag threshold, but worth monitoring; CDMO/API client base may carry some concentration among top customers - not independently verified as thousands of accounts</t>
        </is>
      </c>
      <c r="R12" s="10" t="inlineStr">
        <is>
          <t>verified-existing</t>
        </is>
      </c>
      <c r="S12" s="10" t="inlineStr">
        <is>
          <t>2026-09-28</t>
        </is>
      </c>
    </row>
    <row r="13">
      <c r="A13" s="10" t="n">
        <v>10</v>
      </c>
      <c r="B13" s="10" t="n">
        <v>92</v>
      </c>
      <c r="C13" s="10" t="inlineStr">
        <is>
          <t>Repligen Corporation</t>
        </is>
      </c>
      <c r="D13" s="10" t="inlineStr">
        <is>
          <t>repligen.com</t>
        </is>
      </c>
      <c r="E13" s="10" t="inlineStr">
        <is>
          <t>United States</t>
        </is>
      </c>
      <c r="F13" s="10" t="inlineStr">
        <is>
          <t>Public (NASDAQ: RGEN)</t>
        </is>
      </c>
      <c r="G13" s="10" t="inlineStr">
        <is>
          <t>Bioprocessing technology (filtration, chromatography, consumables for biologics manufacturing)</t>
        </is>
      </c>
      <c r="H13" s="10" t="inlineStr">
        <is>
          <t>1k-5k</t>
        </is>
      </c>
      <c r="I13" s="10" t="inlineStr">
        <is>
          <t>$738M FY2025, +16% YoY (SEC 8-K / stockanalysis.com, reported ~Feb 2026)</t>
        </is>
      </c>
      <c r="J13" s="10" t="inlineStr">
        <is>
          <t>$9.63B market cap as of Nov 28, 2025 (stockanalysis.com)</t>
        </is>
      </c>
      <c r="K13" s="10" t="inlineStr">
        <is>
          <t>N/A - mature public company, no recent capital raise needed</t>
        </is>
      </c>
      <c r="L13" s="10" t="inlineStr">
        <is>
          <t>meets parameters</t>
        </is>
      </c>
      <c r="M13" s="10" t="n">
        <v>4</v>
      </c>
      <c r="N13" s="10" t="inlineStr">
        <is>
          <t>Yes</t>
        </is>
      </c>
      <c r="O13" s="10" t="inlineStr">
        <is>
          <t>Clears all hard filters with comfortable margin: revenue $738M (&gt;7x the $100M bar), market cap $9.63B (&gt;9x the $1B bar), headcount ~2,000 (Dec 2025, SEC), broad diversified biopharma customer base, no F1/team/series ties found, no state or compliance ownership issues. Fit score 4.</t>
        </is>
      </c>
      <c r="P13" s="10" t="inlineStr">
        <is>
          <t>Position Repligen as the precision-engineering supply chain behind next-gen biomanufacturing - 'the technology that purifies performance' - tying bioprocessing purity/reliability to F1 engineering precision, with paddock/industry-conference activation around biotech innovation.</t>
        </is>
      </c>
      <c r="Q13" s="10" t="n"/>
      <c r="R13" s="10" t="inlineStr">
        <is>
          <t>verified-existing</t>
        </is>
      </c>
      <c r="S13" s="10" t="inlineStr">
        <is>
          <t>2026-09-28</t>
        </is>
      </c>
    </row>
    <row r="14">
      <c r="A14" s="10" t="n">
        <v>11</v>
      </c>
      <c r="B14" s="10" t="n">
        <v>92</v>
      </c>
      <c r="C14" s="10" t="inlineStr">
        <is>
          <t>Schott Pharma</t>
        </is>
      </c>
      <c r="D14" s="10" t="inlineStr">
        <is>
          <t>schott-pharma.com</t>
        </is>
      </c>
      <c r="E14" s="10" t="inlineStr">
        <is>
          <t>Germany</t>
        </is>
      </c>
      <c r="F14" s="10" t="inlineStr">
        <is>
          <t>Public (Frankfurt: 1SXP); majority-owned by SCHOTT AG (itself owned by the Carl-Zeiss-Stiftung foundation), 2023 spin-off IPO</t>
        </is>
      </c>
      <c r="G14" s="10" t="inlineStr">
        <is>
          <t>Pharma primary packaging (drug containment: vials, syringes, cartridges)</t>
        </is>
      </c>
      <c r="H14" s="10" t="inlineStr">
        <is>
          <t>1k-5k</t>
        </is>
      </c>
      <c r="I14" s="10" t="inlineStr">
        <is>
          <t>€986.21M FY2025, +3.04% YoY (schott-pharma.com media release / stockanalysis.com, FY2025 results ~Nov 2025); ~$1.07B est. USD</t>
        </is>
      </c>
      <c r="J14" s="10" t="inlineStr">
        <is>
          <t>market cap €2.60B (~$2.8B est.) (stockanalysis.com, 2026)</t>
        </is>
      </c>
      <c r="K14" s="10" t="inlineStr">
        <is>
          <t>N/A - public, profitable, 2026 guidance of 2-5% growth and 27% EBITDA margin (not in distress)</t>
        </is>
      </c>
      <c r="L14" s="10" t="inlineStr">
        <is>
          <t>meets parameters</t>
        </is>
      </c>
      <c r="M14" s="10" t="n">
        <v>4</v>
      </c>
      <c r="N14" s="10" t="inlineStr">
        <is>
          <t>Yes</t>
        </is>
      </c>
      <c r="O14" s="10" t="inlineStr">
        <is>
          <t>Revenue €986M (&gt;$1B USD, well over the $100M bar) and market cap ~€2.6B (&gt;2.5x the $1B bar) both clear comfortably; headcount ~4,800; 1,800+ customer base is broad (not ~20-customer dependent); foundation-owned parent, no state/F1 ties found. Fit score 4.</t>
        </is>
      </c>
      <c r="P14" s="10" t="inlineStr">
        <is>
          <t>Frame Schott Pharma as the invisible precision engineering inside every injectable therapy - glass/polymer containment as the 'unseen tolerance-critical component,' echoing F1's obsession with materials science and millimeter-precision manufacturing.</t>
        </is>
      </c>
      <c r="Q14" s="10" t="inlineStr">
        <is>
          <t>customer concentration risk flagged by company: DDS (glass syringe) segment outlook revised down due to one key customer's reduced demand (schott-pharma.com media release)</t>
        </is>
      </c>
      <c r="R14" s="10" t="inlineStr">
        <is>
          <t>verified-existing</t>
        </is>
      </c>
      <c r="S14" s="10" t="inlineStr">
        <is>
          <t>2026-09-28</t>
        </is>
      </c>
    </row>
    <row r="15">
      <c r="A15" s="10" t="n">
        <v>12</v>
      </c>
      <c r="B15" s="10" t="n">
        <v>92</v>
      </c>
      <c r="C15" s="10" t="inlineStr">
        <is>
          <t>Illumina</t>
        </is>
      </c>
      <c r="D15" s="10" t="inlineStr">
        <is>
          <t>illumina.com</t>
        </is>
      </c>
      <c r="E15" s="10" t="inlineStr">
        <is>
          <t>United States</t>
        </is>
      </c>
      <c r="F15" s="10" t="inlineStr">
        <is>
          <t>Public (NASDAQ: ILMN)</t>
        </is>
      </c>
      <c r="G15" s="10" t="inlineStr">
        <is>
          <t>Genomic sequencing tools</t>
        </is>
      </c>
      <c r="H15" s="10" t="inlineStr">
        <is>
          <t>5k-10k</t>
        </is>
      </c>
      <c r="I15" s="10" t="inlineStr">
        <is>
          <t>$4.343B FY2025, -0.66% YoY (illumina.com press release / stockanalysis.com, FY2025 results)</t>
        </is>
      </c>
      <c r="J15" s="10" t="inlineStr">
        <is>
          <t>market cap $32.95B as of Sept 4, 2026 (stockanalysis.com)</t>
        </is>
      </c>
      <c r="K15" s="10" t="inlineStr">
        <is>
          <t>N/A - public, large cash-generating business despite flat revenue</t>
        </is>
      </c>
      <c r="L15" s="10" t="inlineStr">
        <is>
          <t>exceeds - mega-brand</t>
        </is>
      </c>
      <c r="M15" s="10" t="n">
        <v>4</v>
      </c>
      <c r="N15" s="10" t="inlineStr">
        <is>
          <t>Yes</t>
        </is>
      </c>
      <c r="O15" s="10" t="inlineStr">
        <is>
          <t>Revenue $4.343B (&gt;43x the $100M bar) and market cap $32.95B (&gt;32x the $1B bar) clear hard bars by a wide margin; headcount ~8,600 FT (Dec 2025 10-K); broad global research/clinical customer base; no F1 ties found. Flat growth and China headwinds are noted as soft flags but don't threaten the hard bars given the scale of the margins.</t>
        </is>
      </c>
      <c r="P15" s="10" t="inlineStr">
        <is>
          <t>Illumina as 'the technology that reads the code of performance' - genomic sequencing tied to human-performance/precision-medicine narratives, with global research-market reach across multiple F1 host countries.</t>
        </is>
      </c>
      <c r="Q15" s="10" t="inlineStr">
        <is>
          <t>revenue essentially flat in FY2025 (-0.66% YoY); China revenue declining due to US Unreliable Entity List inclusion - geopolitical/compliance headwind on the China market specifically</t>
        </is>
      </c>
      <c r="R15" s="10" t="inlineStr">
        <is>
          <t>verified-existing</t>
        </is>
      </c>
      <c r="S15" s="10" t="inlineStr">
        <is>
          <t>2026-09-28</t>
        </is>
      </c>
    </row>
    <row r="16">
      <c r="A16" s="10" t="n">
        <v>13</v>
      </c>
      <c r="B16" s="10" t="n">
        <v>92</v>
      </c>
      <c r="C16" s="10" t="inlineStr">
        <is>
          <t>Qiagen N.V.</t>
        </is>
      </c>
      <c r="D16" s="10" t="inlineStr">
        <is>
          <t>qiagen.com</t>
        </is>
      </c>
      <c r="E16" s="10" t="inlineStr">
        <is>
          <t>Germany (Qiagen N.V., Netherlands-incorporated; operational HQ Hilden, Germany)</t>
        </is>
      </c>
      <c r="F16" s="10" t="inlineStr">
        <is>
          <t>Public (Nasdaq: QGEN / Frankfurt: QIA); no state or family control stake</t>
        </is>
      </c>
      <c r="G16" s="10" t="inlineStr">
        <is>
          <t>Genomics/molecular diagnostics tools</t>
        </is>
      </c>
      <c r="H16" s="10" t="inlineStr">
        <is>
          <t>5k-10k</t>
        </is>
      </c>
      <c r="I16" s="10" t="inlineStr">
        <is>
          <t>$2.07B TTM as of Q3 2025 (SEC 6-K filing, Nov 2025); Q4 2025 results (Feb 2026 press release) exceeded outlook</t>
        </is>
      </c>
      <c r="J16" s="10" t="inlineStr">
        <is>
          <t>$8.1B market cap (Jul 2026, Nasdaq/Frankfurt: QIA)</t>
        </is>
      </c>
      <c r="K16" s="10" t="inlineStr">
        <is>
          <t>N/A (public company, no VC funding rounds)</t>
        </is>
      </c>
      <c r="L16" s="10" t="inlineStr">
        <is>
          <t>meets parameters</t>
        </is>
      </c>
      <c r="M16" s="10" t="n">
        <v>4</v>
      </c>
      <c r="N16" s="10" t="inlineStr">
        <is>
          <t>Yes</t>
        </is>
      </c>
      <c r="O16" s="10" t="inlineStr">
        <is>
          <t>Revenue $2.07B (&gt;$100M), market cap $8.1B (&gt;$1B), headcount ~5,700 (5k-10k band, Dec 2025 disclosure), profitable and growing (beat Q4 2025 outlook), diversified global lab/hospital customer base, no F1 ties found, no disqualifying ownership. Fit=4.</t>
        </is>
      </c>
      <c r="P16" s="10" t="inlineStr">
        <is>
          <t>'Sample to insight' global diagnostics/genomics innovation story paired with F1's data-and-technology narrative; open category on the grid.</t>
        </is>
      </c>
      <c r="Q16" s="10" t="n"/>
      <c r="R16" s="10" t="inlineStr">
        <is>
          <t>verified-existing</t>
        </is>
      </c>
      <c r="S16" s="10" t="inlineStr">
        <is>
          <t>2026-09-28</t>
        </is>
      </c>
    </row>
    <row r="17">
      <c r="A17" s="10" t="n">
        <v>14</v>
      </c>
      <c r="B17" s="10" t="n">
        <v>92</v>
      </c>
      <c r="C17" s="10" t="inlineStr">
        <is>
          <t>Vertex Pharmaceuticals</t>
        </is>
      </c>
      <c r="D17" s="10" t="inlineStr">
        <is>
          <t>vrtx.com</t>
        </is>
      </c>
      <c r="E17" s="10" t="inlineStr">
        <is>
          <t>United States</t>
        </is>
      </c>
      <c r="F17" s="10" t="inlineStr">
        <is>
          <t>Public (Nasdaq: VRTX); no state or family control</t>
        </is>
      </c>
      <c r="G17" s="10" t="inlineStr">
        <is>
          <t>Biopharmaceuticals (cystic fibrosis franchise, gene-editing therapy, pain)</t>
        </is>
      </c>
      <c r="H17" s="10" t="inlineStr">
        <is>
          <t>5k-10k</t>
        </is>
      </c>
      <c r="I17" s="10" t="inlineStr">
        <is>
          <t>~$11.9B FY2025 (est, based on public disclosures/consensus estimates; not independently re-confirmed this session due to search budget)</t>
        </is>
      </c>
      <c r="J17" s="10" t="inlineStr">
        <is>
          <t>$107B-$131B market cap (Nov 2025-mid 2026 range; Yahoo Finance/Motley Fool, Nasdaq: VRTX)</t>
        </is>
      </c>
      <c r="K17" s="10" t="inlineStr">
        <is>
          <t>N/A (public company, no VC funding rounds)</t>
        </is>
      </c>
      <c r="L17" s="10" t="inlineStr">
        <is>
          <t>exceeds - mega-brand</t>
        </is>
      </c>
      <c r="M17" s="10" t="n">
        <v>4</v>
      </c>
      <c r="N17" s="10" t="inlineStr">
        <is>
          <t>Yes</t>
        </is>
      </c>
      <c r="O17" s="10" t="inlineStr">
        <is>
          <t>Revenue ~$11.9B (est, clears &gt;$100M bar by a wide margin), market cap $107-131B (&gt;$1B bar), headcount in 5k-10k band, highly profitable, no F1 ties found, no disqualifying ownership. Mega-cap scale puts tier at 'exceeds' but per protocol a company is never a No for being too big. Fit=4.</t>
        </is>
      </c>
      <c r="P17" s="10" t="inlineStr">
        <is>
          <t>Frontier-science storytelling (CRISPR-based gene editing, breakthrough R&amp;D) paired with F1's innovation-under-pressure narrative; mega-brand halo for the grid.</t>
        </is>
      </c>
      <c r="Q17" s="10" t="n"/>
      <c r="R17" s="10" t="inlineStr">
        <is>
          <t>verified-existing</t>
        </is>
      </c>
      <c r="S17" s="10" t="inlineStr">
        <is>
          <t>2026-09-28</t>
        </is>
      </c>
    </row>
    <row r="18">
      <c r="A18" s="10" t="n">
        <v>15</v>
      </c>
      <c r="B18" s="10" t="n">
        <v>92</v>
      </c>
      <c r="C18" s="10" t="inlineStr">
        <is>
          <t>bioMerieux</t>
        </is>
      </c>
      <c r="D18" s="10" t="inlineStr">
        <is>
          <t>biomerieux.com</t>
        </is>
      </c>
      <c r="E18" s="10" t="inlineStr">
        <is>
          <t>France</t>
        </is>
      </c>
      <c r="F18" s="10" t="inlineStr">
        <is>
          <t>Public (Euronext Paris: BIM); Merieux family (Institut Merieux) holds controlling stake; no state ownership</t>
        </is>
      </c>
      <c r="G18" s="10" t="inlineStr">
        <is>
          <t>In vitro diagnostics</t>
        </is>
      </c>
      <c r="H18" s="10" t="inlineStr">
        <is>
          <t>10k+</t>
        </is>
      </c>
      <c r="I18" s="10" t="inlineStr">
        <is>
          <t>€4.07B / ~$4.78B FY2025 (+2.26% YoY); source: bioMerieux 2025 Financial Results press release, biomerieux.com, Feb 2026</t>
        </is>
      </c>
      <c r="J18" s="10" t="inlineStr">
        <is>
          <t>$9.3-10B market cap (Jun 2026, Euronext Paris: BIM)</t>
        </is>
      </c>
      <c r="K18" s="10" t="inlineStr">
        <is>
          <t>N/A (public company, no VC funding rounds)</t>
        </is>
      </c>
      <c r="L18" s="10" t="inlineStr">
        <is>
          <t>meets parameters</t>
        </is>
      </c>
      <c r="M18" s="10" t="n">
        <v>4</v>
      </c>
      <c r="N18" s="10" t="inlineStr">
        <is>
          <t>Yes</t>
        </is>
      </c>
      <c r="O18" s="10" t="inlineStr">
        <is>
          <t>Revenue ~€4.07B (&gt;$100M), market cap ~$9.3-10B (&gt;$1B), headcount 15,226 (10k+ band), stable/profitable growth, diversified global hospital/lab customer base, no F1 ties found, family control (not state) is not disqualifying. Fit=4.</t>
        </is>
      </c>
      <c r="P18" s="10" t="inlineStr">
        <is>
          <t>Global diagnostics/public-health leadership -- precision science protecting lives -- paired with F1's safety/performance-engineering narrative; open category.</t>
        </is>
      </c>
      <c r="Q18" s="10" t="inlineStr">
        <is>
          <t>family-controlled public company (Merieux family)</t>
        </is>
      </c>
      <c r="R18" s="10" t="inlineStr">
        <is>
          <t>verified-existing</t>
        </is>
      </c>
      <c r="S18" s="10" t="inlineStr">
        <is>
          <t>2026-09-28</t>
        </is>
      </c>
    </row>
    <row r="19">
      <c r="A19" s="10" t="n">
        <v>16</v>
      </c>
      <c r="B19" s="10" t="n">
        <v>92</v>
      </c>
      <c r="C19" s="10" t="inlineStr">
        <is>
          <t>CSL Limited</t>
        </is>
      </c>
      <c r="D19" s="10" t="inlineStr">
        <is>
          <t>csl.com</t>
        </is>
      </c>
      <c r="E19" s="10" t="inlineStr">
        <is>
          <t>Australia</t>
        </is>
      </c>
      <c r="F19" s="10" t="inlineStr">
        <is>
          <t>Public (ASX: CSL); no state or family control</t>
        </is>
      </c>
      <c r="G19" s="10" t="inlineStr">
        <is>
          <t>Plasma biotherapeutics/bioprocessing, vaccines (Seqirus)</t>
        </is>
      </c>
      <c r="H19" s="10" t="inlineStr">
        <is>
          <t>10k+</t>
        </is>
      </c>
      <c r="I19" s="10" t="inlineStr">
        <is>
          <t>$15.56B USD FY2025 (year ended Jun 30, 2025, +5.1% YoY); source: stockanalysis.com / CSL FY2025 Annual Report</t>
        </is>
      </c>
      <c r="J19" s="10" t="inlineStr">
        <is>
          <t>AUD $87.57B market cap (~$57-58B USD, late 2025/2026, ASX: CSL)</t>
        </is>
      </c>
      <c r="K19" s="10" t="inlineStr">
        <is>
          <t>N/A (public company, no VC funding rounds)</t>
        </is>
      </c>
      <c r="L19" s="10" t="inlineStr">
        <is>
          <t>exceeds - mega-brand</t>
        </is>
      </c>
      <c r="M19" s="10" t="n">
        <v>4</v>
      </c>
      <c r="N19" s="10" t="inlineStr">
        <is>
          <t>Yes</t>
        </is>
      </c>
      <c r="O19" s="10" t="inlineStr">
        <is>
          <t>Revenue $15.56B (&gt;$100M), market cap ~$57-58B (&gt;$1B), headcount 29,000 (10k+ band), profitable and growing (+5.1% FY2025), diversified global healthcare customer base, no F1 ties found, no disqualifying ownership. Mega-cap scale -&gt; tier 'exceeds', never a No for size. Fit=4.</t>
        </is>
      </c>
      <c r="P19" s="10" t="inlineStr">
        <is>
          <t>Global biotherapeutics/vaccine leadership -- 'engineering life-saving science' -- mega-brand halo aligned with F1's global-ambition storytelling; open category.</t>
        </is>
      </c>
      <c r="Q19" s="10" t="n"/>
      <c r="R19" s="10" t="inlineStr">
        <is>
          <t>verified-existing</t>
        </is>
      </c>
      <c r="S19" s="10" t="inlineStr">
        <is>
          <t>2026-09-28</t>
        </is>
      </c>
    </row>
    <row r="20">
      <c r="A20" s="10" t="n">
        <v>17</v>
      </c>
      <c r="B20" s="10" t="n">
        <v>92</v>
      </c>
      <c r="C20" s="10" t="inlineStr">
        <is>
          <t>Regeneron Pharmaceuticals</t>
        </is>
      </c>
      <c r="D20" s="10" t="inlineStr">
        <is>
          <t>regeneron.com</t>
        </is>
      </c>
      <c r="E20" s="10" t="inlineStr">
        <is>
          <t>United States</t>
        </is>
      </c>
      <c r="F20" s="10" t="inlineStr">
        <is>
          <t>Public (Nasdaq: REGN)</t>
        </is>
      </c>
      <c r="G20" s="10" t="inlineStr">
        <is>
          <t>Biopharmaceuticals (immunology, oncology, ophthalmology, rare disease)</t>
        </is>
      </c>
      <c r="H20" s="10" t="inlineStr">
        <is>
          <t>10k+</t>
        </is>
      </c>
      <c r="I20" s="10" t="inlineStr">
        <is>
          <t>$14.343B FY2025 (reported early 2026; stockanalysis.com, verified Sep 2026) — clears &gt;$100M hard bar comfortably</t>
        </is>
      </c>
      <c r="J20" s="10" t="inlineStr">
        <is>
          <t>$79.75B market cap as of Sep 16, 2026 (stockanalysis.com) — clears &gt;$1B hard bar</t>
        </is>
      </c>
      <c r="K20" s="10" t="inlineStr">
        <is>
          <t>N/A — public company, self-funded from operating profits</t>
        </is>
      </c>
      <c r="L20" s="10" t="inlineStr">
        <is>
          <t>exceeds - mega-brand</t>
        </is>
      </c>
      <c r="M20" s="10" t="n">
        <v>4</v>
      </c>
      <c r="N20" s="10" t="inlineStr">
        <is>
          <t>Yes</t>
        </is>
      </c>
      <c r="O20" s="10" t="inlineStr">
        <is>
          <t>All hard filters pass: revenue $14.3B FY2025 and market cap $79.75B both clear bars by wide margins, public/profitable with no distress signals, broad global prescriber/patient base (not customer-concentrated), headcount well above minimum, no F1 sponsorship ties found (direct or via parent — company has no parent). Fit score 4/4.</t>
        </is>
      </c>
      <c r="P20" s="10" t="inlineStr">
        <is>
          <t>Open category — no major biopharma/precision-medicine sponsor on the 2026 grid; pair Regeneron's gene-editing and antibody R&amp;D speed with F1's precision-engineering story.</t>
        </is>
      </c>
      <c r="Q20" s="10" t="n"/>
      <c r="R20" s="10" t="inlineStr">
        <is>
          <t>verified-existing</t>
        </is>
      </c>
      <c r="S20" s="10" t="inlineStr">
        <is>
          <t>2026-09-28</t>
        </is>
      </c>
    </row>
    <row r="21">
      <c r="A21" s="10" t="n">
        <v>18</v>
      </c>
      <c r="B21" s="10" t="n">
        <v>92</v>
      </c>
      <c r="C21" s="10" t="inlineStr">
        <is>
          <t>West Pharmaceutical Services</t>
        </is>
      </c>
      <c r="D21" s="10" t="inlineStr">
        <is>
          <t>westpharma.com</t>
        </is>
      </c>
      <c r="E21" s="10" t="inlineStr">
        <is>
          <t>United States</t>
        </is>
      </c>
      <c r="F21" s="10" t="inlineStr">
        <is>
          <t>Public (NYSE: WST)</t>
        </is>
      </c>
      <c r="G21" s="10" t="inlineStr">
        <is>
          <t>Drug containment and delivery components (injectables, GLP-1 packaging)</t>
        </is>
      </c>
      <c r="H21" s="10" t="inlineStr">
        <is>
          <t>10k+</t>
        </is>
      </c>
      <c r="I21" s="10" t="inlineStr">
        <is>
          <t>$3.07B FY2025 (SEC 8-K / stockanalysis.com, verified Sep 2026) — clears &gt;$100M hard bar</t>
        </is>
      </c>
      <c r="J21" s="10" t="inlineStr">
        <is>
          <t>$23.92B market cap as of Sep 2026 (companiesmarketcap.com/tradingeconomics) — clears &gt;$1B hard bar</t>
        </is>
      </c>
      <c r="K21" s="10" t="inlineStr">
        <is>
          <t>N/A — public company</t>
        </is>
      </c>
      <c r="L21" s="10" t="inlineStr">
        <is>
          <t>meets parameters</t>
        </is>
      </c>
      <c r="M21" s="10" t="n">
        <v>4</v>
      </c>
      <c r="N21" s="10" t="inlineStr">
        <is>
          <t>Yes</t>
        </is>
      </c>
      <c r="O21" s="10" t="inlineStr">
        <is>
          <t>All hard filters pass: revenue $3.07B (2025) and market cap $23.92B both clear bars; Q3 2025 organic growth of +5% (GLP-1/Annex 1 driven) shows clear improvement, not distress; broad global pharma-customer base; no F1 conflicts found (confirmed distinct from the unrelated 1990s 'West' cigarette-brand F1 sponsorship). Fit 4/4. Headcount (~11,000+) carried from triage and not independently re-confirmed this session, but does not affect the band for a company of WST's well-documented public scale.</t>
        </is>
      </c>
      <c r="P21" s="10" t="inlineStr">
        <is>
          <t>Precision drug-delivery engineering story timed to West's GLP-1/injectable growth wave; open category, no pharma-packaging sponsor on the 2026 grid.</t>
        </is>
      </c>
      <c r="Q21" s="10" t="n"/>
      <c r="R21" s="10" t="inlineStr">
        <is>
          <t>verified-existing</t>
        </is>
      </c>
      <c r="S21" s="10" t="inlineStr">
        <is>
          <t>2026-09-28</t>
        </is>
      </c>
    </row>
    <row r="22">
      <c r="A22" s="10" t="n">
        <v>19</v>
      </c>
      <c r="B22" s="10" t="n">
        <v>92</v>
      </c>
      <c r="C22" s="10" t="inlineStr">
        <is>
          <t>Solventum Corporation</t>
        </is>
      </c>
      <c r="D22" s="10" t="inlineStr">
        <is>
          <t>solventum.com</t>
        </is>
      </c>
      <c r="E22" s="10" t="inlineStr">
        <is>
          <t>United States</t>
        </is>
      </c>
      <c r="F22" s="10" t="inlineStr">
        <is>
          <t>Public (NYSE: SOLV); spun off from 3M in 2024, independent company</t>
        </is>
      </c>
      <c r="G22" s="10" t="inlineStr">
        <is>
          <t>Health care / lab solutions (medsurg, dental, health information systems)</t>
        </is>
      </c>
      <c r="H22" s="10" t="inlineStr">
        <is>
          <t>10k+ (20,000+ per company filings)</t>
        </is>
      </c>
      <c r="I22" s="10" t="inlineStr">
        <is>
          <t>$8.33B FY2025 (stockanalysis.com, citing FY2025 results reported ~Feb 2026)</t>
        </is>
      </c>
      <c r="J22" s="10" t="inlineStr">
        <is>
          <t>Market cap ~$15.24B as of 2026-09-25 (stockanalysis.com)</t>
        </is>
      </c>
      <c r="K22" s="10" t="inlineStr">
        <is>
          <t>n/a — public company; spun off from 3M via 2024 Reverse Morris Trust-style separation</t>
        </is>
      </c>
      <c r="L22" s="10" t="inlineStr">
        <is>
          <t>exceeds - mega-brand</t>
        </is>
      </c>
      <c r="M22" s="10" t="n">
        <v>4</v>
      </c>
      <c r="N22" s="10" t="inlineStr">
        <is>
          <t>Yes</t>
        </is>
      </c>
      <c r="O22" s="10" t="inlineStr">
        <is>
          <t>All hard filters pass: revenue $8.33B (FY2025), market cap ~$15.2B (Sept 2026), profitable (net income $1.56B FY25, +225%), 20,000+ employees, public with no state ownership, no F1 conflicts found for Solventum or 3M, fit score 4.</t>
        </is>
      </c>
      <c r="P22" s="10" t="inlineStr">
        <is>
          <t>Precision health-technology/medtech performance-under-pressure narrative; open category — no major medical/health-sciences sponsor currently on the F1 grid.</t>
        </is>
      </c>
      <c r="Q22" s="10" t="inlineStr">
        <is>
          <t>Spun off from 3M (2024) — 3M flagged separately in exclusion list, but no F1 tie found for Solventum or 3M directly</t>
        </is>
      </c>
      <c r="R22" s="10" t="inlineStr">
        <is>
          <t>verified-existing</t>
        </is>
      </c>
      <c r="S22" s="10" t="inlineStr">
        <is>
          <t>2026-09-28</t>
        </is>
      </c>
    </row>
    <row r="23">
      <c r="A23" s="10" t="n">
        <v>20</v>
      </c>
      <c r="B23" s="10" t="n">
        <v>92</v>
      </c>
      <c r="C23" s="10" t="inlineStr">
        <is>
          <t>Cohance Lifesciences (Suven)</t>
        </is>
      </c>
      <c r="D23" s="10" t="inlineStr">
        <is>
          <t>cohance.in</t>
        </is>
      </c>
      <c r="E23" s="10" t="inlineStr">
        <is>
          <t>India</t>
        </is>
      </c>
      <c r="F23" s="10" t="inlineStr">
        <is>
          <t>Now publicly listed (NSE: COHANCE / BSE: 543064, formerly Suven Pharmaceuticals); Advent International is majority promoter following the 2023 Suven-Cohance merger</t>
        </is>
      </c>
      <c r="G23" s="10" t="inlineStr">
        <is>
          <t>CDMO (pharma development/manufacturing, APIs, formulations, specialty chemicals)</t>
        </is>
      </c>
      <c r="H23" s="10" t="inlineStr">
        <is>
          <t>1k-5k</t>
        </is>
      </c>
      <c r="I23" s="10" t="inlineStr">
        <is>
          <t>~$245-260M FY2025 (₹2,142 Cr per company results; screener.in/indmoney.com) (est conversion)</t>
        </is>
      </c>
      <c r="J23" s="10" t="inlineStr">
        <is>
          <t>~$2.0B market cap (₹17,570.8 Cr, NSE:COHANCE, 25 Sept 2026, stockanalysis.com)</t>
        </is>
      </c>
      <c r="K23" s="10" t="inlineStr">
        <is>
          <t>N/A - public company; Advent International became majority holder via 2023 Suven/Cohance API-business merger</t>
        </is>
      </c>
      <c r="L23" s="10" t="inlineStr">
        <is>
          <t>meets parameters</t>
        </is>
      </c>
      <c r="M23" s="10" t="n">
        <v>4</v>
      </c>
      <c r="N23" s="10" t="inlineStr">
        <is>
          <t>Yes</t>
        </is>
      </c>
      <c r="O23" s="10" t="inlineStr">
        <is>
          <t>All hard filters pass: FY2025 revenue ~$250M (est) clears the $100M bar; market cap ~$2.0B (Sept 2026) clears the $1B bar; no F1 sponsorship ties found direct or via Advent International; not state-owned; headcount 2,000+ (1k-5k band); profitable, growing fast post-merger. Fit score 4/4.</t>
        </is>
      </c>
      <c r="P23" s="10" t="inlineStr">
        <is>
          <t>Global CDMO precision-manufacturing and rapid post-merger growth story — untapped pharma/life-sciences category on the 2026 grid (est).</t>
        </is>
      </c>
      <c r="Q23" s="10" t="n"/>
      <c r="R23" s="10" t="inlineStr">
        <is>
          <t>verified-existing</t>
        </is>
      </c>
      <c r="S23" s="10" t="inlineStr">
        <is>
          <t>2026-09-28</t>
        </is>
      </c>
    </row>
    <row r="24">
      <c r="A24" s="10" t="n">
        <v>21</v>
      </c>
      <c r="B24" s="10" t="n">
        <v>84</v>
      </c>
      <c r="C24" s="10" t="inlineStr">
        <is>
          <t>Neurocrine Biosciences</t>
        </is>
      </c>
      <c r="D24" s="10" t="inlineStr">
        <is>
          <t>neurocrine.com</t>
        </is>
      </c>
      <c r="E24" s="10" t="inlineStr">
        <is>
          <t>San Diego, California, United States</t>
        </is>
      </c>
      <c r="F24" s="10" t="inlineStr">
        <is>
          <t>Public (NASDAQ: NBIX); no state, sovereign or PE ownership identified</t>
        </is>
      </c>
      <c r="G24" s="10" t="inlineStr">
        <is>
          <t>Biopharmaceuticals (INGREZZA, CRENESSITY) sold directly to a broad physician/patient base, primarily in the US</t>
        </is>
      </c>
      <c r="H24" s="10" t="inlineStr">
        <is>
          <t>1k-5k</t>
        </is>
      </c>
      <c r="I24" s="10" t="inlineStr">
        <is>
          <t>$2.86B FY2025 ($2.83B net product sales + $26.6M collaboration revenue), per Neurocrine FY2025 earnings/10-K (SEC, reported early 2026)</t>
        </is>
      </c>
      <c r="J24" s="10" t="inlineStr">
        <is>
          <t>~$15.8B market cap as of Sep 4, 2026, per tradingeconomics.com/companiesmarketcap.com</t>
        </is>
      </c>
      <c r="K24" s="10" t="inlineStr">
        <is>
          <t>N/A - public company; no recent equity raise found</t>
        </is>
      </c>
      <c r="L24" s="10" t="inlineStr">
        <is>
          <t>meets parameters</t>
        </is>
      </c>
      <c r="M24" s="10" t="n">
        <v>3</v>
      </c>
      <c r="N24" s="10" t="inlineStr">
        <is>
          <t>Yes</t>
        </is>
      </c>
      <c r="O24" s="10" t="inlineStr">
        <is>
          <t>Hard filters clear: revenue $2.86B (&gt;$100M bar), market cap $15.8B (&gt;$1B bar), headcount ~2,000-2,238 (1k-5k band), growing and profitable on INGREZZA/CRENESSITY (no distress), no F1 sponsorship ties found, public US ownership with no compliance issues. Fit score 3 (&gt;=2).</t>
        </is>
      </c>
      <c r="P24" s="10" t="inlineStr">
        <is>
          <t>Breakthrough-momentum angle - CRENESSITY's 2025 launch (first approved treatment for its indication) supports outreach timed to pipeline/regulatory news.</t>
        </is>
      </c>
      <c r="Q24" s="10" t="n"/>
      <c r="R24" s="10" t="inlineStr">
        <is>
          <t>verified-existing</t>
        </is>
      </c>
      <c r="S24" s="10" t="inlineStr">
        <is>
          <t>2026-09-28</t>
        </is>
      </c>
    </row>
    <row r="25">
      <c r="A25" s="10" t="n">
        <v>22</v>
      </c>
      <c r="B25" s="10" t="n">
        <v>84</v>
      </c>
      <c r="C25" s="10" t="inlineStr">
        <is>
          <t>United Therapeutics</t>
        </is>
      </c>
      <c r="D25" s="10" t="inlineStr">
        <is>
          <t>unitedtherapeutics.com</t>
        </is>
      </c>
      <c r="E25" s="10" t="inlineStr">
        <is>
          <t>United States</t>
        </is>
      </c>
      <c r="F25" s="10" t="inlineStr">
        <is>
          <t>Public (NASDAQ: UTHR)</t>
        </is>
      </c>
      <c r="G25" s="10" t="inlineStr">
        <is>
          <t>Biopharmaceuticals (pulmonary arterial hypertension &amp; rare-disease therapies)</t>
        </is>
      </c>
      <c r="H25" s="10" t="inlineStr">
        <is>
          <t>1k-5k</t>
        </is>
      </c>
      <c r="I25" s="10" t="inlineStr">
        <is>
          <t>$3.18B FY2025, +10.61% YoY (SEC 8-K / stockanalysis.com)</t>
        </is>
      </c>
      <c r="J25" s="10" t="inlineStr">
        <is>
          <t>market cap $23.13B as of June 2026 (companiesmarketcap.com)</t>
        </is>
      </c>
      <c r="K25" s="10" t="inlineStr">
        <is>
          <t>N/A - public, profitable, double-digit revenue growth (Tyvaso DPI, Orenitram, Unituxin all growing)</t>
        </is>
      </c>
      <c r="L25" s="10" t="inlineStr">
        <is>
          <t>exceeds - mega-brand</t>
        </is>
      </c>
      <c r="M25" s="10" t="n">
        <v>3</v>
      </c>
      <c r="N25" s="10" t="inlineStr">
        <is>
          <t>Yes</t>
        </is>
      </c>
      <c r="O25" s="10" t="inlineStr">
        <is>
          <t>Revenue $3.18B (&gt;31x the $100M bar) and market cap $23.13B (&gt;23x the $1B bar) clear hard bars by a wide margin; headcount ~1,400 (above the 51 floor); no F1 ties or ownership/compliance issues found; fit score 3 clears the &gt;=2 threshold.</t>
        </is>
      </c>
      <c r="P25" s="10" t="inlineStr">
        <is>
          <t>Position United Therapeutics around its 'engineering solutions for the body's toughest performance limits' story - rare-disease innovation and organ-manufacturing ambitions (xenotransplantation) as a forward-looking precision-medicine angle distinct from anything currently on the grid.</t>
        </is>
      </c>
      <c r="Q25" s="10" t="inlineStr">
        <is>
          <t>revenue concentrated in a small number of orphan/rare-disease drug franchises, largely US-market; narrow therapeutic-market focus vs. mass-market brand recognition</t>
        </is>
      </c>
      <c r="R25" s="10" t="inlineStr">
        <is>
          <t>verified-existing</t>
        </is>
      </c>
      <c r="S25" s="10" t="inlineStr">
        <is>
          <t>2026-09-28</t>
        </is>
      </c>
    </row>
    <row r="26">
      <c r="A26" s="10" t="n">
        <v>23</v>
      </c>
      <c r="B26" s="10" t="n">
        <v>84</v>
      </c>
      <c r="C26" s="10" t="inlineStr">
        <is>
          <t>Laurus Labs</t>
        </is>
      </c>
      <c r="D26" s="10" t="inlineStr">
        <is>
          <t>lauruslabs.com</t>
        </is>
      </c>
      <c r="E26" s="10" t="inlineStr">
        <is>
          <t>India</t>
        </is>
      </c>
      <c r="F26" s="10" t="inlineStr">
        <is>
          <t>Public (India, NSE/BSE listed); promoter/family minority stake; no state ownership</t>
        </is>
      </c>
      <c r="G26" s="10" t="inlineStr">
        <is>
          <t>API/CDMO/biologics manufacturing for global pharma</t>
        </is>
      </c>
      <c r="H26" s="10" t="inlineStr">
        <is>
          <t>5k-10k</t>
        </is>
      </c>
      <c r="I26" s="10" t="inlineStr">
        <is>
          <t>₹5,554 cr FY2025 (~$650M); source: Laurus Labs FY2025/H1FY26 investor results, lauruslabs.com, reported 2025</t>
        </is>
      </c>
      <c r="J26" s="10" t="inlineStr">
        <is>
          <t>~$8.1B market cap (Jun 2026; NSE/BSE-listed public company, per companiesmarketcap/screener.in data)</t>
        </is>
      </c>
      <c r="K26" s="10" t="inlineStr">
        <is>
          <t>N/A (public company, no VC funding rounds)</t>
        </is>
      </c>
      <c r="L26" s="10" t="inlineStr">
        <is>
          <t>meets parameters</t>
        </is>
      </c>
      <c r="M26" s="10" t="n">
        <v>3</v>
      </c>
      <c r="N26" s="10" t="inlineStr">
        <is>
          <t>Yes</t>
        </is>
      </c>
      <c r="O26" s="10" t="inlineStr">
        <is>
          <t>All hard filters pass: revenue ~$650M (&gt;$100M bar), market cap ~$8.1B (&gt;$1B bar), headcount 7,042 (5k-10k band), profitable and growing (25.4% EBITDA margin H1FY26, no distress), diversified global pharma customer base, no F1 conflicts found, no disqualifying ownership. Fit=3 (&gt;=2).</t>
        </is>
      </c>
      <c r="P26" s="10" t="inlineStr">
        <is>
          <t>India-to-global CDMO/API precision-manufacturing story ('engineering the medicines of tomorrow') tied to F1's performance-engineering theme; open category on the grid.</t>
        </is>
      </c>
      <c r="Q26" s="10" t="n"/>
      <c r="R26" s="10" t="inlineStr">
        <is>
          <t>verified-existing</t>
        </is>
      </c>
      <c r="S26" s="10" t="inlineStr">
        <is>
          <t>2026-09-28</t>
        </is>
      </c>
    </row>
    <row r="27">
      <c r="A27" s="10" t="n">
        <v>24</v>
      </c>
      <c r="B27" s="10" t="n">
        <v>84</v>
      </c>
      <c r="C27" s="10" t="inlineStr">
        <is>
          <t>Fareva</t>
        </is>
      </c>
      <c r="D27" s="10" t="inlineStr">
        <is>
          <t>fareva.com</t>
        </is>
      </c>
      <c r="E27" s="10" t="inlineStr">
        <is>
          <t>France</t>
        </is>
      </c>
      <c r="F27" s="10" t="inlineStr">
        <is>
          <t>Private, family-owned (Despature family); no state ownership</t>
        </is>
      </c>
      <c r="G27" s="10" t="inlineStr">
        <is>
          <t>CDMO/contract manufacturing (pharma &amp; cosmetics)</t>
        </is>
      </c>
      <c r="H27" s="10" t="inlineStr">
        <is>
          <t>10k+</t>
        </is>
      </c>
      <c r="I27" s="10" t="inlineStr">
        <is>
          <t>~€2.2-2.5B (2024-2025 range across sources incl. ~$2.51B 2025 est via Reveliolabs/PitchBook; no single audited public figure, private company) (est)</t>
        </is>
      </c>
      <c r="J27" s="10" t="inlineStr">
        <is>
          <t>Not published (private, family-owned); passes on revenue alone per family-owned rule</t>
        </is>
      </c>
      <c r="K27" s="10" t="inlineStr">
        <is>
          <t>N/A (private, no recent funding round reported)</t>
        </is>
      </c>
      <c r="L27" s="10" t="inlineStr">
        <is>
          <t>meets parameters</t>
        </is>
      </c>
      <c r="M27" s="10" t="n">
        <v>3</v>
      </c>
      <c r="N27" s="10" t="inlineStr">
        <is>
          <t>Yes</t>
        </is>
      </c>
      <c r="O27" s="10" t="inlineStr">
        <is>
          <t>Family-owned with no published valuation -- passes on revenue alone (clearly &gt;$100M at ~€2.2-2.5B). Headcount ~13,000 (10k+ band). No distress signals found; diversified pharma/cosmetics client base across 40+ sites (no evidence of &lt;20-customer dependency). No F1 ties found. Ownership is private family control, not state/sovereign. Fit=3 (&gt;=2).</t>
        </is>
      </c>
      <c r="P27" s="10" t="inlineStr">
        <is>
          <t>Behind-the-scenes manufacturing excellence across pharma and cosmetics -- 'precision at scale' story that mirrors F1's pit-lane engineering culture; open category.</t>
        </is>
      </c>
      <c r="Q27" s="10" t="inlineStr">
        <is>
          <t>family-owned; no published valuation (family-owned, passes on revenue alone)</t>
        </is>
      </c>
      <c r="R27" s="10" t="inlineStr">
        <is>
          <t>verified-existing</t>
        </is>
      </c>
      <c r="S27" s="10" t="inlineStr">
        <is>
          <t>2026-09-28</t>
        </is>
      </c>
    </row>
    <row r="28">
      <c r="A28" s="10" t="n">
        <v>25</v>
      </c>
      <c r="B28" s="10" t="n">
        <v>84</v>
      </c>
      <c r="C28" s="10" t="inlineStr">
        <is>
          <t>Bachem Holding</t>
        </is>
      </c>
      <c r="D28" s="10" t="inlineStr">
        <is>
          <t>bachem.com</t>
        </is>
      </c>
      <c r="E28" s="10" t="inlineStr">
        <is>
          <t>Switzerland</t>
        </is>
      </c>
      <c r="F28" s="10" t="inlineStr">
        <is>
          <t>Public (SIX: BANB)</t>
        </is>
      </c>
      <c r="G28" s="10" t="inlineStr">
        <is>
          <t>Peptide/oligonucleotide CDMO</t>
        </is>
      </c>
      <c r="H28" s="10" t="inlineStr">
        <is>
          <t>1k-5k</t>
        </is>
      </c>
      <c r="I28" s="10" t="inlineStr">
        <is>
          <t>CHF 695.1M (~$780M) FY2025, +14.8% YoY (Bachem ad-hoc release, bachem.com, reporting Jan 2026)</t>
        </is>
      </c>
      <c r="J28" s="10" t="inlineStr">
        <is>
          <t>Market cap ~CHF 5.9-6.6B (~$6.6-7.4B) (stockanalysis.com / press, Aug 2025-Sept 2026)</t>
        </is>
      </c>
      <c r="K28" s="10" t="inlineStr">
        <is>
          <t>N/A (public company, no recent capital raise)</t>
        </is>
      </c>
      <c r="L28" s="10" t="inlineStr">
        <is>
          <t>meets parameters</t>
        </is>
      </c>
      <c r="M28" s="10" t="n">
        <v>3</v>
      </c>
      <c r="N28" s="10" t="inlineStr">
        <is>
          <t>Yes</t>
        </is>
      </c>
      <c r="O28" s="10" t="inlineStr">
        <is>
          <t>Passes all hard filters: revenue CHF695.1M (~$780M) FY2025 clears the $100M bar; market cap ~CHF6B (~$6.6B+) clears the $1B bar; no F1 team/series/driver conflicts found for Bachem, direct or via parent (none - it is not a subsidiary); public Swiss ownership with no state/compliance issues; fit score 3.</t>
        </is>
      </c>
      <c r="P28" s="10" t="inlineStr">
        <is>
          <t>Position Bachem as the precision-engineering partner behind next-gen GLP-1/peptide therapeutics - a technology-and-reliability story tied to global pharma supply chains, in an open CDMO/life-science sponsorship category (est).</t>
        </is>
      </c>
      <c r="Q28" s="10" t="inlineStr">
        <is>
          <t>customer concentration risk (GLP-1 supply chain) - 2024 profit warning tied to a large customer</t>
        </is>
      </c>
      <c r="R28" s="10" t="inlineStr">
        <is>
          <t>verified-existing</t>
        </is>
      </c>
      <c r="S28" s="10" t="inlineStr">
        <is>
          <t>2026-09-28</t>
        </is>
      </c>
    </row>
    <row r="29">
      <c r="A29" s="11" t="n">
        <v>26</v>
      </c>
      <c r="B29" s="11" t="n">
        <v>64</v>
      </c>
      <c r="C29" s="11" t="inlineStr">
        <is>
          <t>Anthem Biosciences</t>
        </is>
      </c>
      <c r="D29" s="11" t="inlineStr">
        <is>
          <t>anthembio.com</t>
        </is>
      </c>
      <c r="E29" s="11" t="inlineStr">
        <is>
          <t>India</t>
        </is>
      </c>
      <c r="F29" s="11" t="inlineStr">
        <is>
          <t>Public (NSE/BSE, IPO'd July 2025); founder/promoter-led, no state ownership identified, no compliance flags</t>
        </is>
      </c>
      <c r="G29" s="11" t="inlineStr">
        <is>
          <t>CRDMO (contract research, development &amp; manufacturing) serving global biotech/pharma clients - NCE/NBE, RNAi, ADC, peptide, lipid &amp; oligonucleotide capabilities</t>
        </is>
      </c>
      <c r="H29" s="11" t="inlineStr">
        <is>
          <t>1k-5k</t>
        </is>
      </c>
      <c r="I29" s="11" t="inlineStr">
        <is>
          <t>TTM revenue ~$240M as of Mar 31, 2026 (source: screener.in / market data). Passes &gt;$100M hard bar.</t>
        </is>
      </c>
      <c r="J29" s="11" t="inlineStr">
        <is>
          <t>Market cap ~INR 53,098 Cr (~$6.4B; another source ~$4.47B as of May 2026) - source: screener.in, tijorifinance.com. Passes &gt;$1B hard bar.</t>
        </is>
      </c>
      <c r="K29" s="11" t="inlineStr">
        <is>
          <t>IPO July 2025: book-build issue of ~INR 3,395 Cr, subscribed 3.28x (source: Business Standard, chittorgarh.com)</t>
        </is>
      </c>
      <c r="L29" s="11" t="inlineStr">
        <is>
          <t>meets parameters</t>
        </is>
      </c>
      <c r="M29" s="11" t="n">
        <v>4</v>
      </c>
      <c r="N29" s="11" t="inlineStr">
        <is>
          <t>Stretch</t>
        </is>
      </c>
      <c r="O29" s="11" t="inlineStr">
        <is>
          <t>Hard filters pass on available data (revenue, valuation, headcount, ownership, no F1 conflict) and fit score is a strong 4/4, but the company only went public in mid-2025 (thin track record) and client-concentration could not be independently confirmed - a real reservation.</t>
        </is>
      </c>
      <c r="P29" s="11" t="inlineStr">
        <is>
          <t>India's rising CRDMO/biotech-export story - align with F1's growing footprint and fanbase in India, positioning Anthem as a symbol of India's next-generation precision drug-development industry (open category).</t>
        </is>
      </c>
      <c r="Q29" s="11" t="inlineStr">
        <is>
          <t>recently IPO'd (Jul 2025) - limited public financial track record to judge trend/capacity; CRDMO client-concentration not independently verified (could not confirm number of major clients before search budget ran out)</t>
        </is>
      </c>
      <c r="R29" s="11" t="inlineStr">
        <is>
          <t>verified-existing</t>
        </is>
      </c>
      <c r="S29" s="11" t="inlineStr">
        <is>
          <t>2026-09-28</t>
        </is>
      </c>
    </row>
    <row r="30">
      <c r="A30" s="11" t="n">
        <v>27</v>
      </c>
      <c r="B30" s="11" t="n">
        <v>64</v>
      </c>
      <c r="C30" s="11" t="inlineStr">
        <is>
          <t>Azenta Life Sciences</t>
        </is>
      </c>
      <c r="D30" s="11" t="inlineStr">
        <is>
          <t>azenta.com</t>
        </is>
      </c>
      <c r="E30" s="11" t="inlineStr">
        <is>
          <t>United States</t>
        </is>
      </c>
      <c r="F30" s="11" t="inlineStr">
        <is>
          <t>Public (NASDAQ: AZTA); no state ownership or compliance flags</t>
        </is>
      </c>
      <c r="G30" s="11" t="inlineStr">
        <is>
          <t>Genomics services, sample management &amp; lab consumables/cryogenic storage, sold globally to biotech/pharma customers</t>
        </is>
      </c>
      <c r="H30" s="11" t="inlineStr">
        <is>
          <t>1k-5k</t>
        </is>
      </c>
      <c r="I30" s="11" t="inlineStr">
        <is>
          <t>FY2025 revenue $593.82M, +3.55% YoY (source: stockanalysis.com, company FY2025 results). Passes &gt;$100M hard bar.</t>
        </is>
      </c>
      <c r="J30" s="11" t="inlineStr">
        <is>
          <t>Market cap ~$1.49B as of Aug 13, 2026 (stockanalysis.com; ranged $1.49-2B across recent periods). Passes &gt;$1B hard bar, though nearer the threshold.</t>
        </is>
      </c>
      <c r="K30" s="11" t="inlineStr">
        <is>
          <t>N/A (public company)</t>
        </is>
      </c>
      <c r="L30" s="11" t="inlineStr">
        <is>
          <t>meets parameters</t>
        </is>
      </c>
      <c r="M30" s="11" t="n">
        <v>4</v>
      </c>
      <c r="N30" s="11" t="inlineStr">
        <is>
          <t>Stretch</t>
        </is>
      </c>
      <c r="O30" s="11" t="inlineStr">
        <is>
          <t>Hard filters pass on available data (revenue, valuation just above $1B, headcount, ownership, no F1 conflict) and fit score is a strong 4/4, but modest/uncertain growth trajectory and a valuation nearer the threshold are real reservations.</t>
        </is>
      </c>
      <c r="P30" s="11" t="inlineStr">
        <is>
          <t>Position Azenta as the precision cold-chain/sample-logistics backbone of global biotech innovation - a technology-and-precision story for an open 'life-science supply chain' sponsorship category.</t>
        </is>
      </c>
      <c r="Q30" s="11" t="inlineStr">
        <is>
          <t>revenue growth is modest (+3.55% FY2025) and GAAP results have been mixed quarter to quarter (non-GAAP EPS beat estimates, +36% YoY in Q3 2025, but overall trajectory is not clearly strong) - reservation on capacity-to-spend criterion; market cap is close to the $1B hard-bar threshold rather than comfortably above it</t>
        </is>
      </c>
      <c r="R30" s="11" t="inlineStr">
        <is>
          <t>verified-existing</t>
        </is>
      </c>
      <c r="S30" s="11" t="inlineStr">
        <is>
          <t>2026-09-28</t>
        </is>
      </c>
    </row>
    <row r="31">
      <c r="A31" s="11" t="n">
        <v>28</v>
      </c>
      <c r="B31" s="11" t="n">
        <v>64</v>
      </c>
      <c r="C31" s="11" t="inlineStr">
        <is>
          <t>CordenPharma</t>
        </is>
      </c>
      <c r="D31" s="11" t="inlineStr">
        <is>
          <t>cordenpharma.com</t>
        </is>
      </c>
      <c r="E31" s="11" t="inlineStr">
        <is>
          <t>Germany</t>
        </is>
      </c>
      <c r="F31" s="11" t="inlineStr">
        <is>
          <t>Private, owned by Astorg (PE, France) since 2022, acquired from International Chemical Investors Group (ICIG); founders reinvested as partners. Not state-owned; no compliance flags.</t>
        </is>
      </c>
      <c r="G31" s="11" t="inlineStr">
        <is>
          <t>Peptide/small-molecule CDMO (contract development &amp; manufacturing) serving global pharma clients across Europe/US manufacturing network</t>
        </is>
      </c>
      <c r="H31" s="11" t="inlineStr">
        <is>
          <t>1k-5k</t>
        </is>
      </c>
      <c r="I31" s="11" t="inlineStr">
        <is>
          <t>Estimated well over $100M (2021 turnover was reported at &gt;EUR 750M; scale has since grown via M&amp;A including the 2026 AmbioPharm acquisition) - figure is an estimate (est), not independently re-verified for FY2025 before search budget ran out. Source: CordenPharma/ICIG public materials.</t>
        </is>
      </c>
      <c r="J31" s="11" t="inlineStr">
        <is>
          <t>No published valuation found. Company is PE-owned (Astorg), so it does not qualify for the family-owned/employee-owned no-valuation carve-out. Given its scale (4,000+ employees, multi-billion-euro revenue, backed by a major PE firm actively doing bolt-on M&amp;A) a valuation well above $1B is likely but unconfirmed by a public source (est, unconfirmed).</t>
        </is>
      </c>
      <c r="K31" s="11" t="inlineStr">
        <is>
          <t>N/A - PE-owned since 2022 (Astorg); most recent disclosed corporate action is the 2026 agreement to acquire AmbioPharm (source: Astorg press release)</t>
        </is>
      </c>
      <c r="L31" s="11" t="inlineStr">
        <is>
          <t>meets parameters</t>
        </is>
      </c>
      <c r="M31" s="11" t="n">
        <v>4</v>
      </c>
      <c r="N31" s="11" t="inlineStr">
        <is>
          <t>Stretch</t>
        </is>
      </c>
      <c r="O31" s="11" t="inlineStr">
        <is>
          <t>Revenue and headcount comfortably clear their hard bars and no F1 conflict or ownership/compliance issue was found, but the valuation hard bar (&gt;$1B) could not be independently confirmed with a published source (private PE-owned company, no family/employee-owned carve-out applies), and PE ownership is at/approaching the 4-year mark - both real reservations.</t>
        </is>
      </c>
      <c r="P31" s="11" t="inlineStr">
        <is>
          <t>Manufacturing-scale/precision-engineering story tied to CordenPharma's recent peptide-platform expansion (AmbioPharm acquisition) - an open 'advanced pharmaceutical manufacturing' sponsorship category.</t>
        </is>
      </c>
      <c r="Q31" s="11" t="inlineStr">
        <is>
          <t>PE-owned (Astorg) since 2022 - approaching/at the 4+ year mark by 2026; no independently published valuation found; &gt;$1B is inferred from scale rather than confirmed (est, unconfirmed)</t>
        </is>
      </c>
      <c r="R31" s="11" t="inlineStr">
        <is>
          <t>verified-existing</t>
        </is>
      </c>
      <c r="S31" s="11" t="inlineStr">
        <is>
          <t>2026-09-28</t>
        </is>
      </c>
    </row>
    <row r="32">
      <c r="A32" s="11" t="n">
        <v>29</v>
      </c>
      <c r="B32" s="11" t="n">
        <v>64</v>
      </c>
      <c r="C32" s="11" t="inlineStr">
        <is>
          <t>DiaSorin S.p.A.</t>
        </is>
      </c>
      <c r="D32" s="11" t="inlineStr">
        <is>
          <t>diasorin.com</t>
        </is>
      </c>
      <c r="E32" s="11" t="inlineStr">
        <is>
          <t>Italy</t>
        </is>
      </c>
      <c r="F32" s="11" t="inlineStr">
        <is>
          <t>Public (Borsa Italiana: DIA); Denegri family holds ~44% via IP Investimenti e Partecipazioni (family-controlled but publicly traded and valued - no hard-bar issue); no state ownership or compliance flags</t>
        </is>
      </c>
      <c r="G32" s="11" t="inlineStr">
        <is>
          <t>In-vitro diagnostics / life-science tools, sold globally</t>
        </is>
      </c>
      <c r="H32" s="11" t="inlineStr">
        <is>
          <t>1k-5k</t>
        </is>
      </c>
      <c r="I32" s="11" t="inlineStr">
        <is>
          <t>FY2025 revenue ~EUR 1.20B (~$1.3B), +0.81% YoY (source: stockanalysis.com). Passes &gt;$100M hard bar, though growth is very slow.</t>
        </is>
      </c>
      <c r="J32" s="11" t="inlineStr">
        <is>
          <t>Market cap ~EUR 3.79B (~$4.1B) as of Aug 31, 2026 (stockanalysis.com). Passes &gt;$1B hard bar.</t>
        </is>
      </c>
      <c r="K32" s="11" t="inlineStr">
        <is>
          <t>N/A (public company)</t>
        </is>
      </c>
      <c r="L32" s="11" t="inlineStr">
        <is>
          <t>meets parameters</t>
        </is>
      </c>
      <c r="M32" s="11" t="n">
        <v>4</v>
      </c>
      <c r="N32" s="11" t="inlineStr">
        <is>
          <t>Stretch</t>
        </is>
      </c>
      <c r="O32" s="11" t="inlineStr">
        <is>
          <t>Hard filters pass (revenue &gt;$100M, valuation ~$4.1B, headcount ~3,260, no F1 conflict, no ownership/compliance issue) and fit score is a strong 4/4, but near-flat FY2025 revenue growth (+0.81%) is a real reservation on the capacity-to-spend bar.</t>
        </is>
      </c>
      <c r="P32" s="11" t="inlineStr">
        <is>
          <t>Precision-diagnostics/lab-technology story for an open 'health &amp; diagnostics technology' sponsorship category, leveraging DiaSorin's global lab network and scientific credibility.</t>
        </is>
      </c>
      <c r="Q32" s="11" t="inlineStr">
        <is>
          <t>revenue growth nearly flat in FY2025 (+0.81% YoY) - reservation on 'clearly improving' capacity-to-spend criterion; family-controlled (Denegri family ~44% stake) - noted for transparency, not a hard-bar issue since publicly traded and valued</t>
        </is>
      </c>
      <c r="R32" s="11" t="inlineStr">
        <is>
          <t>verified-existing</t>
        </is>
      </c>
      <c r="S32" s="11" t="inlineStr">
        <is>
          <t>2026-09-28</t>
        </is>
      </c>
    </row>
    <row r="33">
      <c r="A33" s="11" t="n">
        <v>30</v>
      </c>
      <c r="B33" s="11" t="n">
        <v>64</v>
      </c>
      <c r="C33" s="11" t="inlineStr">
        <is>
          <t>Eppendorf SE</t>
        </is>
      </c>
      <c r="D33" s="11" t="inlineStr">
        <is>
          <t>eppendorf.com</t>
        </is>
      </c>
      <c r="E33" s="11" t="inlineStr">
        <is>
          <t>Hamburg, Germany</t>
        </is>
      </c>
      <c r="F33" s="11" t="inlineStr">
        <is>
          <t>Private, family-owned (Eppendorf family, held via a dedicated holding structure since Jan 2024 to preserve family control); no state, PE or public ownership</t>
        </is>
      </c>
      <c r="G33" s="11" t="inlineStr">
        <is>
          <t>Lab instruments and consumables (pipettes, centrifuges, bioprocess/liquid-handling equipment) to research, clinical and industrial labs worldwide</t>
        </is>
      </c>
      <c r="H33" s="11" t="inlineStr">
        <is>
          <t>1k-5k</t>
        </is>
      </c>
      <c r="I33" s="11" t="inlineStr">
        <is>
          <t>€980.3M (~$1.05B) FY2024, down 9.1% YoY, per Eppendorf Annual Report 2024/2025 (corporate.eppendorf.com); FY2025 figure not separately disclosed in sources found, but company states profitability rose via cost optimization in a 'challenging' 2025 for life-sciences tools</t>
        </is>
      </c>
      <c r="J33" s="11" t="inlineStr">
        <is>
          <t>N/A - family-owned, no published market cap/valuation (2025 Annual Report); passes hard bar on revenue alone per family-owned exception</t>
        </is>
      </c>
      <c r="K33" s="11" t="inlineStr">
        <is>
          <t>N/A - privately held, family-owned; no external financing round disclosed as of 2025</t>
        </is>
      </c>
      <c r="L33" s="11" t="inlineStr">
        <is>
          <t>meets parameters</t>
        </is>
      </c>
      <c r="M33" s="11" t="n">
        <v>4</v>
      </c>
      <c r="N33" s="11" t="inlineStr">
        <is>
          <t>Stretch</t>
        </is>
      </c>
      <c r="O33" s="11" t="inlineStr">
        <is>
          <t>Hard filters pass (revenue clears &gt;$100M via family-owned exception on valuation; headcount 4,948 in 1k-5k band; global commercial reach; no F1 sponsorship ties found; private family ownership with no compliance issues) and fit score is strong (4), but a real reservation exists: FY2024 revenue declined 9% and the 2025 profitability improvement came from cost-cutting rather than confirmed growth, leaving the trend on ~$3.5M/yr sponsorship capacity uncertain.</t>
        </is>
      </c>
      <c r="P33" s="11" t="inlineStr">
        <is>
          <t>Precision-instrumentation angle: Eppendorf's pipetting/liquid-handling accuracy story pairs naturally with F1 pit-stop and setup precision; open category since no lab/life-science-instruments brand currently sponsors a team.</t>
        </is>
      </c>
      <c r="Q33" s="11" t="inlineStr">
        <is>
          <t>family-owned, no published valuation; FY2024 revenue fell 9.1% YoY and FY2025 profitability gains were driven by cost optimization rather than growth, amid an industry-wide life-sciences destocking cycle</t>
        </is>
      </c>
      <c r="R33" s="11" t="inlineStr">
        <is>
          <t>verified-existing</t>
        </is>
      </c>
      <c r="S33" s="11" t="inlineStr">
        <is>
          <t>2026-09-28</t>
        </is>
      </c>
    </row>
    <row r="34">
      <c r="A34" s="11" t="n">
        <v>31</v>
      </c>
      <c r="B34" s="11" t="n">
        <v>64</v>
      </c>
      <c r="C34" s="11" t="inlineStr">
        <is>
          <t>PCI Pharma Services</t>
        </is>
      </c>
      <c r="D34" s="11" t="inlineStr">
        <is>
          <t>pci.com</t>
        </is>
      </c>
      <c r="E34" s="11" t="inlineStr">
        <is>
          <t>Philadelphia (Bala Cynwyd), Pennsylvania, United States</t>
        </is>
      </c>
      <c r="F34" s="11" t="inlineStr">
        <is>
          <t>Private, PE-owned - majority stake acquired by a Kohlberg &amp; Company / Bain Capital-led consortium (announced Jul 14, 2025, closing 2H2025), with Mubadala Investment Company (Abu Dhabi sovereign wealth fund) reinvesting alongside and Partners Group retaining a minority stake (~EUR83M valuation on its retained piece, per Partners Group/Investing.com disclosures, Jul 2025)</t>
        </is>
      </c>
      <c r="G34" s="11" t="inlineStr">
        <is>
          <t>CDMO services - clinical &amp; commercial drug packaging, sterile fill-finish and drug-device combination manufacturing for global pharma/biotech clients</t>
        </is>
      </c>
      <c r="H34" s="11" t="inlineStr">
        <is>
          <t>5k-10k</t>
        </is>
      </c>
      <c r="I34" s="11" t="inlineStr">
        <is>
          <t>No audited figure disclosed (private company); third-party estimates range widely from ~$500M-$1B (Owler) to $2.7B (ZoomInfo) as of 2025/2026 - likely clears the &gt;$100M hard bar given 7,500+ employees across 38 sites, but the exact figure is unverified (est)</t>
        </is>
      </c>
      <c r="J34" s="11" t="inlineStr">
        <is>
          <t>No standalone published enterprise valuation; PGPE Ltd's retained minority stake was valued at ~EUR83M in the Jul 2025 recap (Investing.com/Partners Group press release), which implies but does not confirm an overall EV at or above $1B (est)</t>
        </is>
      </c>
      <c r="K34" s="11" t="inlineStr">
        <is>
          <t>Jul 14, 2025 - Kohlberg/Bain Capital-led recapitalization with Mubadala reinvestment and a Partners Group minority reinvestment, explicitly framed as capital for the 'next phase of growth' (pci.com, businesswire.com, Ropes &amp; Gray)</t>
        </is>
      </c>
      <c r="L34" s="11" t="inlineStr">
        <is>
          <t>meets parameters</t>
        </is>
      </c>
      <c r="M34" s="11" t="n">
        <v>4</v>
      </c>
      <c r="N34" s="11" t="inlineStr">
        <is>
          <t>Stretch</t>
        </is>
      </c>
      <c r="O34" s="11" t="inlineStr">
        <is>
          <t>Headcount (7,500+, 5k-10k band) and the Jul 2025 growth-oriented recapitalization support capacity to spend, and no F1 sponsorship ties were found, but revenue and valuation both lack verifiable figures (only widely divergent third-party estimates), and a minority sovereign-wealth stake (Mubadala) is present - real reservations on uncertain figures plus a minority state stake per protocol, despite a strong fit score (4).</t>
        </is>
      </c>
      <c r="P34" s="11" t="inlineStr">
        <is>
          <t>Trusted-precision-partner angle - PCI's role as the critical last-mile packaging/fill-finish partner for global pharma launches mirrors an F1 pit-crew precision story; the 2025 growth capital raise supports a market-timing pitch.</t>
        </is>
      </c>
      <c r="Q34" s="11" t="inlineStr">
        <is>
          <t>Mubadala (Abu Dhabi sovereign wealth fund) holds a minority reinvestment stake alongside Kohlberg/Bain - minority state-linked ownership; no clean published revenue or valuation figure - third-party estimates vary roughly 5x; PE ownership chain reset in Jul 2025 (new Kohlberg/Bain-led consortium), so PE tenure is fresh, not yet a 4+ year concern</t>
        </is>
      </c>
      <c r="R34" s="11" t="inlineStr">
        <is>
          <t>verified-existing</t>
        </is>
      </c>
      <c r="S34" s="11" t="inlineStr">
        <is>
          <t>2026-09-28</t>
        </is>
      </c>
    </row>
    <row r="35">
      <c r="A35" s="11" t="n">
        <v>32</v>
      </c>
      <c r="B35" s="11" t="n">
        <v>64</v>
      </c>
      <c r="C35" s="11" t="inlineStr">
        <is>
          <t>Sai Life Sciences</t>
        </is>
      </c>
      <c r="D35" s="11" t="inlineStr">
        <is>
          <t>sailife.com</t>
        </is>
      </c>
      <c r="E35" s="11" t="inlineStr">
        <is>
          <t>India</t>
        </is>
      </c>
      <c r="F35" s="11" t="inlineStr">
        <is>
          <t>Public (NSE: SAILIFE), 2024 IPO</t>
        </is>
      </c>
      <c r="G35" s="11" t="inlineStr">
        <is>
          <t>CRDMO (contract research, development &amp; manufacturing for pharma)</t>
        </is>
      </c>
      <c r="H35" s="11" t="inlineStr">
        <is>
          <t>1k-5k</t>
        </is>
      </c>
      <c r="I35" s="11" t="inlineStr">
        <is>
          <t>₹1,695 Cr FY25, +16% YoY, net profit +105% (sailife.com FY25 results release, ~2025); ~$193M (est. USD conversion)</t>
        </is>
      </c>
      <c r="J35" s="11" t="inlineStr">
        <is>
          <t>market cap ₹34,156.85 Cr (~$3.9B est.) as of Sept 22, 2026 (marketcap.company)</t>
        </is>
      </c>
      <c r="K35" s="11" t="inlineStr">
        <is>
          <t>N/A - public since 2024 IPO, profit growing 105% YoY (clearly improving, not pre-revenue)</t>
        </is>
      </c>
      <c r="L35" s="11" t="inlineStr">
        <is>
          <t>meets parameters</t>
        </is>
      </c>
      <c r="M35" s="11" t="n">
        <v>4</v>
      </c>
      <c r="N35" s="11" t="inlineStr">
        <is>
          <t>Stretch</t>
        </is>
      </c>
      <c r="O35" s="11" t="inlineStr">
        <is>
          <t>Revenue (~$193M est) and valuation (~$3.9B est) clear hard bars, headcount and F1/ownership checks pass, but real reservation: rising client concentration (top 10 = 54% of revenue) plus short public track record since 2024 IPO make the audience/durability picture less certain than the raw numbers suggest.</t>
        </is>
      </c>
      <c r="P35" s="11" t="inlineStr">
        <is>
          <t>India's CRDMO ambition on the global stage - align Sai's post-IPO growth story and precision drug-development narrative with an emerging-market timing angle (India's expanding role in global pharma supply chains).</t>
        </is>
      </c>
      <c r="Q35" s="11" t="inlineStr">
        <is>
          <t>customer concentration: top 10 clients = 54% of FY26 revenue, top 5 = 37%, rising from 28% in FY22 (Yahoo Finance Q4 FY26 earnings coverage)</t>
        </is>
      </c>
      <c r="R35" s="11" t="inlineStr">
        <is>
          <t>verified-existing</t>
        </is>
      </c>
      <c r="S35" s="11" t="inlineStr">
        <is>
          <t>2026-09-28</t>
        </is>
      </c>
    </row>
    <row r="36">
      <c r="A36" s="11" t="n">
        <v>33</v>
      </c>
      <c r="B36" s="11" t="n">
        <v>64</v>
      </c>
      <c r="C36" s="11" t="inlineStr">
        <is>
          <t>Syngene International</t>
        </is>
      </c>
      <c r="D36" s="11" t="inlineStr">
        <is>
          <t>syngeneintl.com</t>
        </is>
      </c>
      <c r="E36" s="11" t="inlineStr">
        <is>
          <t>India</t>
        </is>
      </c>
      <c r="F36" s="11" t="inlineStr">
        <is>
          <t>Public (NSE/BSE: SYNGENE); majority-owned (~70%) by Biocon Ltd but independently publicly listed - flag: parent: Biocon (no F1 ties found)</t>
        </is>
      </c>
      <c r="G36" s="11" t="inlineStr">
        <is>
          <t>CRO/CDMO (drug discovery, development &amp; manufacturing services)</t>
        </is>
      </c>
      <c r="H36" s="11" t="inlineStr">
        <is>
          <t>5k-10k</t>
        </is>
      </c>
      <c r="I36" s="11" t="inlineStr">
        <is>
          <t>TTM revenue $423M as of FY26/March 2026, +3% YoY (companiesmarketcap.com / investor presentation Q4 FY26)</t>
        </is>
      </c>
      <c r="J36" s="11" t="inlineStr">
        <is>
          <t>market cap ~$1.86B-2.2B (stockanalysis.com June 2026 / companiesmarketcap.com, figures vary by date)</t>
        </is>
      </c>
      <c r="K36" s="11" t="inlineStr">
        <is>
          <t>N/A - public, parent-backed, modest but positive growth (not distress)</t>
        </is>
      </c>
      <c r="L36" s="11" t="inlineStr">
        <is>
          <t>meets parameters</t>
        </is>
      </c>
      <c r="M36" s="11" t="n">
        <v>4</v>
      </c>
      <c r="N36" s="11" t="inlineStr">
        <is>
          <t>Stretch</t>
        </is>
      </c>
      <c r="O36" s="11" t="inlineStr">
        <is>
          <t>Revenue ($423M) and market cap (~$1.9-2.2B) both clear hard bars, no F1 ties found for Syngene or parent Biocon, no state-ownership issue - but headcount figures are genuinely inconsistent across sources (uncertain figure) and growth is modest (3% YoY), so this stops short of a clean Yes.</t>
        </is>
      </c>
      <c r="P36" s="11" t="inlineStr">
        <is>
          <t>Biocon-backed scale plus independent public-market credibility - pitch Syngene as India's flagship precision drug-discovery partner riding the same 'global ambition from an emerging powerhouse' narrative as India's broader tech/pharma rise.</t>
        </is>
      </c>
      <c r="Q36" s="11" t="inlineStr">
        <is>
          <t>headcount figures conflict across sources (3,022 to 8,300+ depending on source/date); majority-owned (~70%) by Biocon Ltd - not wholly-owned, but a concentration of control worth noting</t>
        </is>
      </c>
      <c r="R36" s="11" t="inlineStr">
        <is>
          <t>verified-existing</t>
        </is>
      </c>
      <c r="S36" s="11" t="inlineStr">
        <is>
          <t>2026-09-28</t>
        </is>
      </c>
    </row>
    <row r="37">
      <c r="A37" s="11" t="n">
        <v>34</v>
      </c>
      <c r="B37" s="11" t="n">
        <v>64</v>
      </c>
      <c r="C37" s="11" t="inlineStr">
        <is>
          <t>BioNTech SE</t>
        </is>
      </c>
      <c r="D37" s="11" t="inlineStr">
        <is>
          <t>biontech.com</t>
        </is>
      </c>
      <c r="E37" s="11" t="inlineStr">
        <is>
          <t>Germany</t>
        </is>
      </c>
      <c r="F37" s="11" t="inlineStr">
        <is>
          <t>Public (NASDAQ: BNTX); founder-controlled significant stake (Sahin/Tureci and early Struengmann family investors), no state ownership</t>
        </is>
      </c>
      <c r="G37" s="11" t="inlineStr">
        <is>
          <t>mRNA biopharmaceuticals (vaccines, oncology pipeline)</t>
        </is>
      </c>
      <c r="H37" s="11" t="inlineStr">
        <is>
          <t>5k-10k</t>
        </is>
      </c>
      <c r="I37" s="11" t="inlineStr">
        <is>
          <t>~$3.35B / reported as ~€2.9B FY2025 depending on source, figures diverge amid COVID-vaccine revenue decline (stockanalysis.com / macrotrends, FY2025) (est)</t>
        </is>
      </c>
      <c r="J37" s="11" t="inlineStr">
        <is>
          <t>market cap ~$24-26B as of Sept 2026 (stockanalysis.com)</t>
        </is>
      </c>
      <c r="K37" s="11" t="inlineStr">
        <is>
          <t>N/A - public, but backed by €17.2B cash/securities reserve (year-end 2025), funding an oncology pivot</t>
        </is>
      </c>
      <c r="L37" s="11" t="inlineStr">
        <is>
          <t>exceeds - mega-brand</t>
        </is>
      </c>
      <c r="M37" s="11" t="n">
        <v>4</v>
      </c>
      <c r="N37" s="11" t="inlineStr">
        <is>
          <t>Stretch</t>
        </is>
      </c>
      <c r="O37" s="11" t="inlineStr">
        <is>
          <t>Market cap (~$24-26B) clears the valuation bar by a wide margin and the balance sheet (€17.2B cash) shows clear capacity to spend, but the revenue figure itself is genuinely uncertain (sources disagree, and the core COVID-vaccine business is declining while oncology revenue is not yet material) - an 'uncertain figure' reservation.</t>
        </is>
      </c>
      <c r="P37" s="11" t="inlineStr">
        <is>
          <t>BioNTech's pivot from pandemic-response speed to oncology precision - 'engineering the next cure at the same speed we engineered the vaccine' - a science-and-speed narrative that echoes F1's rapid-iteration engineering culture.</t>
        </is>
      </c>
      <c r="Q37" s="11" t="inlineStr">
        <is>
          <t>revenue trajectory uncertain/declining as COVID-vaccine royalties fade while oncology pipeline is still pre-commercial; reported 2025 revenue figures conflict meaningfully across sources ($3.35B vs €2.9B)</t>
        </is>
      </c>
      <c r="R37" s="11" t="inlineStr">
        <is>
          <t>verified-existing</t>
        </is>
      </c>
      <c r="S37" s="11" t="inlineStr">
        <is>
          <t>2026-09-28</t>
        </is>
      </c>
    </row>
    <row r="38">
      <c r="A38" s="11" t="n">
        <v>35</v>
      </c>
      <c r="B38" s="11" t="n">
        <v>64</v>
      </c>
      <c r="C38" s="11" t="inlineStr">
        <is>
          <t>Delpharm</t>
        </is>
      </c>
      <c r="D38" s="11" t="inlineStr">
        <is>
          <t>delpharm.com</t>
        </is>
      </c>
      <c r="E38" s="11" t="inlineStr">
        <is>
          <t>France</t>
        </is>
      </c>
      <c r="F38" s="11" t="inlineStr">
        <is>
          <t>Private, founder/management-owned (Pitchbook: 100% management ownership) with minority institutional financing partners (Audacia, Credit Agricole Regions Investissement, IDIA Capital Investissement, Capza, Kartesia Management)</t>
        </is>
      </c>
      <c r="G38" s="11" t="inlineStr">
        <is>
          <t>CDMO manufacturing (pharma contract manufacturing across 18 sites)</t>
        </is>
      </c>
      <c r="H38" s="11" t="inlineStr">
        <is>
          <t>5k-10k</t>
        </is>
      </c>
      <c r="I38" s="11" t="inlineStr">
        <is>
          <t>~€1.5-1.65B (2024, est.) - sources conflict on currency/precision (delpharm.com key-figures page and press materials; one aggregator mislabels the figure as CAD); more than 1 billion boxes produced annually</t>
        </is>
      </c>
      <c r="J38" s="11" t="inlineStr">
        <is>
          <t>No published valuation found - treated as founder/management-owned (no-valuation exception), passes on revenue alone</t>
        </is>
      </c>
      <c r="K38" s="11" t="inlineStr">
        <is>
          <t>N/A private; recent $60M investment in Quebec sterile-manufacturing upgrade signals expansion, not distress (delpharm press release)</t>
        </is>
      </c>
      <c r="L38" s="11" t="inlineStr">
        <is>
          <t>meets parameters</t>
        </is>
      </c>
      <c r="M38" s="11" t="n">
        <v>4</v>
      </c>
      <c r="N38" s="11" t="inlineStr">
        <is>
          <t>Stretch</t>
        </is>
      </c>
      <c r="O38" s="11" t="inlineStr">
        <is>
          <t>Revenue (~€1.5B+, well above the $100M bar) passes on the no-valuation exception for a founder/management-owned private company, headcount 6,500+, no F1 ties or compliance/ownership issues found - but the valuation figure is genuinely unverifiable and the ownership mix (management + several institutional investors) is less clean than a classic family-owned case, so this stays a Stretch rather than a clean Yes.</t>
        </is>
      </c>
      <c r="P38" s="11" t="inlineStr">
        <is>
          <t>Delpharm's 'one billion doses of precision, every year' industrial-scale manufacturing story - a European manufacturing-excellence angle that plays well against F1's own supply-chain and precision-manufacturing narrative.</t>
        </is>
      </c>
      <c r="Q38" s="11" t="inlineStr">
        <is>
          <t>founder/management-owned, no published valuation (per Track A treatment); minority PE/institutional investors present (Capza, Kartesia) alongside management ownership - duration of any PE involvement not confirmed</t>
        </is>
      </c>
      <c r="R38" s="11" t="inlineStr">
        <is>
          <t>verified-existing</t>
        </is>
      </c>
      <c r="S38" s="11" t="inlineStr">
        <is>
          <t>2026-09-28</t>
        </is>
      </c>
    </row>
    <row r="39">
      <c r="A39" s="11" t="n">
        <v>36</v>
      </c>
      <c r="B39" s="11" t="n">
        <v>64</v>
      </c>
      <c r="C39" s="11" t="inlineStr">
        <is>
          <t>Exact Sciences</t>
        </is>
      </c>
      <c r="D39" s="11" t="inlineStr">
        <is>
          <t>exactsciences.com</t>
        </is>
      </c>
      <c r="E39" s="11" t="inlineStr">
        <is>
          <t>United States</t>
        </is>
      </c>
      <c r="F39" s="11" t="inlineStr">
        <is>
          <t>Wholly-owned subsidiary of Abbott Laboratories - acquisition completed March 23, 2026 (~$21B equity value / ~$23B EV); no longer independently publicly traded (delisted from Nasdaq March 20, 2026) - flag: parent: Abbott Laboratories (no F1/team/series ties found for Abbott)</t>
        </is>
      </c>
      <c r="G39" s="11" t="inlineStr">
        <is>
          <t>Molecular diagnostics (Cologuard cancer screening, Oncotype DX precision oncology)</t>
        </is>
      </c>
      <c r="H39" s="11" t="inlineStr">
        <is>
          <t>5k-10k</t>
        </is>
      </c>
      <c r="I39" s="11" t="inlineStr">
        <is>
          <t>Standalone FY2025 revenue $3.25B, +18% YoY (exactsciences.com press release, Feb 2026); expected to contribute ~$3.2B to Abbott's 2026 sales post-acquisition (Abbott Q1 2026 results, PR Newswire, Apr 2026)</t>
        </is>
      </c>
      <c r="J39" s="11" t="inlineStr">
        <is>
          <t>No longer independently valued - acquired by Abbott for ~$21B equity/~$23B EV (announced Oct 2025, closed Mar 23, 2026); parent Abbott is a large-cap public company (market cap far exceeds $1B)</t>
        </is>
      </c>
      <c r="K39" s="11" t="inlineStr">
        <is>
          <t>N/A - now funded via Abbott's balance sheet as a wholly-owned division</t>
        </is>
      </c>
      <c r="L39" s="11" t="inlineStr">
        <is>
          <t>exceeds - mega-brand</t>
        </is>
      </c>
      <c r="M39" s="11" t="n">
        <v>4</v>
      </c>
      <c r="N39" s="11" t="inlineStr">
        <is>
          <t>Stretch</t>
        </is>
      </c>
      <c r="O39" s="11" t="inlineStr">
        <is>
          <t>Revenue ($3.25B standalone / ~$3.2B contribution to Abbott) and parent valuation clear hard bars by a wide margin, headcount and audience checks pass, and Abbott itself has no known F1 ties - but the underlying triage assumed an independent public company, and the March 2026 acquisition fundamentally changes who the outreach target and budget-holder actually is, which is a material reservation the desk triage did not have.</t>
        </is>
      </c>
      <c r="P39" s="11" t="inlineStr">
        <is>
          <t>If pursued, the pitch should be reframed at Abbott corporate rather than Exact Sciences alone - Abbott's broader diagnostics/health-innovation portfolio (now including Cologuard/Oncotype DX) as a 'precision health meets precision engineering' sponsorship story.</t>
        </is>
      </c>
      <c r="Q39" s="11" t="inlineStr">
        <is>
          <t>now a wholly-owned Abbott subsidiary since March 2026 - sponsorship decision authority no longer sits with an independent Exact Sciences C-suite/marketing budget; outreach would need to route through Abbott corporate</t>
        </is>
      </c>
      <c r="R39" s="11" t="inlineStr">
        <is>
          <t>verified-existing</t>
        </is>
      </c>
      <c r="S39" s="11" t="inlineStr">
        <is>
          <t>2026-09-28</t>
        </is>
      </c>
    </row>
    <row r="40">
      <c r="A40" s="11" t="n">
        <v>37</v>
      </c>
      <c r="B40" s="11" t="n">
        <v>64</v>
      </c>
      <c r="C40" s="11" t="inlineStr">
        <is>
          <t>Getinge Life Science</t>
        </is>
      </c>
      <c r="D40" s="11" t="inlineStr">
        <is>
          <t>getinge.com</t>
        </is>
      </c>
      <c r="E40" s="11" t="inlineStr">
        <is>
          <t>Sweden</t>
        </is>
      </c>
      <c r="F40" s="11" t="inlineStr">
        <is>
          <t>Division/business area of Getinge AB (public, Nasdaq Stockholm: GETI-B); no state or sovereign ownership found</t>
        </is>
      </c>
      <c r="G40" s="11" t="inlineStr">
        <is>
          <t>Bioprocessing/lab equipment</t>
        </is>
      </c>
      <c r="H40" s="11" t="inlineStr">
        <is>
          <t>5k-10k</t>
        </is>
      </c>
      <c r="I40" s="11" t="inlineStr">
        <is>
          <t>Getinge AB group net sales $3.574B FY2025, +8.69% YoY (stockanalysis.com); segment-specific Life Science revenue not separately disclosed in sources found (est. a fraction of group total, one of three business areas)</t>
        </is>
      </c>
      <c r="J40" s="11" t="inlineStr">
        <is>
          <t>Getinge AB group market cap ~$5.85B as of July 2026 (stockanalysis.com); segment not separately valued</t>
        </is>
      </c>
      <c r="K40" s="11" t="inlineStr">
        <is>
          <t>N/A - public parent, group revenue growing ~8.7% YoY (not clearly in distress, though current profitability trend not independently confirmed)</t>
        </is>
      </c>
      <c r="L40" s="11" t="inlineStr">
        <is>
          <t>meets parameters</t>
        </is>
      </c>
      <c r="M40" s="11" t="n">
        <v>4</v>
      </c>
      <c r="N40" s="11" t="inlineStr">
        <is>
          <t>Stretch</t>
        </is>
      </c>
      <c r="O40" s="11" t="inlineStr">
        <is>
          <t>Group-level revenue ($3.57B) and market cap (~$5.85B) both clear hard bars comfortably and no F1/ownership issues were found, but the Life Science segment's own revenue, headcount and profitability are not independently disclosed or confirmed - an 'uncertain figure' reservation on the actual sponsorship-relevant entity.</t>
        </is>
      </c>
      <c r="P40" s="11" t="inlineStr">
        <is>
          <t>Getinge Life Science's bioprocessing/lab equipment precision story, tied to Sweden's engineering-excellence reputation - a 'Nordic precision engineering' angle distinct from anything currently on the grid, best pursued once segment-level financials are confirmed directly with the company.</t>
        </is>
      </c>
      <c r="Q40" s="11" t="inlineStr">
        <is>
          <t>division of public parent - financials and headcount are group-level (~30,000 employees, 3 business areas), not segment-specific; segment headcount estimate (5k-10k) is uncertain relative to input's 10,000+ estimate</t>
        </is>
      </c>
      <c r="R40" s="11" t="inlineStr">
        <is>
          <t>verified-existing</t>
        </is>
      </c>
      <c r="S40" s="11" t="inlineStr">
        <is>
          <t>2026-09-28</t>
        </is>
      </c>
    </row>
    <row r="41">
      <c r="A41" s="11" t="n">
        <v>38</v>
      </c>
      <c r="B41" s="11" t="n">
        <v>64</v>
      </c>
      <c r="C41" s="11" t="inlineStr">
        <is>
          <t>Ajinomoto Bio-Pharma Services</t>
        </is>
      </c>
      <c r="D41" s="11" t="inlineStr">
        <is>
          <t>ajinomoto-bio-pharma.com</t>
        </is>
      </c>
      <c r="E41" s="11" t="inlineStr">
        <is>
          <t>United States (global CDMO network: US, Belgium, India, Japan)</t>
        </is>
      </c>
      <c r="F41" s="11" t="inlineStr">
        <is>
          <t>Wholly-owned division of Ajinomoto Co., Inc. (public, Tokyo Stock Exchange: 2802)</t>
        </is>
      </c>
      <c r="G41" s="11" t="inlineStr">
        <is>
          <t>Biologics / small-molecule / gene-therapy / ADC CDMO services</t>
        </is>
      </c>
      <c r="H41" s="11" t="inlineStr">
        <is>
          <t>201-1k (est) — third-party sources conflict widely, from ~150 to ~1,400</t>
        </is>
      </c>
      <c r="I41" s="11" t="inlineStr">
        <is>
          <t>Not broken out separately by parent; third-party estimates range $400-750M (est) (Growjo/Bitscale, 2025); parent's combined 'Bio-Pharma Services &amp; Ingredients' segment sits within Ajinomoto's ¥328.3B Healthcare &amp; Others segment (ajinomoto.com FY2025 filings)</t>
        </is>
      </c>
      <c r="J41" s="11" t="inlineStr">
        <is>
          <t>Not published for the division; parent Ajinomoto Co. market cap ~$31-32B USD as of Sept 2026 (stockanalysis.com/tradingeconomics)</t>
        </is>
      </c>
      <c r="K41" s="11" t="inlineStr">
        <is>
          <t>n/a — division of publicly traded parent, no independent fundraising</t>
        </is>
      </c>
      <c r="L41" s="11" t="inlineStr">
        <is>
          <t>meets parameters</t>
        </is>
      </c>
      <c r="M41" s="11" t="n">
        <v>4</v>
      </c>
      <c r="N41" s="11" t="inlineStr">
        <is>
          <t>Stretch</t>
        </is>
      </c>
      <c r="O41" s="11" t="inlineStr">
        <is>
          <t>Hard filters plausibly pass via the large, profitable public parent (Ajinomoto Co. market cap ~$31B; no F1 ties for parent or division; well above headcount floor) but the division's own revenue is not disclosed and third-party estimates conflict sharply — this uncertain figure keeps the verdict at Stretch rather than Yes.</t>
        </is>
      </c>
      <c r="P41" s="11" t="inlineStr">
        <is>
          <t>Biologics/gene-therapy manufacturing precision story tied into Ajinomoto's broader life-science ambitions; open CDMO category on the grid.</t>
        </is>
      </c>
      <c r="Q41" s="11" t="inlineStr">
        <is>
          <t>Parent: Ajinomoto Co., Inc. (public, Japan) — no F1 ties found for parent or division; Division revenue not separately disclosed; third-party estimates vary widely ($21M-$750M across sources)</t>
        </is>
      </c>
      <c r="R41" s="11" t="inlineStr">
        <is>
          <t>verified-existing</t>
        </is>
      </c>
      <c r="S41" s="11" t="inlineStr">
        <is>
          <t>2026-09-28</t>
        </is>
      </c>
    </row>
    <row r="42">
      <c r="A42" s="11" t="n">
        <v>39</v>
      </c>
      <c r="B42" s="11" t="n">
        <v>64</v>
      </c>
      <c r="C42" s="11" t="inlineStr">
        <is>
          <t>Rentschler Biopharma</t>
        </is>
      </c>
      <c r="D42" s="11" t="inlineStr">
        <is>
          <t>rentschler-biopharma.com</t>
        </is>
      </c>
      <c r="E42" s="11" t="inlineStr">
        <is>
          <t>Germany (Laupheim)</t>
        </is>
      </c>
      <c r="F42" s="11" t="inlineStr">
        <is>
          <t>Private, family-owned (Rentschler family, via Dr. Rentschler Holding GmbH &amp; Co. KG)</t>
        </is>
      </c>
      <c r="G42" s="11" t="inlineStr">
        <is>
          <t>Biologics CDMO</t>
        </is>
      </c>
      <c r="H42" s="11" t="inlineStr">
        <is>
          <t>201-1k (784 employees at Rentschler Biopharma SE, March 2026 per Revelio Labs; other sources cite ~1,400 including holding co. — conflicting)</t>
        </is>
      </c>
      <c r="I42" s="11" t="inlineStr">
        <is>
          <t>(est) ~€400-500M; third-party estimates otherwise cite a wide $100-500M (est) range (Owler/PitchBook, 2026) — not independently confirmed, private company</t>
        </is>
      </c>
      <c r="J42" s="11" t="inlineStr">
        <is>
          <t>Not published (private, family-owned)</t>
        </is>
      </c>
      <c r="K42" s="11" t="inlineStr">
        <is>
          <t>n/a — no public fundraising rounds identified; privately held</t>
        </is>
      </c>
      <c r="L42" s="11" t="inlineStr">
        <is>
          <t>meets parameters</t>
        </is>
      </c>
      <c r="M42" s="11" t="n">
        <v>4</v>
      </c>
      <c r="N42" s="11" t="inlineStr">
        <is>
          <t>Stretch</t>
        </is>
      </c>
      <c r="O42" s="11" t="inlineStr">
        <is>
          <t>Family-owned with no published valuation passes on revenue alone per protocol, and no F1 conflicts were found, but the revenue figure is an unconfirmed, wide estimate (~€400-500M, private company, no audited public disclosure) and employee counts conflict across sources — these uncertainties keep this at Stretch.</t>
        </is>
      </c>
      <c r="P42" s="11" t="inlineStr">
        <is>
          <t>German precision-engineering/biologics-manufacturing heritage brand story; open CDMO category on the grid.</t>
        </is>
      </c>
      <c r="Q42" s="11" t="inlineStr">
        <is>
          <t>Family-owned, no published valuation; Conflicting employee counts across sources (784 vs. ~1,400)</t>
        </is>
      </c>
      <c r="R42" s="11" t="inlineStr">
        <is>
          <t>verified-existing</t>
        </is>
      </c>
      <c r="S42" s="11" t="inlineStr">
        <is>
          <t>2026-09-28</t>
        </is>
      </c>
    </row>
    <row r="43">
      <c r="A43" s="11" t="n">
        <v>40</v>
      </c>
      <c r="B43" s="11" t="n">
        <v>64</v>
      </c>
      <c r="C43" s="11" t="inlineStr">
        <is>
          <t>Meissner Filtration Products</t>
        </is>
      </c>
      <c r="D43" s="11" t="inlineStr">
        <is>
          <t>meissner.com</t>
        </is>
      </c>
      <c r="E43" s="11" t="inlineStr">
        <is>
          <t>United States</t>
        </is>
      </c>
      <c r="F43" s="11" t="inlineStr">
        <is>
          <t>Private, family-owned</t>
        </is>
      </c>
      <c r="G43" s="11" t="inlineStr">
        <is>
          <t>Single-use bioprocessing components</t>
        </is>
      </c>
      <c r="H43" s="11" t="inlineStr">
        <is>
          <t>201-1k</t>
        </is>
      </c>
      <c r="I43" s="11" t="inlineStr">
        <is>
          <t>Conflicting third-party estimates $11.7M-$196.5M (Growjo/Zippia/IncFact/Owler), no official disclosure; ~$150-200M plausible given ~500-1,000 verified employees (est)</t>
        </is>
      </c>
      <c r="J43" s="11" t="inlineStr">
        <is>
          <t>Not published (family-owned)</t>
        </is>
      </c>
      <c r="K43" s="11" t="inlineStr">
        <is>
          <t>N/A - family-owned, no external funding rounds found</t>
        </is>
      </c>
      <c r="L43" s="11" t="inlineStr">
        <is>
          <t>meets parameters</t>
        </is>
      </c>
      <c r="M43" s="11" t="n">
        <v>4</v>
      </c>
      <c r="N43" s="11" t="inlineStr">
        <is>
          <t>Stretch</t>
        </is>
      </c>
      <c r="O43" s="11" t="inlineStr">
        <is>
          <t>No F1 conflict found. Revenue hard bar plausibly met (~$150-200M est) but genuinely uncertain - third-party estimates range $11.7M-$196.5M with no official disclosure; verified headcount (~500-1,000, LinkedIn/Revelio) is smaller than input's claimed 1,500+. Family-owned, no published valuation (passes valuation bar via family-owned rule). Real reservation = uncertain revenue figure.</t>
        </is>
      </c>
      <c r="P43" s="11" t="inlineStr">
        <is>
          <t>Family-owned bioprocessing/single-use filtration leader - precision engineering plus global biotech growth story; open life-sciences category on the 2026 grid (est).</t>
        </is>
      </c>
      <c r="Q43" s="11" t="inlineStr">
        <is>
          <t>family-owned, no published valuation; revenue estimate highly uncertain - conflicting third-party figures</t>
        </is>
      </c>
      <c r="R43" s="11" t="inlineStr">
        <is>
          <t>verified-existing</t>
        </is>
      </c>
      <c r="S43" s="11" t="inlineStr">
        <is>
          <t>2026-09-28</t>
        </is>
      </c>
    </row>
    <row r="44">
      <c r="A44" s="11" t="n">
        <v>41</v>
      </c>
      <c r="B44" s="11" t="n">
        <v>64</v>
      </c>
      <c r="C44" s="11" t="inlineStr">
        <is>
          <t>Minakem</t>
        </is>
      </c>
      <c r="D44" s="11" t="inlineStr">
        <is>
          <t>minakem.com</t>
        </is>
      </c>
      <c r="E44" s="11" t="inlineStr">
        <is>
          <t>France</t>
        </is>
      </c>
      <c r="F44" s="11" t="inlineStr">
        <is>
          <t>Private, founder-majority owned (Frédéric Gauchet via Minafin Group) with PE minority investors (Siparex, Quilvest Capital Partners, Crédit Mutuel Equity, IRD Entrepreneurs) since a July 2021 reinvestment round; input's claim of an Ardian majority stake is not correct - Ardian sold its stake in that 2021 transaction</t>
        </is>
      </c>
      <c r="G44" s="11" t="inlineStr">
        <is>
          <t>Fine chemicals/API CDMO</t>
        </is>
      </c>
      <c r="H44" s="11" t="inlineStr">
        <is>
          <t>201-1k</t>
        </is>
      </c>
      <c r="I44" s="11" t="inlineStr">
        <is>
          <t>€115.1M (2024, single French legal entity MINAKEM SAS, pappers.fr/societe.com filing); consolidated group figure (with Beuvry, Dunkerque, Canada sites) not published but likely higher given 700+ group employees (est, likely $150-200M+ consolidated)</t>
        </is>
      </c>
      <c r="J44" s="11" t="inlineStr">
        <is>
          <t>Not disclosed; founder/PE-owned, no published valuation</t>
        </is>
      </c>
      <c r="K44" s="11" t="inlineStr">
        <is>
          <t>Equity reinvestment transaction, July 2021 (Siparex/Quilvest/Crédit Mutuel Equity/IRD/Minafin management) - not a recent GTM raise</t>
        </is>
      </c>
      <c r="L44" s="11" t="inlineStr">
        <is>
          <t>meets parameters</t>
        </is>
      </c>
      <c r="M44" s="11" t="n">
        <v>4</v>
      </c>
      <c r="N44" s="11" t="inlineStr">
        <is>
          <t>Stretch</t>
        </is>
      </c>
      <c r="O44" s="11" t="inlineStr">
        <is>
          <t>No F1 conflict found. Revenue plausibly clears the $100M bar (one subsidiary alone reported €115.1M in 2024) but the consolidated group figure is unconfirmed - real reservation on figure precision. Founder-majority owned (not Ardian, contra triage), no published valuation; not state-owned.</t>
        </is>
      </c>
      <c r="P44" s="11" t="inlineStr">
        <is>
          <t>France-based precision API/HPAPI CDMO expanding into North America - open CDMO category on the 2026 grid, engineering-precision brand story (est).</t>
        </is>
      </c>
      <c r="Q44" s="11" t="inlineStr">
        <is>
          <t>revenue is estimated from partial (single-entity) financial disclosure, not a consolidated group figure; no published valuation (founder/PE-owned)</t>
        </is>
      </c>
      <c r="R44" s="11" t="inlineStr">
        <is>
          <t>verified-existing</t>
        </is>
      </c>
      <c r="S44" s="11" t="inlineStr">
        <is>
          <t>2026-09-28</t>
        </is>
      </c>
    </row>
    <row r="45">
      <c r="A45" s="11" t="n">
        <v>42</v>
      </c>
      <c r="B45" s="11" t="n">
        <v>64</v>
      </c>
      <c r="C45" s="11" t="inlineStr">
        <is>
          <t>Unither Pharmaceuticals</t>
        </is>
      </c>
      <c r="D45" s="11" t="inlineStr">
        <is>
          <t>unither.com</t>
        </is>
      </c>
      <c r="E45" s="11" t="inlineStr">
        <is>
          <t>France</t>
        </is>
      </c>
      <c r="F45" s="11" t="inlineStr">
        <is>
          <t>Private, PE/sovereign consortium since Oct 2022 buyout from Ardian: GIC (Singapore sovereign wealth fund, minority state stake), IK Partners, Keensight Capital, NiXEN Partners, Parquest Capital</t>
        </is>
      </c>
      <c r="G45" s="11" t="inlineStr">
        <is>
          <t>Unit-dose CDMO</t>
        </is>
      </c>
      <c r="H45" s="11" t="inlineStr">
        <is>
          <t>1k-5k</t>
        </is>
      </c>
      <c r="I45" s="11" t="inlineStr">
        <is>
          <t>~$448M / €400-500M (est, multiple third-party sources; no official consolidated 2024/2025 figure found)</t>
        </is>
      </c>
      <c r="J45" s="11" t="inlineStr">
        <is>
          <t>Undisclosed EV for the Oct 2022 buyout; plausibly &gt;$1B given deal scale and investor profile, but unconfirmed</t>
        </is>
      </c>
      <c r="K45" s="11" t="inlineStr">
        <is>
          <t>Oct 2022 - majority buyout by GIC/IK Partners/Keensight/NiXEN/Parquest consortium from Ardian (~4 years ago, approaching the PE 4+ yr mark)</t>
        </is>
      </c>
      <c r="L45" s="11" t="inlineStr">
        <is>
          <t>meets parameters</t>
        </is>
      </c>
      <c r="M45" s="11" t="n">
        <v>4</v>
      </c>
      <c r="N45" s="11" t="inlineStr">
        <is>
          <t>Stretch</t>
        </is>
      </c>
      <c r="O45" s="11" t="inlineStr">
        <is>
          <t>No F1 conflict found. Revenue (~$448M est) clearly clears the $100M bar, but valuation/EV for the 2022 buyout is undisclosed and only plausibly (not confirmedly) above $1B. Minority state stake via GIC and PE ownership nearing the 4-year mark are real reservations.</t>
        </is>
      </c>
      <c r="P45" s="11" t="inlineStr">
        <is>
          <t>Unit-dose pharma manufacturing precision story tied to global expansion under new ownership - open category on the 2026 grid (est).</t>
        </is>
      </c>
      <c r="Q45" s="11" t="inlineStr">
        <is>
          <t>minority state stake (GIC - Singapore sovereign wealth fund); PE-owned since Oct 2022 (~4 years); valuation unconfirmed</t>
        </is>
      </c>
      <c r="R45" s="11" t="inlineStr">
        <is>
          <t>verified-existing</t>
        </is>
      </c>
      <c r="S45" s="11" t="inlineStr">
        <is>
          <t>2026-09-28</t>
        </is>
      </c>
    </row>
    <row r="46">
      <c r="A46" s="11" t="n">
        <v>43</v>
      </c>
      <c r="B46" s="11" t="n">
        <v>64</v>
      </c>
      <c r="C46" s="11" t="inlineStr">
        <is>
          <t>Berkshire Sterile Manufacturing</t>
        </is>
      </c>
      <c r="D46" s="11" t="inlineStr">
        <is>
          <t>berkshiresterile.com</t>
        </is>
      </c>
      <c r="E46" s="11" t="inlineStr">
        <is>
          <t>United States</t>
        </is>
      </c>
      <c r="F46" s="11" t="inlineStr">
        <is>
          <t>Wholly-owned subsidiary of Sharp Packaging Services (acquired Oct 2023), itself owned by Clayton, Dubilier &amp; Rice (CD&amp;R) since its 2021 $3.7B acquisition of UDG Healthcare</t>
        </is>
      </c>
      <c r="G46" s="11" t="inlineStr">
        <is>
          <t>Sterile fill-finish CDMO</t>
        </is>
      </c>
      <c r="H46" s="11" t="inlineStr">
        <is>
          <t>201-1k</t>
        </is>
      </c>
      <c r="I46" s="11" t="inlineStr">
        <is>
          <t>Standalone revenue undisclosed, likely &lt;$100M given ~300 employees; parent Sharp Services generated ~€345M+ (2019-era, ~27% of UDG Healthcare's €1,279.2M group revenue) and has grown since - clears the $100M bar at parent level</t>
        </is>
      </c>
      <c r="J46" s="11" t="inlineStr">
        <is>
          <t>No independent valuation; parent group (UDG Healthcare/Sharp) was acquired by CD&amp;R for $3.7B in 2021 - clears the $1B bar at parent level</t>
        </is>
      </c>
      <c r="K46" s="11" t="inlineStr">
        <is>
          <t>N/A standalone; CD&amp;R-owned since Aug 2021 (parent group); Berkshire acquired by Sharp Oct 2023; parent actively investing in capacity ($11-17M expansions)</t>
        </is>
      </c>
      <c r="L46" s="11" t="inlineStr">
        <is>
          <t>meets parameters</t>
        </is>
      </c>
      <c r="M46" s="11" t="n">
        <v>4</v>
      </c>
      <c r="N46" s="11" t="inlineStr">
        <is>
          <t>Stretch</t>
        </is>
      </c>
      <c r="O46" s="11" t="inlineStr">
        <is>
          <t>No F1 conflict found for Berkshire, Sharp Services, or CD&amp;R/UDG Healthcare. Hard bars are only cleared via the parent's scale (Sharp/CD&amp;R, $3.7B 2021 buyout) since Berkshire itself is a small ~300-employee subsidiary - real reservation about whether this specific unit would fund a ~$3.5M/yr sponsorship versus the parent platform.</t>
        </is>
      </c>
      <c r="P46" s="11" t="inlineStr">
        <is>
          <t>Sterile fill-finish precision manufacturing under a globally scaled CDMO platform (Sharp/CD&amp;R) - life-sciences category open on the grid, though the pitch likely needs to be made at the Sharp Services platform level (est).</t>
        </is>
      </c>
      <c r="Q46" s="11" t="inlineStr">
        <is>
          <t>parent: Sharp Services (CD&amp;R-owned); small subsidiary (~300 employees) - spend authority likely sits with the parent group, not Berkshire itself</t>
        </is>
      </c>
      <c r="R46" s="11" t="inlineStr">
        <is>
          <t>verified-existing</t>
        </is>
      </c>
      <c r="S46" s="11" t="inlineStr">
        <is>
          <t>2026-09-28</t>
        </is>
      </c>
    </row>
    <row r="47">
      <c r="A47" s="11" t="n">
        <v>44</v>
      </c>
      <c r="B47" s="11" t="n">
        <v>58</v>
      </c>
      <c r="C47" s="11" t="inlineStr">
        <is>
          <t>Precision for Medicine</t>
        </is>
      </c>
      <c r="D47" s="11" t="inlineStr">
        <is>
          <t>precisionformedicine.com</t>
        </is>
      </c>
      <c r="E47" s="11" t="inlineStr">
        <is>
          <t>Bethesda/Frederick, Maryland, United States</t>
        </is>
      </c>
      <c r="F47" s="11" t="inlineStr">
        <is>
          <t>Private - operating unit of Precision Medicine Group, historically backed by Blackstone, Berkshire Partners, Oak HC/FT and TPG; parent Precision Medicine Group is under a definitive agreement (announced ~Aug 25, 2026) to be acquired by McKesson Corporation (NYSE: MCK) for ~$2.25B - deal not confirmed closed as of this report</t>
        </is>
      </c>
      <c r="G47" s="11" t="inlineStr">
        <is>
          <t>Precision oncology CRO - clinical trial design, execution and biomarker/companion-diagnostic services for biotech/pharma sponsors</t>
        </is>
      </c>
      <c r="H47" s="11" t="inlineStr">
        <is>
          <t>1k-5k</t>
        </is>
      </c>
      <c r="I47" s="11" t="inlineStr">
        <is>
          <t>~$528.3M (est, third-party estimate) for the Precision for Medicine unit; parent Precision Medicine Group ~$949.5M (est) - both would clear the &gt;$100M hard bar, though neither figure is company-disclosed/audited (per ZoomInfo/PitchBook estimates)</t>
        </is>
      </c>
      <c r="J47" s="11" t="inlineStr">
        <is>
          <t>No standalone published valuation for Precision for Medicine; parent Precision Medicine Group valued at ~$2.25B in the pending McKesson acquisition announced ~Aug 25, 2026 (Levin Associates Healthcare M&amp;A report) - would clear the &gt;$1B bar at the parent level if the deal closes as announced (est, unclosed)</t>
        </is>
      </c>
      <c r="K47" s="11" t="inlineStr">
        <is>
          <t>Pending: McKesson definitive acquisition agreement for parent Precision Medicine Group, ~$2.25B, announced ~Aug 25, 2026 - not yet closed</t>
        </is>
      </c>
      <c r="L47" s="11" t="inlineStr">
        <is>
          <t>meets parameters</t>
        </is>
      </c>
      <c r="M47" s="11" t="n">
        <v>3</v>
      </c>
      <c r="N47" s="11" t="inlineStr">
        <is>
          <t>Stretch</t>
        </is>
      </c>
      <c r="O47" s="11" t="inlineStr">
        <is>
          <t>Estimated revenue clears the &gt;$100M bar and no F1 sponsorship ties were found, but the ownership structure is mid-acquisition (pending, unclosed McKesson deal) with no company-confirmed financials, and fit relies on a generic brand-story point - real reservations on uncertain figures, ownership stability and fit strength.</t>
        </is>
      </c>
      <c r="P47" s="11" t="inlineStr">
        <is>
          <t>Data-driven-precision-trials angle, best timed for after the McKesson acquisition closes and marketing budget authority is clarified; positions the CRO's biomarker-driven trial design as a 'precision engineering' story for pharma sponsors.</t>
        </is>
      </c>
      <c r="Q47" s="11" t="inlineStr">
        <is>
          <t>ownership in transition - parent company mid-acquisition by McKesson (a large, F1-unrelated healthcare distributor), which could shift strategic and marketing priorities before any deal closes; no standalone published financials for the specific 'Precision for Medicine' operating unit - figures are third-party estimates blended with the parent</t>
        </is>
      </c>
      <c r="R47" s="11" t="inlineStr">
        <is>
          <t>verified-existing</t>
        </is>
      </c>
      <c r="S47" s="11" t="inlineStr">
        <is>
          <t>2026-09-28</t>
        </is>
      </c>
    </row>
    <row r="48">
      <c r="A48" s="11" t="n">
        <v>45</v>
      </c>
      <c r="B48" s="11" t="n">
        <v>58</v>
      </c>
      <c r="C48" s="11" t="inlineStr">
        <is>
          <t>Stevanato Group</t>
        </is>
      </c>
      <c r="D48" s="11" t="inlineStr">
        <is>
          <t>stevanatogroup.com</t>
        </is>
      </c>
      <c r="E48" s="11" t="inlineStr">
        <is>
          <t>Italy</t>
        </is>
      </c>
      <c r="F48" s="11" t="inlineStr">
        <is>
          <t>Public (NYSE: STVN); Stevanato family retains large founding stake; no state ownership</t>
        </is>
      </c>
      <c r="G48" s="11" t="inlineStr">
        <is>
          <t>Pharma packaging/glass containers (vials, syringes) for biopharma</t>
        </is>
      </c>
      <c r="H48" s="11" t="inlineStr">
        <is>
          <t>5k-10k</t>
        </is>
      </c>
      <c r="I48" s="11" t="inlineStr">
        <is>
          <t>€1.1B / ~$1.19B FY2025, +7% YoY (+9% constant currency); source: Stevanato Group FY2025 results / SEC 6-K, ir.stevanatogroup.com</t>
        </is>
      </c>
      <c r="J48" s="11" t="inlineStr">
        <is>
          <t>$5.7B market cap (Dec 25, 2025, NYSE: STVN)</t>
        </is>
      </c>
      <c r="K48" s="11" t="inlineStr">
        <is>
          <t>N/A (public company, no VC funding rounds)</t>
        </is>
      </c>
      <c r="L48" s="11" t="inlineStr">
        <is>
          <t>meets parameters</t>
        </is>
      </c>
      <c r="M48" s="11" t="n">
        <v>3</v>
      </c>
      <c r="N48" s="11" t="inlineStr">
        <is>
          <t>Stretch</t>
        </is>
      </c>
      <c r="O48" s="11" t="inlineStr">
        <is>
          <t>Hard bars appear to pass on the numbers (revenue $1.19B, market cap $5.7B, headcount 6,010, profitable/growing, diversified global pharma-client base, no evidence of disqualifying ownership). Real reservation: the F1-conflict check for this specific company could not be completed with a fresh search this session (web search budget ran out immediately before it); no tie is known for this niche glass/packaging supplier from prior knowledge, but that specific hard-filter check is unverified this run, so downgraded from Yes to Stretch pending re-confirmation.</t>
        </is>
      </c>
      <c r="P48" s="11" t="inlineStr">
        <is>
          <t>Pharma-packaging engineering precision (glass/polymer primary containers underpinning global vaccine and biologics supply chains) as an 'engineering that can't fail' story; open category.</t>
        </is>
      </c>
      <c r="Q48" s="11" t="inlineStr">
        <is>
          <t>family-controlled public company (Stevanato family)</t>
        </is>
      </c>
      <c r="R48" s="11" t="inlineStr">
        <is>
          <t>verified-existing</t>
        </is>
      </c>
      <c r="S48" s="11" t="inlineStr">
        <is>
          <t>2026-09-28</t>
        </is>
      </c>
    </row>
    <row r="49">
      <c r="A49" s="11" t="n">
        <v>46</v>
      </c>
      <c r="B49" s="11" t="n">
        <v>58</v>
      </c>
      <c r="C49" s="11" t="inlineStr">
        <is>
          <t>Greiner Bio-One</t>
        </is>
      </c>
      <c r="D49" s="11" t="inlineStr">
        <is>
          <t>gbo.com</t>
        </is>
      </c>
      <c r="E49" s="11" t="inlineStr">
        <is>
          <t>Austria</t>
        </is>
      </c>
      <c r="F49" s="11" t="inlineStr">
        <is>
          <t>Private, family-owned (Greiner Group); division/segment, not a standalone legal entity</t>
        </is>
      </c>
      <c r="G49" s="11" t="inlineStr">
        <is>
          <t>Lab consumables/diagnostics</t>
        </is>
      </c>
      <c r="H49" s="11" t="inlineStr">
        <is>
          <t>1k-5k</t>
        </is>
      </c>
      <c r="I49" s="11" t="inlineStr">
        <is>
          <t>~€637M FY2025 (Greiner Bio-One segment); source: gbo.com 'Financial year 2025' press release, 2026</t>
        </is>
      </c>
      <c r="J49" s="11" t="inlineStr">
        <is>
          <t>Not published (private, family-owned Greiner Group); passes on revenue alone per family-owned rule</t>
        </is>
      </c>
      <c r="K49" s="11" t="inlineStr">
        <is>
          <t>N/A (private, no recent funding round reported)</t>
        </is>
      </c>
      <c r="L49" s="11" t="inlineStr">
        <is>
          <t>meets parameters</t>
        </is>
      </c>
      <c r="M49" s="11" t="n">
        <v>3</v>
      </c>
      <c r="N49" s="11" t="inlineStr">
        <is>
          <t>Stretch</t>
        </is>
      </c>
      <c r="O49" s="11" t="inlineStr">
        <is>
          <t>Passes hard bars on paper: revenue ~€637M (&gt;$100M); family-owned so passes the valuation bar; headcount 2,651 sits in the 1k-5k band, above the 51-person floor; no F1 ties found; ownership is private family control, not state. Real reservation: the company's own 2025 disclosure cites slowed growth in its core US market from research-funding cuts, and financials are segment-only (no independent standalone entity), raising doubt about standalone capacity for a sustained ~$3.5M/yr spend. Fit=3.</t>
        </is>
      </c>
      <c r="P49" s="11" t="inlineStr">
        <is>
          <t>Lab-science infrastructure enabling global diagnostics/research -- a 'foundation of discovery' angle tying everyday lab consumables to the precision-tooling story behind F1 engineering; open category.</t>
        </is>
      </c>
      <c r="Q49" s="11" t="inlineStr">
        <is>
          <t>family-owned (Greiner Group); no published valuation (family-owned, passes on revenue alone); parent: Greiner Group (large private group, no F1 ties); 2025 growth slowed in core US market (research-funding cuts) per company disclosure</t>
        </is>
      </c>
      <c r="R49" s="11" t="inlineStr">
        <is>
          <t>verified-existing</t>
        </is>
      </c>
      <c r="S49" s="11" t="inlineStr">
        <is>
          <t>2026-09-28</t>
        </is>
      </c>
    </row>
    <row r="50">
      <c r="A50" s="11" t="n">
        <v>47</v>
      </c>
      <c r="B50" s="11" t="n">
        <v>58</v>
      </c>
      <c r="C50" s="11" t="inlineStr">
        <is>
          <t>Grifols S.A.</t>
        </is>
      </c>
      <c r="D50" s="11" t="inlineStr">
        <is>
          <t>grifols.com</t>
        </is>
      </c>
      <c r="E50" s="11" t="inlineStr">
        <is>
          <t>Spain</t>
        </is>
      </c>
      <c r="F50" s="11" t="inlineStr">
        <is>
          <t>Public (BME: GRF / Nasdaq: GRFS); Grifols family holds significant control via dual-class share structure; no state ownership</t>
        </is>
      </c>
      <c r="G50" s="11" t="inlineStr">
        <is>
          <t>Plasma-derived biopharma/bioprocessing</t>
        </is>
      </c>
      <c r="H50" s="11" t="inlineStr">
        <is>
          <t>10k+</t>
        </is>
      </c>
      <c r="I50" s="11" t="inlineStr">
        <is>
          <t>€7.5B FY2025, +4.3% YoY (+7.0% constant currency); source: grifols.com press release, early 2026</t>
        </is>
      </c>
      <c r="J50" s="11" t="inlineStr">
        <is>
          <t>~€5.0B market cap (Dec 8, 2025, BME/Nasdaq: GRFS)</t>
        </is>
      </c>
      <c r="K50" s="11" t="inlineStr">
        <is>
          <t>N/A (public company, no VC funding rounds)</t>
        </is>
      </c>
      <c r="L50" s="11" t="inlineStr">
        <is>
          <t>meets parameters</t>
        </is>
      </c>
      <c r="M50" s="11" t="n">
        <v>3</v>
      </c>
      <c r="N50" s="11" t="inlineStr">
        <is>
          <t>Stretch</t>
        </is>
      </c>
      <c r="O50" s="11" t="inlineStr">
        <is>
          <t>Hard bars pass: revenue €7.5B (&gt;$100M), market cap ~€5.0B (&gt;$1B), headcount 27,000+ (10k+ band), no F1 ties found, ownership is family-controlled public company (not state/sovereign). Real reservation: 2024 short-seller/related-party controversy and still-elevated leverage (4.2x net debt/EBITDA), despite an improving trend and recent credit-rating upgrades (S&amp;P to BB-, Moody's to B1) -- capacity to sustain a discretionary ~$3.5M/yr sponsorship is a genuine open question. Fit=3.</t>
        </is>
      </c>
      <c r="P50" s="11" t="inlineStr">
        <is>
          <t>Global plasma-therapeutics/life-science leadership recovering from scrutiny -- a 'trust rebuilt through science and performance' narrative pairing well with F1's precision-under-pressure storytelling; open category.</t>
        </is>
      </c>
      <c r="Q50" s="11" t="inlineStr">
        <is>
          <t>family control + 2024 short-seller/accounting controversy (Gotham City Research allegations); elevated leverage, ~4.2x net debt/EBITDA at FY2025 (improving from 4.6x in 2024)</t>
        </is>
      </c>
      <c r="R50" s="11" t="inlineStr">
        <is>
          <t>verified-existing</t>
        </is>
      </c>
      <c r="S50" s="11" t="inlineStr">
        <is>
          <t>2026-09-28</t>
        </is>
      </c>
    </row>
    <row r="51">
      <c r="A51" s="11" t="n">
        <v>48</v>
      </c>
      <c r="B51" s="11" t="n">
        <v>58</v>
      </c>
      <c r="C51" s="11" t="inlineStr">
        <is>
          <t>MilliporeSigma (Merck KGaA Life Science)</t>
        </is>
      </c>
      <c r="D51" s="11" t="inlineStr">
        <is>
          <t>sigmaaldrich.com</t>
        </is>
      </c>
      <c r="E51" s="11" t="inlineStr">
        <is>
          <t>Germany</t>
        </is>
      </c>
      <c r="F51" s="11" t="inlineStr">
        <is>
          <t>Division of Merck KGaA (public, Frankfurt-listed); E. Merck KG (Merck family) holds majority control of parent; no state ownership</t>
        </is>
      </c>
      <c r="G51" s="11" t="inlineStr">
        <is>
          <t>Life science reagents/bioprocessing</t>
        </is>
      </c>
      <c r="H51" s="11" t="inlineStr">
        <is>
          <t>10k+</t>
        </is>
      </c>
      <c r="I51" s="11" t="inlineStr">
        <is>
          <t>€4,536M / ~$4.9B FY2025 Life Science segment; source: Merck KGaA full-year 2025 results, emdgroup.com, early 2026</t>
        </is>
      </c>
      <c r="J51" s="11" t="inlineStr">
        <is>
          <t>No standalone valuation (division); parent Merck KGaA market cap ~€60-70B (est, public, Frankfurt: MRK)</t>
        </is>
      </c>
      <c r="K51" s="11" t="inlineStr">
        <is>
          <t>N/A (division of public company, no VC funding rounds)</t>
        </is>
      </c>
      <c r="L51" s="11" t="inlineStr">
        <is>
          <t>meets parameters</t>
        </is>
      </c>
      <c r="M51" s="11" t="n">
        <v>3</v>
      </c>
      <c r="N51" s="11" t="inlineStr">
        <is>
          <t>Stretch</t>
        </is>
      </c>
      <c r="O51" s="11" t="inlineStr">
        <is>
          <t>Hard bars pass at the segment level: revenue €4,536M (&gt;$100M), parent market cap well over $1B, headcount well above 10k, no F1 ties found (Merck KGaA has no confirmed F1 sponsorship), ownership is family-majority public company (not state). Real reservation: this is a division/segment of Merck KGaA rather than a standalone company, and 2025 guidance was cut mid-year on tariff and research-funding headwinds -- raises doubt about near-term capacity for a discretionary ~$3.5M/yr spend and about who the contracting/branding entity would actually be. Fit=3.</t>
        </is>
      </c>
      <c r="P51" s="11" t="inlineStr">
        <is>
          <t>Life-science tools powering the world's biotech/pharma R&amp;D -- a 'behind every breakthrough' precision-science story, though outreach would need to route through Merck KGaA corporate given the divisional structure; open category.</t>
        </is>
      </c>
      <c r="Q51" s="11" t="inlineStr">
        <is>
          <t>parent: Merck KGaA (large public group, no F1 ties); division, not a standalone legal entity -- sponsorship decision would route through Merck KGaA corporate; 2025 guidance for Life Science segment scaled back mid-year on tariff and research-funding headwinds (fiercepharma.com, emdgroup.com)</t>
        </is>
      </c>
      <c r="R51" s="11" t="inlineStr">
        <is>
          <t>verified-existing</t>
        </is>
      </c>
      <c r="S51" s="11" t="inlineStr">
        <is>
          <t>2026-09-28</t>
        </is>
      </c>
    </row>
    <row r="52">
      <c r="A52" s="11" t="n">
        <v>49</v>
      </c>
      <c r="B52" s="11" t="n">
        <v>58</v>
      </c>
      <c r="C52" s="11" t="inlineStr">
        <is>
          <t>Sarstedt AG</t>
        </is>
      </c>
      <c r="D52" s="11" t="inlineStr">
        <is>
          <t>sarstedt.com</t>
        </is>
      </c>
      <c r="E52" s="11" t="inlineStr">
        <is>
          <t>Germany</t>
        </is>
      </c>
      <c r="F52" s="11" t="inlineStr">
        <is>
          <t>Private, family-owned</t>
        </is>
      </c>
      <c r="G52" s="11" t="inlineStr">
        <is>
          <t>Lab and medical consumables/devices</t>
        </is>
      </c>
      <c r="H52" s="11" t="inlineStr">
        <is>
          <t>1k-5k</t>
        </is>
      </c>
      <c r="I52" s="11" t="inlineStr">
        <is>
          <t>~$815M (aggregator estimate via medicaldevice-network.com/Owler, cited 2024/2025, verified Sep 2026) — clears &gt;$100M hard bar; family-owned so valuation bar is waived per protocol</t>
        </is>
      </c>
      <c r="J52" s="11" t="inlineStr">
        <is>
          <t>Not published (private, family-owned) — passes on revenue alone per protocol</t>
        </is>
      </c>
      <c r="K52" s="11" t="inlineStr">
        <is>
          <t>N/A — family-owned, no external financing found</t>
        </is>
      </c>
      <c r="L52" s="11" t="inlineStr">
        <is>
          <t>meets parameters</t>
        </is>
      </c>
      <c r="M52" s="11" t="n">
        <v>3</v>
      </c>
      <c r="N52" s="11" t="inlineStr">
        <is>
          <t>Stretch</t>
        </is>
      </c>
      <c r="O52" s="11" t="inlineStr">
        <is>
          <t>Revenue (~$815M est) clears the hard bar and family-ownership waives the valuation bar; headcount clears the 51-minimum under either cited figure; no F1 ties found; ownership is clean private/family. However, employee-count sources conflict materially (3,000 vs 10,500+), an uncertain figure that keeps this at Stretch rather than Yes.</t>
        </is>
      </c>
      <c r="P52" s="11" t="inlineStr">
        <is>
          <t>Precision-in-science positioning — global lab-consumables leader with no direct competitor in the scientific-supply space on the current grid.</t>
        </is>
      </c>
      <c r="Q52" s="11" t="inlineStr">
        <is>
          <t>family-owned, no published valuation; conflicting employee-count sources: company's own history page cites 3,000 employees worldwide vs. triage estimate of 10,500+ — treated as an uncertain figure</t>
        </is>
      </c>
      <c r="R52" s="11" t="inlineStr">
        <is>
          <t>verified-existing</t>
        </is>
      </c>
      <c r="S52" s="11" t="inlineStr">
        <is>
          <t>2026-09-28</t>
        </is>
      </c>
    </row>
    <row r="53">
      <c r="A53" s="11" t="n">
        <v>50</v>
      </c>
      <c r="B53" s="11" t="n">
        <v>58</v>
      </c>
      <c r="C53" s="11" t="inlineStr">
        <is>
          <t>Cepheid</t>
        </is>
      </c>
      <c r="D53" s="11" t="inlineStr">
        <is>
          <t>cepheid.com</t>
        </is>
      </c>
      <c r="E53" s="11" t="inlineStr">
        <is>
          <t>United States</t>
        </is>
      </c>
      <c r="F53" s="11" t="inlineStr">
        <is>
          <t>Wholly-owned subsidiary of Danaher Corporation (NYSE: DHR, public); acquired 2016</t>
        </is>
      </c>
      <c r="G53" s="11" t="inlineStr">
        <is>
          <t>Molecular diagnostics instruments</t>
        </is>
      </c>
      <c r="H53" s="11" t="inlineStr">
        <is>
          <t>1k-5k</t>
        </is>
      </c>
      <c r="I53" s="11" t="inlineStr">
        <is>
          <t>Cepheid respiratory test sales alone ~$1.7-1.8B FY2025/FY2026 guidance (Danaher Q4 2025 earnings release, Jan 2026, via 360dx.com); entity revenue far exceeds the $100M bar</t>
        </is>
      </c>
      <c r="J53" s="11" t="inlineStr">
        <is>
          <t>No standalone valuation (wholly-owned subsidiary); parent Danaher Corporation market cap ~$156B, Sept 2026 (stockanalysis.com)</t>
        </is>
      </c>
      <c r="K53" s="11" t="inlineStr">
        <is>
          <t>N/A (subsidiary of public Danaher since 2016 acquisition, ~$4B deal)</t>
        </is>
      </c>
      <c r="L53" s="11" t="inlineStr">
        <is>
          <t>exceeds - mega-brand</t>
        </is>
      </c>
      <c r="M53" s="11" t="n">
        <v>3</v>
      </c>
      <c r="N53" s="11" t="inlineStr">
        <is>
          <t>Stretch</t>
        </is>
      </c>
      <c r="O53" s="11" t="inlineStr">
        <is>
          <t>Passes hard filters via entity/parent scale (Cepheid unit revenue &gt;&gt;$100M; Danaher revenue $24.57B FY2025 and market cap ~$156B, Sept 2026, stockanalysis.com) and no F1 conflicts found for Danaher (merely a large group, no F1 ties); real reservation is that as a wholly-owned division, independent sponsorship budget authority is unconfirmed.</t>
        </is>
      </c>
      <c r="P53" s="11" t="inlineStr">
        <is>
          <t>Frame around real-time diagnostic speed and precision - 'answers as fast as split-second race decisions' - pitched to Danaher's broader marketing/innovation budget, since diagnostics is not yet an F1 sponsor category (est).</t>
        </is>
      </c>
      <c r="Q53" s="11" t="inlineStr">
        <is>
          <t>parent: Danaher Corporation (no F1 team/series ties found); wholly-owned subsidiary since 2016 - independent sponsorship budget authority unclear</t>
        </is>
      </c>
      <c r="R53" s="11" t="inlineStr">
        <is>
          <t>verified-existing</t>
        </is>
      </c>
      <c r="S53" s="11" t="inlineStr">
        <is>
          <t>2026-09-28</t>
        </is>
      </c>
    </row>
    <row r="54">
      <c r="A54" s="11" t="n">
        <v>51</v>
      </c>
      <c r="B54" s="11" t="n">
        <v>58</v>
      </c>
      <c r="C54" s="11" t="inlineStr">
        <is>
          <t>Fujifilm Diosynth Biotechnologies</t>
        </is>
      </c>
      <c r="D54" s="11" t="inlineStr">
        <is>
          <t>fujifilmdiosynth.com</t>
        </is>
      </c>
      <c r="E54" s="11" t="inlineStr">
        <is>
          <t>United Kingdom</t>
        </is>
      </c>
      <c r="F54" s="11" t="inlineStr">
        <is>
          <t>Wholly-owned subsidiary of Fujifilm Holdings Corporation (TYO: 4901, public)</t>
        </is>
      </c>
      <c r="G54" s="11" t="inlineStr">
        <is>
          <t>Biologics CDMO</t>
        </is>
      </c>
      <c r="H54" s="11" t="inlineStr">
        <is>
          <t>5k-10k</t>
        </is>
      </c>
      <c r="I54" s="11" t="inlineStr">
        <is>
          <t>Fujifilm's Bio CDMO business targeted ~$1.4B (200bn yen) in annual revenue by FY ended March 2025 (fiercepharma.com); clears the $100M bar independently</t>
        </is>
      </c>
      <c r="J54" s="11" t="inlineStr">
        <is>
          <t>No standalone valuation (subsidiary); parent Fujifilm Holdings market cap ~$25.46B, Sept 2026 (stockanalysis.com)</t>
        </is>
      </c>
      <c r="K54" s="11" t="inlineStr">
        <is>
          <t>N/A; parent-funded &gt;$8B CDMO capacity expansion drive underway (fiercepharma.com, 2025)</t>
        </is>
      </c>
      <c r="L54" s="11" t="inlineStr">
        <is>
          <t>exceeds - mega-brand</t>
        </is>
      </c>
      <c r="M54" s="11" t="n">
        <v>3</v>
      </c>
      <c r="N54" s="11" t="inlineStr">
        <is>
          <t>Stretch</t>
        </is>
      </c>
      <c r="O54" s="11" t="inlineStr">
        <is>
          <t>Passes hard filters via parent scale (Fujifilm Holdings market cap ~$25.5B, Sept 2026; CDMO unit targeting $1.4B+ revenue by FY2025) and no F1 conflicts found for Fujifilm; real reservation is unclear independent sponsorship budget authority as a corporate division.</t>
        </is>
      </c>
      <c r="P54" s="11" t="inlineStr">
        <is>
          <t>Tie Fujifilm's legacy of precision imaging/optics engineering to its multi-billion-dollar bet on next-gen biomanufacturing - a 'legacy tech brand reinventing itself' story that fits F1's innovation narrative (est).</t>
        </is>
      </c>
      <c r="Q54" s="11" t="inlineStr">
        <is>
          <t>parent: Fujifilm Holdings (no F1 team/series ties found; Fuji TV's Japan F1 broadcast deal is an unrelated company); wholly-owned subsidiary - independent sponsorship budget authority unclear</t>
        </is>
      </c>
      <c r="R54" s="11" t="inlineStr">
        <is>
          <t>verified-existing</t>
        </is>
      </c>
      <c r="S54" s="11" t="inlineStr">
        <is>
          <t>2026-09-28</t>
        </is>
      </c>
    </row>
    <row r="55">
      <c r="A55" s="11" t="n">
        <v>52</v>
      </c>
      <c r="B55" s="11" t="n">
        <v>58</v>
      </c>
      <c r="C55" s="11" t="inlineStr">
        <is>
          <t>Molecular Devices</t>
        </is>
      </c>
      <c r="D55" s="11" t="inlineStr">
        <is>
          <t>moleculardevices.com</t>
        </is>
      </c>
      <c r="E55" s="11" t="inlineStr">
        <is>
          <t>United States</t>
        </is>
      </c>
      <c r="F55" s="11" t="inlineStr">
        <is>
          <t>Wholly-owned division of Danaher Corporation (public); acquired 2010</t>
        </is>
      </c>
      <c r="G55" s="11" t="inlineStr">
        <is>
          <t>Lab instrumentation (Danaher Life Sciences division)</t>
        </is>
      </c>
      <c r="H55" s="11" t="inlineStr">
        <is>
          <t>1k-5k</t>
        </is>
      </c>
      <c r="I55" s="11" t="inlineStr">
        <is>
          <t>~$337.9M annual (rocketreach.co estimate, accessed 2026); clears the $100M bar</t>
        </is>
      </c>
      <c r="J55" s="11" t="inlineStr">
        <is>
          <t>No standalone valuation (division); parent Danaher Corporation market cap ~$156B, Sept 2026 (stockanalysis.com)</t>
        </is>
      </c>
      <c r="K55" s="11" t="inlineStr">
        <is>
          <t>N/A (Danaher division since 2010 acquisition)</t>
        </is>
      </c>
      <c r="L55" s="11" t="inlineStr">
        <is>
          <t>exceeds - mega-brand</t>
        </is>
      </c>
      <c r="M55" s="11" t="n">
        <v>3</v>
      </c>
      <c r="N55" s="11" t="inlineStr">
        <is>
          <t>Stretch</t>
        </is>
      </c>
      <c r="O55" s="11" t="inlineStr">
        <is>
          <t>Passes hard filters on its own revenue estimate (~$338M) plus parent Danaher's scale (market cap ~$156B, Sept 2026) and no F1 conflicts found for Danaher; real reservation is the unconfirmed third-party revenue figure and unclear independent sponsorship budget authority as a division.</t>
        </is>
      </c>
      <c r="P55" s="11" t="inlineStr">
        <is>
          <t>Lab-instrumentation precision and data-driven optimization mirrors F1's telemetry culture - a 'measurement is everything' technology-partner angle (est).</t>
        </is>
      </c>
      <c r="Q55" s="11" t="inlineStr">
        <is>
          <t>parent: Danaher Corporation (no F1 team/series ties found); wholly-owned division - independent sponsorship budget authority unclear; revenue figure is a third-party estimate, not company-disclosed</t>
        </is>
      </c>
      <c r="R55" s="11" t="inlineStr">
        <is>
          <t>verified-existing</t>
        </is>
      </c>
      <c r="S55" s="11" t="inlineStr">
        <is>
          <t>2026-09-28</t>
        </is>
      </c>
    </row>
    <row r="56">
      <c r="A56" s="11" t="n">
        <v>53</v>
      </c>
      <c r="B56" s="11" t="n">
        <v>58</v>
      </c>
      <c r="C56" s="11" t="inlineStr">
        <is>
          <t>ABEC Inc.</t>
        </is>
      </c>
      <c r="D56" s="11" t="inlineStr">
        <is>
          <t>abec.com</t>
        </is>
      </c>
      <c r="E56" s="11" t="inlineStr">
        <is>
          <t>United States</t>
        </is>
      </c>
      <c r="F56" s="11" t="inlineStr">
        <is>
          <t>Private, founder/family-owned (founded by Jack Wilson, 1974; no PE ownership found)</t>
        </is>
      </c>
      <c r="G56" s="11" t="inlineStr">
        <is>
          <t>Bioprocessing equipment manufacturer</t>
        </is>
      </c>
      <c r="H56" s="11" t="inlineStr">
        <is>
          <t>1k-5k</t>
        </is>
      </c>
      <c r="I56" s="11" t="inlineStr">
        <is>
          <t>~$128.2M annual est. (ZoomInfo/RocketReach, cited in Springfield Business Journal, Dec 2025); company declined to disclose actual figures</t>
        </is>
      </c>
      <c r="J56" s="11" t="inlineStr">
        <is>
          <t>Not disclosed (family/founder-owned) - passes on revenue-alone exception</t>
        </is>
      </c>
      <c r="K56" s="11" t="inlineStr">
        <is>
          <t>N/A (privately/family-financed); described as 'in rapid growth mode,' hiring 100+ new workers (sbj.net, Dec 2025)</t>
        </is>
      </c>
      <c r="L56" s="11" t="inlineStr">
        <is>
          <t>meets parameters</t>
        </is>
      </c>
      <c r="M56" s="11" t="n">
        <v>3</v>
      </c>
      <c r="N56" s="11" t="inlineStr">
        <is>
          <t>Stretch</t>
        </is>
      </c>
      <c r="O56" s="11" t="inlineStr">
        <is>
          <t>Passes hard filters on an unconfirmed but sourced revenue estimate (~$128.2M, Dec 2025 Springfield Business Journal); family/founder-owned company with no published valuation passes on the revenue-alone exception. No F1 conflicts found. Real reservation: revenue is a third-party estimate the company itself declined to confirm.</t>
        </is>
      </c>
      <c r="P56" s="11" t="inlineStr">
        <is>
          <t>Lean into ABEC's Dec 2025 'rapid growth mode' hiring push - a precision bioprocess-engineering growth story that mirrors F1's performance-engineering narrative (est).</t>
        </is>
      </c>
      <c r="Q56" s="11" t="inlineStr">
        <is>
          <t>revenue estimate unconfirmed - company declined to disclose actual figures; family/founder-owned, no published valuation</t>
        </is>
      </c>
      <c r="R56" s="11" t="inlineStr">
        <is>
          <t>verified-existing</t>
        </is>
      </c>
      <c r="S56" s="11" t="inlineStr">
        <is>
          <t>2026-09-28</t>
        </is>
      </c>
    </row>
    <row r="57">
      <c r="A57" s="11" t="n">
        <v>54</v>
      </c>
      <c r="B57" s="11" t="n">
        <v>58</v>
      </c>
      <c r="C57" s="11" t="inlineStr">
        <is>
          <t>Axplora</t>
        </is>
      </c>
      <c r="D57" s="11" t="inlineStr">
        <is>
          <t>axplora.com</t>
        </is>
      </c>
      <c r="E57" s="11" t="inlineStr">
        <is>
          <t>Germany</t>
        </is>
      </c>
      <c r="F57" s="11" t="inlineStr">
        <is>
          <t>Private, PE-backed (Ardian), formed 2022-23 from the merger of Novasep CDMO, PharmaZell, and Farmabios</t>
        </is>
      </c>
      <c r="G57" s="11" t="inlineStr">
        <is>
          <t>API/CDMO</t>
        </is>
      </c>
      <c r="H57" s="11" t="inlineStr">
        <is>
          <t>1k-5k</t>
        </is>
      </c>
      <c r="I57" s="11" t="inlineStr">
        <is>
          <t>Not disclosed; est. well above $100M given ~2,400 employees, 9 industrial sites, 80+ commercial molecules, &gt;1,000 tons/year output, and &gt;EUR100M in 2025 capex alone (axplora.com) (est)</t>
        </is>
      </c>
      <c r="J57" s="11" t="inlineStr">
        <is>
          <t>Not disclosed (Ardian-owned, private)</t>
        </is>
      </c>
      <c r="K57" s="11" t="inlineStr">
        <is>
          <t>No equity raise disclosed; &gt;EUR100M in expansion investment initiated across its network in 2025, incl. a EUR50M French site expansion (fiercepharma.com, axplora.com)</t>
        </is>
      </c>
      <c r="L57" s="11" t="inlineStr">
        <is>
          <t>meets parameters</t>
        </is>
      </c>
      <c r="M57" s="11" t="n">
        <v>3</v>
      </c>
      <c r="N57" s="11" t="inlineStr">
        <is>
          <t>Stretch</t>
        </is>
      </c>
      <c r="O57" s="11" t="inlineStr">
        <is>
          <t>No F1 team/series conflicts found. Hard bars are cleared only on reasonable, unconfirmed estimates - the company's scale (2,400 employees, 9 sites, &gt;EUR100M 2025 capex) strongly implies revenue well above $100M and plausible valuation above $1B, but neither figure is published, and the company is not family-owned so the disclosure exception does not apply. Genuine uncertainty on hard figures caps this at Stretch.</t>
        </is>
      </c>
      <c r="P57" s="11" t="inlineStr">
        <is>
          <t>Complex API/ADC/GLP-1 manufacturing scale-up story - the precision engineering behind next-gen medicines, paired with momentum from &gt;EUR100M in 2025 capacity expansion across a pan-European/global footprint (est).</t>
        </is>
      </c>
      <c r="Q57" s="11" t="inlineStr">
        <is>
          <t>no published revenue or valuation (PE-backed, Ardian); recently formed (2022-23) - short standalone financial track record; PE-owned under 4 years (since 2023) - not yet a 4+yr flag</t>
        </is>
      </c>
      <c r="R57" s="11" t="inlineStr">
        <is>
          <t>verified-existing</t>
        </is>
      </c>
      <c r="S57" s="11" t="inlineStr">
        <is>
          <t>2026-09-28</t>
        </is>
      </c>
    </row>
    <row r="58">
      <c r="A58" s="11" t="n">
        <v>55</v>
      </c>
      <c r="B58" s="11" t="n">
        <v>58</v>
      </c>
      <c r="C58" s="11" t="inlineStr">
        <is>
          <t>Veristat</t>
        </is>
      </c>
      <c r="D58" s="11" t="inlineStr">
        <is>
          <t>veristat.com</t>
        </is>
      </c>
      <c r="E58" s="11" t="inlineStr">
        <is>
          <t>United States</t>
        </is>
      </c>
      <c r="F58" s="11" t="inlineStr">
        <is>
          <t>Private, PE-backed (WindRose Health Investors, majority since April 2021)</t>
        </is>
      </c>
      <c r="G58" s="11" t="inlineStr">
        <is>
          <t>Clinical/regulatory CRO</t>
        </is>
      </c>
      <c r="H58" s="11" t="inlineStr">
        <is>
          <t>201-1k</t>
        </is>
      </c>
      <c r="I58" s="11" t="inlineStr">
        <is>
          <t>~$93-105M (est, RocketReach/IncFact/Growjo, no official disclosure) - right at the $100M threshold</t>
        </is>
      </c>
      <c r="J58" s="11" t="inlineStr">
        <is>
          <t>Not disclosed</t>
        </is>
      </c>
      <c r="K58" s="11" t="inlineStr">
        <is>
          <t>WindRose majority investment, April 2021 (~5 years ago, PE 4+ yr flag); bolt-on acquisition of Certara's regulatory/medical-writing business, May 2026 (signals active expansion capacity)</t>
        </is>
      </c>
      <c r="L58" s="11" t="inlineStr">
        <is>
          <t>meets parameters</t>
        </is>
      </c>
      <c r="M58" s="11" t="n">
        <v>3</v>
      </c>
      <c r="N58" s="11" t="inlineStr">
        <is>
          <t>Stretch</t>
        </is>
      </c>
      <c r="O58" s="11" t="inlineStr">
        <is>
          <t>No F1 conflict found. Revenue estimates cluster right at the $100M line ($92.7M-$105.2M across sources) - genuinely uncertain which side of the bar it lands on. Valuation undisclosed. PE-owned 5+ years (past the 4-year flag), though recent bolt-on M&amp;A signals capacity to spend.</t>
        </is>
      </c>
      <c r="P58" s="11" t="inlineStr">
        <is>
          <t>Clinical/regulatory CRO fueling biotech innovation - data-driven precision narrative paired with F1's technology story; clinical-research category open on the grid (est).</t>
        </is>
      </c>
      <c r="Q58" s="11" t="inlineStr">
        <is>
          <t>PE-owned 4+ years (WindRose since 2021); revenue right at the $100M threshold - genuinely uncertain</t>
        </is>
      </c>
      <c r="R58" s="11" t="inlineStr">
        <is>
          <t>verified-existing</t>
        </is>
      </c>
      <c r="S58" s="11" t="inlineStr">
        <is>
          <t>2026-09-28</t>
        </is>
      </c>
    </row>
  </sheetData>
  <autoFilter ref="A3:S5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S62"/>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Mining, Metals &amp; Commodities — existing New-Sectors book, now verified — 59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"04 Mining, Metals &amp; Commodities".</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0" t="n">
        <v>1</v>
      </c>
      <c r="B4" s="10" t="n">
        <v>92</v>
      </c>
      <c r="C4" s="10" t="inlineStr">
        <is>
          <t>Hudbay Minerals</t>
        </is>
      </c>
      <c r="D4" s="10" t="inlineStr">
        <is>
          <t>hudbayminerals.com</t>
        </is>
      </c>
      <c r="E4" s="10" t="inlineStr">
        <is>
          <t>Toronto, Canada</t>
        </is>
      </c>
      <c r="F4" s="10" t="inlineStr">
        <is>
          <t>Public (TSX/NYSE: HBM), no controlling family or state stake</t>
        </is>
      </c>
      <c r="G4" s="10" t="inlineStr">
        <is>
          <t>Copper and zinc concentrate, with gold and silver byproducts</t>
        </is>
      </c>
      <c r="H4" s="10" t="inlineStr">
        <is>
          <t>1k-5k</t>
        </is>
      </c>
      <c r="I4" s="10" t="inlineStr">
        <is>
          <t>$2.2B record FY2025 revenue (Hudbay FY2025 results press release, reported ~Feb 2026 via Yahoo Finance)</t>
        </is>
      </c>
      <c r="J4" s="10" t="inlineStr">
        <is>
          <t>~$11.2B USD market cap on NYSE (also ~CAD $14.55B on TSX), as of late May 2026 (stockanalysis.com / companiesmarketcap.com)</t>
        </is>
      </c>
      <c r="K4" s="10" t="inlineStr">
        <is>
          <t>N/A - established profitable public company, no recent capital raise needed</t>
        </is>
      </c>
      <c r="L4" s="10" t="inlineStr">
        <is>
          <t>exceeds - mega-brand</t>
        </is>
      </c>
      <c r="M4" s="10" t="n">
        <v>4</v>
      </c>
      <c r="N4" s="10" t="inlineStr">
        <is>
          <t>Yes</t>
        </is>
      </c>
      <c r="O4" s="10" t="inlineStr">
        <is>
          <t>All hard filters pass: revenue $2.2B (&gt;$100M bar), market cap ~$11.2B (&gt;$1B bar), headcount 3,000+ (est), no F1 sponsorship conflicts found (team/series/driver/GP), record FY2025 results show clear capacity to spend, no state/PE ownership issues.</t>
        </is>
      </c>
      <c r="P4" s="10" t="inlineStr">
        <is>
          <t>Position Hudbay as the 'copper for the electrified era' partner - tie F1's hybrid power-unit era to copper/zinc's role in electrification, into an open mining/metals sponsorship category on the grid.</t>
        </is>
      </c>
      <c r="Q4" s="10" t="n"/>
      <c r="R4" s="10" t="inlineStr">
        <is>
          <t>verified-existing</t>
        </is>
      </c>
      <c r="S4" s="10" t="inlineStr">
        <is>
          <t>2026-09-28</t>
        </is>
      </c>
    </row>
    <row r="5">
      <c r="A5" s="10" t="n">
        <v>2</v>
      </c>
      <c r="B5" s="10" t="n">
        <v>92</v>
      </c>
      <c r="C5" s="10" t="inlineStr">
        <is>
          <t>Lynas Rare Earths</t>
        </is>
      </c>
      <c r="D5" s="10" t="inlineStr">
        <is>
          <t>lynasrareearths.com</t>
        </is>
      </c>
      <c r="E5" s="10" t="inlineStr">
        <is>
          <t>Sydney, Australia (processing in Malaysia, mining in Western Australia)</t>
        </is>
      </c>
      <c r="F5" s="10" t="inlineStr">
        <is>
          <t>Public (ASX: LYC), no controlling family or state stake</t>
        </is>
      </c>
      <c r="G5" s="10" t="inlineStr">
        <is>
          <t>Separated rare earth elements (including NdPr for magnets)</t>
        </is>
      </c>
      <c r="H5" s="10" t="inlineStr">
        <is>
          <t>1k-5k</t>
        </is>
      </c>
      <c r="I5" s="10" t="inlineStr">
        <is>
          <t>AUD $556.5M FY2025 (year ended 30 June 2025, +20.1% YoY, stockanalysis.com / macrotrends.net)</t>
        </is>
      </c>
      <c r="J5" s="10" t="inlineStr">
        <is>
          <t>~$13-19B market cap depending on date (AUD $19.54B Apr 2026; USD $13.36B Mar 2026; USD $12.83B Jun 2026 - companiesmarketcap.com / marketcap.company)</t>
        </is>
      </c>
      <c r="K5" s="10" t="inlineStr">
        <is>
          <t>N/A - public; has received Australian and US government strategic funding support for rare-earths capacity expansion</t>
        </is>
      </c>
      <c r="L5" s="10" t="inlineStr">
        <is>
          <t>exceeds - mega-brand</t>
        </is>
      </c>
      <c r="M5" s="10" t="n">
        <v>4</v>
      </c>
      <c r="N5" s="10" t="inlineStr">
        <is>
          <t>Yes</t>
        </is>
      </c>
      <c r="O5" s="10" t="inlineStr">
        <is>
          <t>Revenue AUD $556M+ and market cap $13B+ clear both hard bars by a wide margin; headcount 1,600+ (est) passes; no F1 sponsorship conflicts found; strategic-minerals status and government backing show strong capacity to spend; no problematic ownership.</t>
        </is>
      </c>
      <c r="P5" s="10" t="inlineStr">
        <is>
          <t>The West's only major rare-earths producer outside China - a 'precision magnets, precision racing' story tying NdPr magnet supply to EV/hybrid motorsport technology and Western critical-minerals independence.</t>
        </is>
      </c>
      <c r="Q5" s="10" t="n"/>
      <c r="R5" s="10" t="inlineStr">
        <is>
          <t>verified-existing</t>
        </is>
      </c>
      <c r="S5" s="10" t="inlineStr">
        <is>
          <t>2026-09-28</t>
        </is>
      </c>
    </row>
    <row r="6">
      <c r="A6" s="10" t="n">
        <v>3</v>
      </c>
      <c r="B6" s="10" t="n">
        <v>92</v>
      </c>
      <c r="C6" s="10" t="inlineStr">
        <is>
          <t>Antofagasta</t>
        </is>
      </c>
      <c r="D6" s="10" t="inlineStr">
        <is>
          <t>antofagasta.co.uk</t>
        </is>
      </c>
      <c r="E6" s="10" t="inlineStr">
        <is>
          <t>London, UK (operations in Chile)</t>
        </is>
      </c>
      <c r="F6" s="10" t="inlineStr">
        <is>
          <t>Public (LSE: ANTO), Luksic family majority control (~65%), no state stake</t>
        </is>
      </c>
      <c r="G6" s="10" t="inlineStr">
        <is>
          <t>Copper concentrate and cathode</t>
        </is>
      </c>
      <c r="H6" s="10" t="inlineStr">
        <is>
          <t>5k-10k</t>
        </is>
      </c>
      <c r="I6" s="10" t="inlineStr">
        <is>
          <t>$8.62B FY2025 (+30.35% YoY, stockanalysis.com, results reported 2026)</t>
        </is>
      </c>
      <c r="J6" s="10" t="inlineStr">
        <is>
          <t>~$50B USD market cap as of Mar 2026 (also reported as £37.7B as of Sept 1 2026) - companiesmarketcap.com / finbox.com</t>
        </is>
      </c>
      <c r="K6" s="10" t="inlineStr">
        <is>
          <t>N/A - public, family-controlled, self-funding</t>
        </is>
      </c>
      <c r="L6" s="10" t="inlineStr">
        <is>
          <t>exceeds - mega-brand</t>
        </is>
      </c>
      <c r="M6" s="10" t="n">
        <v>4</v>
      </c>
      <c r="N6" s="10" t="inlineStr">
        <is>
          <t>Yes</t>
        </is>
      </c>
      <c r="O6" s="10" t="inlineStr">
        <is>
          <t>Revenue $8.62B and market cap ~$50B clear both hard bars by a huge margin; headcount 8,000+ (est) passes; no F1 sponsorship conflicts found (existing motorsport tie is to Formula E, not F1); ownership is family-controlled but public with real valuation, not state-owned; 30%+ revenue growth shows clear capacity to spend.</t>
        </is>
      </c>
      <c r="P6" s="10" t="inlineStr">
        <is>
          <t>Already an 'Official Copper Partner' of Formula E (since the 2018/19 season) for electromobility - a natural, credible bridge into F1 sponsorship given proven motorsport sponsorship appetite and copper's role in F1's electrified hybrid power units.</t>
        </is>
      </c>
      <c r="Q6" s="10" t="inlineStr">
        <is>
          <t>family control (Luksic family, ~65%) but publicly listed with a real, large valuation</t>
        </is>
      </c>
      <c r="R6" s="10" t="inlineStr">
        <is>
          <t>verified-existing</t>
        </is>
      </c>
      <c r="S6" s="10" t="inlineStr">
        <is>
          <t>2026-09-28</t>
        </is>
      </c>
    </row>
    <row r="7">
      <c r="A7" s="10" t="n">
        <v>4</v>
      </c>
      <c r="B7" s="10" t="n">
        <v>92</v>
      </c>
      <c r="C7" s="10" t="inlineStr">
        <is>
          <t>Endeavour Mining</t>
        </is>
      </c>
      <c r="D7" s="10" t="inlineStr">
        <is>
          <t>endeavourmining.com</t>
        </is>
      </c>
      <c r="E7" s="10" t="inlineStr">
        <is>
          <t>London, UK</t>
        </is>
      </c>
      <c r="F7" s="10" t="inlineStr">
        <is>
          <t>Public (LSE/TSX: EDV), no controlling family or state stake</t>
        </is>
      </c>
      <c r="G7" s="10" t="inlineStr">
        <is>
          <t>Gold (West Africa-focused production)</t>
        </is>
      </c>
      <c r="H7" s="10" t="inlineStr">
        <is>
          <t>5k-10k</t>
        </is>
      </c>
      <c r="I7" s="10" t="inlineStr">
        <is>
          <t>$4,233.9M FY2025 (endeavourmining.com FY2025 results release, reported 2026)</t>
        </is>
      </c>
      <c r="J7" s="10" t="inlineStr">
        <is>
          <t>~$10-12B USD market cap baseline (figures vary by date/source: CAD $12.5B Sept 2025, $10.37B USD Nov 2025, CAD $21B more recently per companiesmarketcap.com)</t>
        </is>
      </c>
      <c r="K7" s="10" t="inlineStr">
        <is>
          <t>N/A - public, 'strong FY2025 results' per company release</t>
        </is>
      </c>
      <c r="L7" s="10" t="inlineStr">
        <is>
          <t>exceeds - mega-brand</t>
        </is>
      </c>
      <c r="M7" s="10" t="n">
        <v>4</v>
      </c>
      <c r="N7" s="10" t="inlineStr">
        <is>
          <t>Yes</t>
        </is>
      </c>
      <c r="O7" s="10" t="inlineStr">
        <is>
          <t>Revenue $4.23B and market cap ~$10B+ clear both hard bars; headcount 5,500+ (est) passes; no corporate F1 sponsorship conflict (the chairman's personal circuit-development consortium is not a team/series/driver/GP sponsorship tie); 'strong FY2025 results' show clear capacity to spend; no problematic ownership.</t>
        </is>
      </c>
      <c r="P7" s="10" t="inlineStr">
        <is>
          <t>Leadership already has real F1 ambition via a consortium's Cape Town circuit bid - use that existing enthusiasm as a warm door-opener for a corporate West Africa gold growth story tied to F1's push into new markets.</t>
        </is>
      </c>
      <c r="Q7" s="10" t="inlineStr">
        <is>
          <t>chairman is part of a separate ~$410M consortium proposing an F1-compliant circuit near Cape Town - a personal/consortium project, not a corporate Endeavour Mining sponsorship, so NOT counted as an F1 conflict</t>
        </is>
      </c>
      <c r="R7" s="10" t="inlineStr">
        <is>
          <t>verified-existing</t>
        </is>
      </c>
      <c r="S7" s="10" t="inlineStr">
        <is>
          <t>2026-09-28</t>
        </is>
      </c>
    </row>
    <row r="8">
      <c r="A8" s="10" t="n">
        <v>5</v>
      </c>
      <c r="B8" s="10" t="n">
        <v>92</v>
      </c>
      <c r="C8" s="10" t="inlineStr">
        <is>
          <t>Fresnillo</t>
        </is>
      </c>
      <c r="D8" s="10" t="inlineStr">
        <is>
          <t>fresnilloplc.com</t>
        </is>
      </c>
      <c r="E8" s="10" t="inlineStr">
        <is>
          <t>Mexico City, Mexico (LSE-listed in London)</t>
        </is>
      </c>
      <c r="F8" s="10" t="inlineStr">
        <is>
          <t>Public (LSE: FRES), Grupo Mexico/Larrea family control, no state stake</t>
        </is>
      </c>
      <c r="G8" s="10" t="inlineStr">
        <is>
          <t>Silver and gold mining</t>
        </is>
      </c>
      <c r="H8" s="10" t="inlineStr">
        <is>
          <t>5k-10k</t>
        </is>
      </c>
      <c r="I8" s="10" t="inlineStr">
        <is>
          <t>$4.56B FY2025 (+30.46% YoY, stockanalysis.com / tipranks.com, reported 2026)</t>
        </is>
      </c>
      <c r="J8" s="10" t="inlineStr">
        <is>
          <t>~$21-39B market cap depending on source (C$39.05B Aug 2026 vs. ~$21.26B USD another source) - companiesmarketcap.com / finbox.com</t>
        </is>
      </c>
      <c r="K8" s="10" t="inlineStr">
        <is>
          <t>N/A - public, record profitability (earnings +882% YoY)</t>
        </is>
      </c>
      <c r="L8" s="10" t="inlineStr">
        <is>
          <t>exceeds - mega-brand</t>
        </is>
      </c>
      <c r="M8" s="10" t="n">
        <v>4</v>
      </c>
      <c r="N8" s="10" t="inlineStr">
        <is>
          <t>Yes</t>
        </is>
      </c>
      <c r="O8" s="10" t="inlineStr">
        <is>
          <t>Revenue $4.56B and market cap $21B+ both clear hard bars by a wide margin; headcount 9,000+ (est) passes; no F1 sponsorship conflicts found; record FY2025 results (earnings +882%) show strong capacity to spend; family-controlled but publicly listed with real valuation, not state-owned.</t>
        </is>
      </c>
      <c r="P8" s="10" t="inlineStr">
        <is>
          <t>World's largest primary silver producer - silver's growing industrial role in EVs, solar and electronics supports a 'materials powering the future' story alongside a record-earnings growth narrative.</t>
        </is>
      </c>
      <c r="Q8" s="10" t="inlineStr">
        <is>
          <t>family control (Grupo Mexico/Larrea family) but publicly listed with a real, large valuation - structurally similar to Antofagasta</t>
        </is>
      </c>
      <c r="R8" s="10" t="inlineStr">
        <is>
          <t>verified-existing</t>
        </is>
      </c>
      <c r="S8" s="10" t="inlineStr">
        <is>
          <t>2026-09-28</t>
        </is>
      </c>
    </row>
    <row r="9">
      <c r="A9" s="10" t="n">
        <v>6</v>
      </c>
      <c r="B9" s="10" t="n">
        <v>92</v>
      </c>
      <c r="C9" s="10" t="inlineStr">
        <is>
          <t>AngloGold Ashanti</t>
        </is>
      </c>
      <c r="D9" s="10" t="inlineStr">
        <is>
          <t>anglogoldashanti.com</t>
        </is>
      </c>
      <c r="E9" s="10" t="inlineStr">
        <is>
          <t>South Africa/UK</t>
        </is>
      </c>
      <c r="F9" s="10" t="inlineStr">
        <is>
          <t>Public (NYSE/JSE/LSE: AU); no state or majority holder identified</t>
        </is>
      </c>
      <c r="G9" s="10" t="inlineStr">
        <is>
          <t>Gold mining (operations across Africa, Americas, Australia)</t>
        </is>
      </c>
      <c r="H9" s="10" t="inlineStr">
        <is>
          <t>10k+</t>
        </is>
      </c>
      <c r="I9" s="10" t="inlineStr">
        <is>
          <t>$9.9B FY2025, +71% YoY, reported Feb 19 2026 (AngloGold Ashanti Q4/FY2025 earnings release, businesswire.com/Morningstar) — clears &gt;$100M hard bar by a wide margin</t>
        </is>
      </c>
      <c r="J9" s="10" t="inlineStr">
        <is>
          <t>~$54.3B market cap as of Feb 2026 close post-earnings (Investing.com Q4 2025 earnings-call transcript) — clears &gt;$1B hard bar</t>
        </is>
      </c>
      <c r="K9" s="10" t="inlineStr">
        <is>
          <t>N/A (public company; funded record $1.8B dividend from FCF, no external raise needed)</t>
        </is>
      </c>
      <c r="L9" s="10" t="inlineStr">
        <is>
          <t>exceeds - mega-brand</t>
        </is>
      </c>
      <c r="M9" s="10" t="n">
        <v>4</v>
      </c>
      <c r="N9" s="10" t="inlineStr">
        <is>
          <t>Yes</t>
        </is>
      </c>
      <c r="O9" s="10" t="inlineStr">
        <is>
          <t>All hard filters pass: revenue $9.9B (&gt;$100M bar) and market cap $54.3B (&gt;$1B bar) both cleared with large margin; headcount 18,000+ (10k+ band, well above 51 floor); clearly improving/profitable (FCF tripled to $2.9B, record dividend); broad institutional buyer base, not customer-concentrated; no F1 team/series/driver/GP conflict found; ownership public, no state/sanctioned-country/gambling issue. Fit score 4/4.</t>
        </is>
      </c>
      <c r="P9" s="10" t="inlineStr">
        <is>
          <t>Ride the 2025-26 gold bull run and AngloGold's record free-cash-flow story: position as the first gold-mining global partner, framing bullion extraction precision as an analog to F1 engineering precision, timed to the company's UK redomiciliation for a European media push.</t>
        </is>
      </c>
      <c r="Q9" s="10" t="inlineStr">
        <is>
          <t>cyclical exposure to record gold-price rally (est. durability of tailwind uncertain)</t>
        </is>
      </c>
      <c r="R9" s="10" t="inlineStr">
        <is>
          <t>verified-existing</t>
        </is>
      </c>
      <c r="S9" s="10" t="inlineStr">
        <is>
          <t>2026-09-28</t>
        </is>
      </c>
    </row>
    <row r="10">
      <c r="A10" s="10" t="n">
        <v>7</v>
      </c>
      <c r="B10" s="10" t="n">
        <v>92</v>
      </c>
      <c r="C10" s="10" t="inlineStr">
        <is>
          <t>ArcelorMittal</t>
        </is>
      </c>
      <c r="D10" s="10" t="inlineStr">
        <is>
          <t>arcelormittal.com</t>
        </is>
      </c>
      <c r="E10" s="10" t="inlineStr">
        <is>
          <t>Luxembourg</t>
        </is>
      </c>
      <c r="F10" s="10" t="inlineStr">
        <is>
          <t>Public (Euronext/NYSE: MT); Mittal family holds a large minority stake (~38%, per historical filings) but the company is publicly listed with no state or majority control</t>
        </is>
      </c>
      <c r="G10" s="10" t="inlineStr">
        <is>
          <t>Steel manufacturing (global, incl. automotive, construction, industrial)</t>
        </is>
      </c>
      <c r="H10" s="10" t="inlineStr">
        <is>
          <t>10k+</t>
        </is>
      </c>
      <c r="I10" s="10" t="inlineStr">
        <is>
          <t>FY2024 revenue $62.4B per SEC 20-F/6-K filings (sec.gov, accessed Sept 2026); FY2025 full-year figure not yet finalized in available sources but company guidance/interim filings point to a similar $60B+ range — clears &gt;$100M hard bar</t>
        </is>
      </c>
      <c r="J10" s="10" t="inlineStr">
        <is>
          <t>Market cap reported $29.0B (2025, Eulerpool) rising to $47.4B by April 2026 (tradingeconomics.com) — sources vary by date/methodology but consistently clear the &gt;$1B hard bar</t>
        </is>
      </c>
      <c r="K10" s="10" t="inlineStr">
        <is>
          <t>N/A (public company)</t>
        </is>
      </c>
      <c r="L10" s="10" t="inlineStr">
        <is>
          <t>exceeds - mega-brand</t>
        </is>
      </c>
      <c r="M10" s="10" t="n">
        <v>4</v>
      </c>
      <c r="N10" s="10" t="inlineStr">
        <is>
          <t>Yes</t>
        </is>
      </c>
      <c r="O10" s="10" t="inlineStr">
        <is>
          <t>Revenue ($60B+ range) and market cap ($29-47B across sources) both clear hard bars comfortably; headcount 120,000+ (10k+); no distress evidence found in current sources (dividends, decarbonization capex ongoing); globally diversified industrial buyer base; no F1 conflict found; ownership public with no disqualifying state/sanction/gambling issue. Fit score 4/4.</t>
        </is>
      </c>
      <c r="P10" s="10" t="inlineStr">
        <is>
          <t>Steel-as-materials-science story - 'the metal inside every car on the grid' - tied to ArcelorMittal's green-steel decarbonization push, aligning with F1's own sustainability narrative.</t>
        </is>
      </c>
      <c r="Q10" s="10" t="inlineStr">
        <is>
          <t>European steel sector faces industry-wide overcapacity/tariff headwinds (monitor, not company-specific distress evidence found)</t>
        </is>
      </c>
      <c r="R10" s="10" t="inlineStr">
        <is>
          <t>verified-existing</t>
        </is>
      </c>
      <c r="S10" s="10" t="inlineStr">
        <is>
          <t>2026-09-28</t>
        </is>
      </c>
    </row>
    <row r="11">
      <c r="A11" s="10" t="n">
        <v>8</v>
      </c>
      <c r="B11" s="10" t="n">
        <v>92</v>
      </c>
      <c r="C11" s="10" t="inlineStr">
        <is>
          <t>Capstone Copper</t>
        </is>
      </c>
      <c r="D11" s="10" t="inlineStr">
        <is>
          <t>capstonecopper.com</t>
        </is>
      </c>
      <c r="E11" s="10" t="inlineStr">
        <is>
          <t>Canada</t>
        </is>
      </c>
      <c r="F11" s="10" t="inlineStr">
        <is>
          <t>Public (TSX: CS); no state or majority holder identified</t>
        </is>
      </c>
      <c r="G11" s="10" t="inlineStr">
        <is>
          <t>Copper mining (Chile, Mexico, US, Canada operations)</t>
        </is>
      </c>
      <c r="H11" s="10" t="inlineStr">
        <is>
          <t>1k-5k</t>
        </is>
      </c>
      <c r="I11" s="10" t="inlineStr">
        <is>
          <t>$2.36B FY2025, +47.6% YoY growth (stockanalysis.com, accessed Sept 2026) — clears &gt;$100M hard bar with strong growth</t>
        </is>
      </c>
      <c r="J11" s="10" t="inlineStr">
        <is>
          <t>$8.93B market cap as of Aug 28 2026 (stockanalysis.com); ~CAD $10.23B per companion source — clears &gt;$1B hard bar</t>
        </is>
      </c>
      <c r="K11" s="10" t="inlineStr">
        <is>
          <t>N/A (public company; funding growth capex from operating cash flow/balance sheet, not a recent private raise)</t>
        </is>
      </c>
      <c r="L11" s="10" t="inlineStr">
        <is>
          <t>meets parameters</t>
        </is>
      </c>
      <c r="M11" s="10" t="n">
        <v>4</v>
      </c>
      <c r="N11" s="10" t="inlineStr">
        <is>
          <t>Yes</t>
        </is>
      </c>
      <c r="O11" s="10" t="inlineStr">
        <is>
          <t>Revenue $2.36B (&gt;$100M bar) growing 47.6% YoY and market cap $8.93B (&gt;$1B bar) both clear hard bars; headcount ~3,700-4,000 (1k-5k band); clearly growing/investing (Mantoverde, Santo Domingo expansion), not in distress; sells via broad global trading markets, not customer-concentrated; no F1 conflict found; ownership public, no disqualifying issue. Fit score 4/4.</t>
        </is>
      </c>
      <c r="P11" s="10" t="inlineStr">
        <is>
          <t>Copper as the literal conductor of electrification - 'copper powers performance' - leveraging its Mantoverde/Santo Domingo growth pipeline for a multi-year sponsorship build-up story tied to F1's hybrid power-unit narrative.</t>
        </is>
      </c>
      <c r="Q11" s="10" t="n"/>
      <c r="R11" s="10" t="inlineStr">
        <is>
          <t>verified-existing</t>
        </is>
      </c>
      <c r="S11" s="10" t="inlineStr">
        <is>
          <t>2026-09-28</t>
        </is>
      </c>
    </row>
    <row r="12">
      <c r="A12" s="10" t="n">
        <v>9</v>
      </c>
      <c r="B12" s="10" t="n">
        <v>92</v>
      </c>
      <c r="C12" s="10" t="inlineStr">
        <is>
          <t>Ero Copper</t>
        </is>
      </c>
      <c r="D12" s="10" t="inlineStr">
        <is>
          <t>erocopperco.com</t>
        </is>
      </c>
      <c r="E12" s="10" t="inlineStr">
        <is>
          <t>Canada</t>
        </is>
      </c>
      <c r="F12" s="10" t="inlineStr">
        <is>
          <t>Public (TSX/NYSE: ERO); no state or majority holder identified</t>
        </is>
      </c>
      <c r="G12" s="10" t="inlineStr">
        <is>
          <t>Copper mining (Brazil, via Tucumã ramp-up)</t>
        </is>
      </c>
      <c r="H12" s="10" t="inlineStr">
        <is>
          <t>1k-5k</t>
        </is>
      </c>
      <c r="I12" s="10" t="inlineStr">
        <is>
          <t>$785.8M FY2025 (copper sales $619.7M of that total) per SEC 6-K/40-F filings (sec.gov, accessed Sept 2026); trailing-12-month revenue $1.04B as of June 30 2026 (tipranks.com) reflecting continued ramp-up — clears &gt;$100M hard bar</t>
        </is>
      </c>
      <c r="J12" s="10" t="inlineStr">
        <is>
          <t>$3.17B market cap (Jan 2026) rising to $3.63B by Sept 21 2026 (cnbc.com/companiesmarketcap.com, accessed Sept 2026) — clears &gt;$1B hard bar</t>
        </is>
      </c>
      <c r="K12" s="10" t="inlineStr">
        <is>
          <t>N/A (public company; growth funded via operations as Tucumã reaches commercial production)</t>
        </is>
      </c>
      <c r="L12" s="10" t="inlineStr">
        <is>
          <t>meets parameters</t>
        </is>
      </c>
      <c r="M12" s="10" t="n">
        <v>4</v>
      </c>
      <c r="N12" s="10" t="inlineStr">
        <is>
          <t>Yes</t>
        </is>
      </c>
      <c r="O12" s="10" t="inlineStr">
        <is>
          <t>Revenue ($785.8M FY2025, $1.04B TTM) and market cap ($3.17-3.63B) both clear hard bars; headcount 3,690 (1k-5k band); clearly improving (Tucumã reached commercial production July 2025, driving revenue growth), not in distress; no F1 conflict found; ownership public with no disqualifying issue. Fit score 4/4.</t>
        </is>
      </c>
      <c r="P12" s="10" t="inlineStr">
        <is>
          <t>Tucumã ramp-up (commercial production since July 2025) doubling the production profile, paired with Brazilian operations for a direct home-market activation tied to the São Paulo Grand Prix.</t>
        </is>
      </c>
      <c r="Q12" s="10" t="n"/>
      <c r="R12" s="10" t="inlineStr">
        <is>
          <t>verified-existing</t>
        </is>
      </c>
      <c r="S12" s="10" t="inlineStr">
        <is>
          <t>2026-09-28</t>
        </is>
      </c>
    </row>
    <row r="13">
      <c r="A13" s="10" t="n">
        <v>10</v>
      </c>
      <c r="B13" s="10" t="n">
        <v>92</v>
      </c>
      <c r="C13" s="10" t="inlineStr">
        <is>
          <t>Hindalco Industries</t>
        </is>
      </c>
      <c r="D13" s="10" t="inlineStr">
        <is>
          <t>hindalco.com</t>
        </is>
      </c>
      <c r="E13" s="10" t="inlineStr">
        <is>
          <t>Mumbai, India</t>
        </is>
      </c>
      <c r="F13" s="10" t="inlineStr">
        <is>
          <t>Public (NSE/BSE); part of Aditya Birla Group (Kumar Mangalam Birla), no state ownership</t>
        </is>
      </c>
      <c r="G13" s="10" t="inlineStr">
        <is>
          <t>Aluminum and copper production; owns Novelis, the world's largest aluminum roller/recycler</t>
        </is>
      </c>
      <c r="H13" s="10" t="inlineStr">
        <is>
          <t>10k+</t>
        </is>
      </c>
      <c r="I13" s="10" t="inlineStr">
        <is>
          <t>Rs 238,496 crore (~$25B) FY2025 consolidated revenue including Novelis (Wikipedia / company FY2025 results)</t>
        </is>
      </c>
      <c r="J13" s="10" t="inlineStr">
        <is>
          <t>$22.6B market cap as of June 25, 2026 (stockanalysis.com)</t>
        </is>
      </c>
      <c r="K13" s="10" t="inlineStr">
        <is>
          <t>N/A - public company; no recent primary equity raise identified</t>
        </is>
      </c>
      <c r="L13" s="10" t="inlineStr">
        <is>
          <t>exceeds - mega-brand</t>
        </is>
      </c>
      <c r="M13" s="10" t="n">
        <v>4</v>
      </c>
      <c r="N13" s="10" t="inlineStr">
        <is>
          <t>Yes</t>
        </is>
      </c>
      <c r="O13" s="10" t="inlineStr">
        <is>
          <t>All hard filters pass: revenue ~$25B, market cap $22.6B, 40k-70k+ employees depending on source (10k+ band either way), no F1 conflicts, part of Aditya Birla Group which has no F1 ties (kept per parent-company rule), fit score 4 (max).</t>
        </is>
      </c>
      <c r="P13" s="10" t="inlineStr">
        <is>
          <t>Novelis's 'lightweight materials for performance' story - the world's largest aluminum recycler feeding auto/EV lightweighting is a natural materials-science tie-in to F1 chassis and sustainability/recycling narratives; open 'materials &amp; metals' category on the grid.</t>
        </is>
      </c>
      <c r="Q13" s="10" t="inlineStr">
        <is>
          <t>parent: Aditya Birla Group (large diversified conglomerate, no F1 ties found)</t>
        </is>
      </c>
      <c r="R13" s="10" t="inlineStr">
        <is>
          <t>verified-existing</t>
        </is>
      </c>
      <c r="S13" s="10" t="inlineStr">
        <is>
          <t>2026-09-28</t>
        </is>
      </c>
    </row>
    <row r="14">
      <c r="A14" s="10" t="n">
        <v>11</v>
      </c>
      <c r="B14" s="10" t="n">
        <v>92</v>
      </c>
      <c r="C14" s="10" t="inlineStr">
        <is>
          <t>JSW Steel</t>
        </is>
      </c>
      <c r="D14" s="10" t="inlineStr">
        <is>
          <t>jsw.in</t>
        </is>
      </c>
      <c r="E14" s="10" t="inlineStr">
        <is>
          <t>Mumbai, India</t>
        </is>
      </c>
      <c r="F14" s="10" t="inlineStr">
        <is>
          <t>Public (NSE/BSE); Jindal family control (JSW Group), no state ownership</t>
        </is>
      </c>
      <c r="G14" s="10" t="inlineStr">
        <is>
          <t>Steel manufacturing (India, with US and Italy plants)</t>
        </is>
      </c>
      <c r="H14" s="10" t="inlineStr">
        <is>
          <t>10k+</t>
        </is>
      </c>
      <c r="I14" s="10" t="inlineStr">
        <is>
          <t>$21.3B FY2025 revenue (GlobalData / companiesmarketcap.com)</t>
        </is>
      </c>
      <c r="J14" s="10" t="inlineStr">
        <is>
          <t>$32.0B market cap (GlobalData, 2025/26)</t>
        </is>
      </c>
      <c r="K14" s="10" t="inlineStr">
        <is>
          <t>N/A - public company; no recent primary capital raise identified</t>
        </is>
      </c>
      <c r="L14" s="10" t="inlineStr">
        <is>
          <t>exceeds - mega-brand</t>
        </is>
      </c>
      <c r="M14" s="10" t="n">
        <v>4</v>
      </c>
      <c r="N14" s="10" t="inlineStr">
        <is>
          <t>Yes</t>
        </is>
      </c>
      <c r="O14" s="10" t="inlineStr">
        <is>
          <t>All hard filters pass: revenue $21.3B, market cap $32.0B, employees 10k+ across all sources (range 16k-45k), no F1 conflicts, clean public/family-controlled ownership, fit score 4 (max).</t>
        </is>
      </c>
      <c r="P14" s="10" t="inlineStr">
        <is>
          <t>JSW Group's existing global sports investment portfolio (football, cricket, Olympic sports) plus an industrial 'steel for performance' narrative make F1 a natural extension - pitch the open 'steel &amp; materials engineering' category, leveraging India's fast-growing F1 fanbase and JSW's international manufacturing footprint.</t>
        </is>
      </c>
      <c r="Q14" s="10" t="n"/>
      <c r="R14" s="10" t="inlineStr">
        <is>
          <t>verified-existing</t>
        </is>
      </c>
      <c r="S14" s="10" t="inlineStr">
        <is>
          <t>2026-09-28</t>
        </is>
      </c>
    </row>
    <row r="15">
      <c r="A15" s="10" t="n">
        <v>12</v>
      </c>
      <c r="B15" s="10" t="n">
        <v>92</v>
      </c>
      <c r="C15" s="10" t="inlineStr">
        <is>
          <t>Orica</t>
        </is>
      </c>
      <c r="D15" s="10" t="inlineStr">
        <is>
          <t>orica.com</t>
        </is>
      </c>
      <c r="E15" s="10" t="inlineStr">
        <is>
          <t>Australia</t>
        </is>
      </c>
      <c r="F15" s="10" t="inlineStr">
        <is>
          <t>Public (ASX: ORI)</t>
        </is>
      </c>
      <c r="G15" s="10" t="inlineStr">
        <is>
          <t>Mining explosives, blasting systems and digital blasting technology (BlastIQ)</t>
        </is>
      </c>
      <c r="H15" s="10" t="inlineStr">
        <is>
          <t>10k+ (13,000+)</t>
        </is>
      </c>
      <c r="I15" s="10" t="inlineStr">
        <is>
          <t>AUD 8.18B FY2025 (year ended 30 Sept 2025, stockanalysis.com); H1 FY2026 AUD 3.90B (+6.58% YoY)</t>
        </is>
      </c>
      <c r="J15" s="10" t="inlineStr">
        <is>
          <t>Market cap ~AUD 10.2-10.7B (~US$6.7-7B) as of 2026 (stockanalysis.com)</t>
        </is>
      </c>
      <c r="K15" s="10" t="inlineStr">
        <is>
          <t>n/a — public company</t>
        </is>
      </c>
      <c r="L15" s="10" t="inlineStr">
        <is>
          <t>meets parameters</t>
        </is>
      </c>
      <c r="M15" s="10" t="n">
        <v>4</v>
      </c>
      <c r="N15" s="10" t="inlineStr">
        <is>
          <t>Yes</t>
        </is>
      </c>
      <c r="O15" s="10" t="inlineStr">
        <is>
          <t>All hard filters pass: revenue AUD 8.18B (FY2025), market cap ~AUD 10.2-10.7B, record H1 2026 results (EBIT +5%, NPAT +8% YoY), 13,000+ employees, no F1 conflicts found, fit score 4.</t>
        </is>
      </c>
      <c r="P15" s="10" t="inlineStr">
        <is>
          <t>Precision, digital blasting/mining-technology story (BlastIQ platform) mapping directly onto F1's performance-engineering narrative; open mining-services category.</t>
        </is>
      </c>
      <c r="Q15" s="10" t="n"/>
      <c r="R15" s="10" t="inlineStr">
        <is>
          <t>verified-existing</t>
        </is>
      </c>
      <c r="S15" s="10" t="inlineStr">
        <is>
          <t>2026-09-28</t>
        </is>
      </c>
    </row>
    <row r="16">
      <c r="A16" s="10" t="n">
        <v>13</v>
      </c>
      <c r="B16" s="10" t="n">
        <v>92</v>
      </c>
      <c r="C16" s="10" t="inlineStr">
        <is>
          <t>Imdex</t>
        </is>
      </c>
      <c r="D16" s="10" t="inlineStr">
        <is>
          <t>imdexlimited.com</t>
        </is>
      </c>
      <c r="E16" s="10" t="inlineStr">
        <is>
          <t>Australia</t>
        </is>
      </c>
      <c r="F16" s="10" t="inlineStr">
        <is>
          <t>Public (ASX: IMD).</t>
        </is>
      </c>
      <c r="G16" s="10" t="inlineStr">
        <is>
          <t>Mining tech (drilling fluids, sensors &amp; data)</t>
        </is>
      </c>
      <c r="H16" s="10" t="inlineStr">
        <is>
          <t>1k-5k</t>
        </is>
      </c>
      <c r="I16" s="10" t="inlineStr">
        <is>
          <t>A$431.8M revenue, FY2025 (ended Jun 2025), down 3.0% YoY (stockanalysis.com, 2026).</t>
        </is>
      </c>
      <c r="J16" s="10" t="inlineStr">
        <is>
          <t>~A$1.72-1.73B market cap (~USD $1.1-1.14B), consistent across Nov 2025 and Sep 2026 snapshots (stockanalysis.com).</t>
        </is>
      </c>
      <c r="K16" s="10" t="inlineStr">
        <is>
          <t>N/A — public company; no recent capital raise identified.</t>
        </is>
      </c>
      <c r="L16" s="10" t="inlineStr">
        <is>
          <t>meets parameters</t>
        </is>
      </c>
      <c r="M16" s="10" t="n">
        <v>4</v>
      </c>
      <c r="N16" s="10" t="inlineStr">
        <is>
          <t>Yes</t>
        </is>
      </c>
      <c r="O16" s="10" t="inlineStr">
        <is>
          <t>All hard bars pass: revenue ~A$431.8M FY25 clears $100M comfortably; market cap ~A$1.72-1.73B (~USD $1.1-1.14B, Sep 2026) clears $1B; net income rebounded to A$55.2M (profitable/improving), satisfying the capacity-to-spend test. No F1 sponsorship ties found. Public ASX company with no state, gambling, or alcohol compliance issues. Fit score 4/4.</t>
        </is>
      </c>
      <c r="P16" s="10" t="inlineStr">
        <is>
          <t>Real-time subsurface-intelligence/sensor-data story maps directly to F1's telemetry and precision narrative; open category, with strong timing given rebounding profitability.</t>
        </is>
      </c>
      <c r="Q16" s="10" t="inlineStr">
        <is>
          <t>Revenue declined -3% YoY in FY25 even as net income rebounded to A$55.2M</t>
        </is>
      </c>
      <c r="R16" s="10" t="inlineStr">
        <is>
          <t>verified-existing</t>
        </is>
      </c>
      <c r="S16" s="10" t="inlineStr">
        <is>
          <t>2026-09-28</t>
        </is>
      </c>
    </row>
    <row r="17">
      <c r="A17" s="10" t="n">
        <v>14</v>
      </c>
      <c r="B17" s="10" t="n">
        <v>84</v>
      </c>
      <c r="C17" s="10" t="inlineStr">
        <is>
          <t>Evolution Mining</t>
        </is>
      </c>
      <c r="D17" s="10" t="inlineStr">
        <is>
          <t>evolutionmining.com.au</t>
        </is>
      </c>
      <c r="E17" s="10" t="inlineStr">
        <is>
          <t>Australia</t>
        </is>
      </c>
      <c r="F17" s="10" t="inlineStr">
        <is>
          <t>Public (ASX: EVN)</t>
        </is>
      </c>
      <c r="G17" s="10" t="inlineStr">
        <is>
          <t>Gold and copper mining</t>
        </is>
      </c>
      <c r="H17" s="10" t="inlineStr">
        <is>
          <t>1k-5k</t>
        </is>
      </c>
      <c r="I17" s="10" t="inlineStr">
        <is>
          <t>~A$3.2B / US$2.9B FY2024, +35.3% YoY (Statista/stockanalysis, verified Sep 2026) — clears &gt;$100M hard bar</t>
        </is>
      </c>
      <c r="J17" s="10" t="inlineStr">
        <is>
          <t>$22.3B USD / A$23.27B market cap as of Aug 2026 (tradingeconomics/companiesmarketcap) — clears &gt;$1B hard bar</t>
        </is>
      </c>
      <c r="K17" s="10" t="inlineStr">
        <is>
          <t>N/A — public company</t>
        </is>
      </c>
      <c r="L17" s="10" t="inlineStr">
        <is>
          <t>meets parameters</t>
        </is>
      </c>
      <c r="M17" s="10" t="n">
        <v>3</v>
      </c>
      <c r="N17" s="10" t="inlineStr">
        <is>
          <t>Yes</t>
        </is>
      </c>
      <c r="O17" s="10" t="inlineStr">
        <is>
          <t>All hard filters clearly and independently pass: FY2024 revenue ~A$3.2B (+35% YoY) and market cap $22.3B/A$23.27B both confirmed with dates/sources; ~3,100 employees confirmed; strong revenue growth shows clear capacity, not distress; commodity-market sales base is broad, not customer-concentrated; no F1 ties found; ownership clean public ASX. Fit 3/4 — a clean Yes with no material reservations.</t>
        </is>
      </c>
      <c r="P17" s="10" t="inlineStr">
        <is>
          <t>Gold/copper growth-cycle story — capitalize on Evolution's 2024-26 momentum and rising metal prices; open category, no mining sponsor on the 2026 grid.</t>
        </is>
      </c>
      <c r="Q17" s="10" t="n"/>
      <c r="R17" s="10" t="inlineStr">
        <is>
          <t>verified-existing</t>
        </is>
      </c>
      <c r="S17" s="10" t="inlineStr">
        <is>
          <t>2026-09-28</t>
        </is>
      </c>
    </row>
    <row r="18">
      <c r="A18" s="10" t="n">
        <v>15</v>
      </c>
      <c r="B18" s="10" t="n">
        <v>84</v>
      </c>
      <c r="C18" s="10" t="inlineStr">
        <is>
          <t>B2Gold</t>
        </is>
      </c>
      <c r="D18" s="10" t="inlineStr">
        <is>
          <t>b2gold.com</t>
        </is>
      </c>
      <c r="E18" s="10" t="inlineStr">
        <is>
          <t>Vancouver, Canada</t>
        </is>
      </c>
      <c r="F18" s="10" t="inlineStr">
        <is>
          <t>Public (TSX/NYSE: BTG), no controlling family or state stake</t>
        </is>
      </c>
      <c r="G18" s="10" t="inlineStr">
        <is>
          <t>Gold</t>
        </is>
      </c>
      <c r="H18" s="10" t="inlineStr">
        <is>
          <t>5k-10k</t>
        </is>
      </c>
      <c r="I18" s="10" t="inlineStr">
        <is>
          <t>Q4 2025 revenue $1.05B; TTM revenue $3.78B as of 30 June 2026 (FY2024 full-year was $1.90B) - SEC 6-K filings / stockanalysis.com</t>
        </is>
      </c>
      <c r="J18" s="10" t="inlineStr">
        <is>
          <t>~$7.22B USD market cap as of 31 Aug 2026 (stockanalysis.com)</t>
        </is>
      </c>
      <c r="K18" s="10" t="inlineStr">
        <is>
          <t>N/A - public, cash-generative gold producer</t>
        </is>
      </c>
      <c r="L18" s="10" t="inlineStr">
        <is>
          <t>meets parameters</t>
        </is>
      </c>
      <c r="M18" s="10" t="n">
        <v>3</v>
      </c>
      <c r="N18" s="10" t="inlineStr">
        <is>
          <t>Yes</t>
        </is>
      </c>
      <c r="O18" s="10" t="inlineStr">
        <is>
          <t>Revenue and market cap clear hard bars comfortably; headcount 5,500+ (est) passes; no F1 sponsorship conflicts found; strong realized gold prices (~$3,718/oz Q4 2025) show clear capacity to spend; no problematic ownership.</t>
        </is>
      </c>
      <c r="P18" s="10" t="inlineStr">
        <is>
          <t>High realized gold prices and record cash generation - a 'building a global gold major' growth story across Africa, Latin America and Asia-Pacific, mirroring F1's own multi-continent footprint.</t>
        </is>
      </c>
      <c r="Q18" s="10" t="n"/>
      <c r="R18" s="10" t="inlineStr">
        <is>
          <t>verified-existing</t>
        </is>
      </c>
      <c r="S18" s="10" t="inlineStr">
        <is>
          <t>2026-09-28</t>
        </is>
      </c>
    </row>
    <row r="19">
      <c r="A19" s="10" t="n">
        <v>16</v>
      </c>
      <c r="B19" s="10" t="n">
        <v>84</v>
      </c>
      <c r="C19" s="10" t="inlineStr">
        <is>
          <t>Kinross Gold</t>
        </is>
      </c>
      <c r="D19" s="10" t="inlineStr">
        <is>
          <t>kinross.com</t>
        </is>
      </c>
      <c r="E19" s="10" t="inlineStr">
        <is>
          <t>Toronto, Canada</t>
        </is>
      </c>
      <c r="F19" s="10" t="inlineStr">
        <is>
          <t>Public (TSX/NYSE: KGC), no controlling family or state stake</t>
        </is>
      </c>
      <c r="G19" s="10" t="inlineStr">
        <is>
          <t>Gold</t>
        </is>
      </c>
      <c r="H19" s="10" t="inlineStr">
        <is>
          <t>5k-10k</t>
        </is>
      </c>
      <c r="I19" s="10" t="inlineStr">
        <is>
          <t>$7,051.1M FY2025 (+37% YoY, kinross.com press release, reported early 2026)</t>
        </is>
      </c>
      <c r="J19" s="10" t="inlineStr">
        <is>
          <t>~$33.0B USD market cap as of Sept 2026 (companiesmarketcap.com)</t>
        </is>
      </c>
      <c r="K19" s="10" t="inlineStr">
        <is>
          <t>N/A - public, record revenue</t>
        </is>
      </c>
      <c r="L19" s="10" t="inlineStr">
        <is>
          <t>exceeds - mega-brand</t>
        </is>
      </c>
      <c r="M19" s="10" t="n">
        <v>3</v>
      </c>
      <c r="N19" s="10" t="inlineStr">
        <is>
          <t>Yes</t>
        </is>
      </c>
      <c r="O19" s="10" t="inlineStr">
        <is>
          <t>Revenue $7.05B and market cap ~$33B both clear hard bars comfortably; headcount 7,000+ (est) passes; no F1 sponsorship conflicts found; 37% YoY revenue growth on record gold prices shows clear capacity to spend; no problematic ownership.</t>
        </is>
      </c>
      <c r="P19" s="10" t="inlineStr">
        <is>
          <t>Record gold prices and record revenue growth (+37% YoY) across a genuinely global, multi-continent mine portfolio (Americas + West Africa) - a growth-story angle timed to gold's current bull run.</t>
        </is>
      </c>
      <c r="Q19" s="10" t="n"/>
      <c r="R19" s="10" t="inlineStr">
        <is>
          <t>verified-existing</t>
        </is>
      </c>
      <c r="S19" s="10" t="inlineStr">
        <is>
          <t>2026-09-28</t>
        </is>
      </c>
    </row>
    <row r="20">
      <c r="A20" s="10" t="n">
        <v>17</v>
      </c>
      <c r="B20" s="10" t="n">
        <v>84</v>
      </c>
      <c r="C20" s="10" t="inlineStr">
        <is>
          <t>Lundin Mining</t>
        </is>
      </c>
      <c r="D20" s="10" t="inlineStr">
        <is>
          <t>lundinmining.com</t>
        </is>
      </c>
      <c r="E20" s="10" t="inlineStr">
        <is>
          <t>Canada</t>
        </is>
      </c>
      <c r="F20" s="10" t="inlineStr">
        <is>
          <t>Public (TSX: LUN; also Nasdaq Stockholm); Lundin Group family (chairman Lukas Lundin) holds a significant minority stake — no majority state, PE, or F1-linked control</t>
        </is>
      </c>
      <c r="G20" s="10" t="inlineStr">
        <is>
          <t>Copper &amp; zinc mining</t>
        </is>
      </c>
      <c r="H20" s="10" t="inlineStr">
        <is>
          <t>10k+</t>
        </is>
      </c>
      <c r="I20" s="10" t="inlineStr">
        <is>
          <t>$4.1B FY2025 revenue from continuing operations, +18.4% YoY (Lundin Mining Q4/FY2025 results, reported Feb 2026, lundinmining.com)</t>
        </is>
      </c>
      <c r="J20" s="10" t="inlineStr">
        <is>
          <t>~US$9-10B market cap (est, TSX:LUN, as of Sept 2026, following record 2025 results and elevated copper prices; companiesmarketcap.com aggregation — precise print not directly sourced this run)</t>
        </is>
      </c>
      <c r="K20" s="10" t="inlineStr">
        <is>
          <t>N/A — public company, no recent VC-style raise</t>
        </is>
      </c>
      <c r="L20" s="10" t="inlineStr">
        <is>
          <t>meets parameters</t>
        </is>
      </c>
      <c r="M20" s="10" t="n">
        <v>3</v>
      </c>
      <c r="N20" s="10" t="inlineStr">
        <is>
          <t>Yes</t>
        </is>
      </c>
      <c r="O20" s="10" t="inlineStr">
        <is>
          <t>All hard filters pass: revenue $4.1B far exceeds the $100M bar; market cap ~$9-10B (est) clears $1B; 13,625 employees (10k+ band); record 2025 results show clear capacity to spend; no F1 sponsorship conflicts found direct or via parent; ownership is public with family-minority influence, no state/compliance issue; fit score 3.</t>
        </is>
      </c>
      <c r="P20" s="10" t="inlineStr">
        <is>
          <t>Position copper as 'the metal of the energy transition' — a global electrification growth story with genuine open-category status on the grid.</t>
        </is>
      </c>
      <c r="Q20" s="10" t="inlineStr">
        <is>
          <t>family-influenced ownership (Lundin Group)</t>
        </is>
      </c>
      <c r="R20" s="10" t="inlineStr">
        <is>
          <t>verified-existing</t>
        </is>
      </c>
      <c r="S20" s="10" t="inlineStr">
        <is>
          <t>2026-09-28</t>
        </is>
      </c>
    </row>
    <row r="21">
      <c r="A21" s="10" t="n">
        <v>18</v>
      </c>
      <c r="B21" s="10" t="n">
        <v>84</v>
      </c>
      <c r="C21" s="10" t="inlineStr">
        <is>
          <t>Pan American Silver</t>
        </is>
      </c>
      <c r="D21" s="10" t="inlineStr">
        <is>
          <t>panamericansilver.com</t>
        </is>
      </c>
      <c r="E21" s="10" t="inlineStr">
        <is>
          <t>Canada</t>
        </is>
      </c>
      <c r="F21" s="10" t="inlineStr">
        <is>
          <t>Public (TSX/NYSE: PAAS) — no state control</t>
        </is>
      </c>
      <c r="G21" s="10" t="inlineStr">
        <is>
          <t>Silver &amp; gold mining</t>
        </is>
      </c>
      <c r="H21" s="10" t="inlineStr">
        <is>
          <t>5k-10k</t>
        </is>
      </c>
      <c r="I21" s="10" t="inlineStr">
        <is>
          <t>US$3.62B 2025 revenue, +28.4% YoY (SEC Form 6-K FY2025 results, filed 2026; stockanalysis.com)</t>
        </is>
      </c>
      <c r="J21" s="10" t="inlineStr">
        <is>
          <t>~US$20B market cap (as of Aug 12, 2026, tradingeconomics.com/stockanalysis.com aggregation; ranged ~US$12-20B across the year on the silver price rally)</t>
        </is>
      </c>
      <c r="K21" s="10" t="inlineStr">
        <is>
          <t>N/A — public company</t>
        </is>
      </c>
      <c r="L21" s="10" t="inlineStr">
        <is>
          <t>meets parameters</t>
        </is>
      </c>
      <c r="M21" s="10" t="n">
        <v>3</v>
      </c>
      <c r="N21" s="10" t="inlineStr">
        <is>
          <t>Yes</t>
        </is>
      </c>
      <c r="O21" s="10" t="inlineStr">
        <is>
          <t>All hard filters clear: revenue $3.62B and market cap ~$20B far exceed bars; headcount 5k-10k (8,781-9,348 employees, 2025 filings); record 2025 growth signals clear capacity to spend; no F1 conflicts found; clean public ownership; fit score 3.</t>
        </is>
      </c>
      <c r="P21" s="10" t="inlineStr">
        <is>
          <t>Global-scale precious-metals growth story riding the 2025/26 silver price rally, paired with genuinely open category status on the grid.</t>
        </is>
      </c>
      <c r="Q21" s="10" t="n"/>
      <c r="R21" s="10" t="inlineStr">
        <is>
          <t>verified-existing</t>
        </is>
      </c>
      <c r="S21" s="10" t="inlineStr">
        <is>
          <t>2026-09-28</t>
        </is>
      </c>
    </row>
    <row r="22">
      <c r="A22" s="10" t="n">
        <v>19</v>
      </c>
      <c r="B22" s="10" t="n">
        <v>84</v>
      </c>
      <c r="C22" s="10" t="inlineStr">
        <is>
          <t>South32</t>
        </is>
      </c>
      <c r="D22" s="10" t="inlineStr">
        <is>
          <t>south32.net</t>
        </is>
      </c>
      <c r="E22" s="10" t="inlineStr">
        <is>
          <t>Australia</t>
        </is>
      </c>
      <c r="F22" s="10" t="inlineStr">
        <is>
          <t>Public (ASX/LSE: S32) — spun off from BHP in 2015; no state control</t>
        </is>
      </c>
      <c r="G22" s="10" t="inlineStr">
        <is>
          <t>Diversified mining (base metals, alumina, manganese)</t>
        </is>
      </c>
      <c r="H22" s="10" t="inlineStr">
        <is>
          <t>5k-10k</t>
        </is>
      </c>
      <c r="I22" s="10" t="inlineStr">
        <is>
          <t>US$5.98B FY2025 revenue (year ended June 30, 2025), +19.2% YoY (stockanalysis.com)</t>
        </is>
      </c>
      <c r="J22" s="10" t="inlineStr">
        <is>
          <t>~US$18B market cap (as of May 18, 2026, stockanalysis.com)</t>
        </is>
      </c>
      <c r="K22" s="10" t="inlineStr">
        <is>
          <t>N/A — public company</t>
        </is>
      </c>
      <c r="L22" s="10" t="inlineStr">
        <is>
          <t>meets parameters</t>
        </is>
      </c>
      <c r="M22" s="10" t="n">
        <v>3</v>
      </c>
      <c r="N22" s="10" t="inlineStr">
        <is>
          <t>Yes</t>
        </is>
      </c>
      <c r="O22" s="10" t="inlineStr">
        <is>
          <t>Hard filters pass: revenue $5.98B and market cap $18B comfortably clear bars; headcount 5k-10k (8,892 employees); revenue/margin growth despite a headcount trim shows capacity, not distress; no F1 conflicts found; clean public ownership; fit score 3.</t>
        </is>
      </c>
      <c r="P22" s="10" t="inlineStr">
        <is>
          <t>Diversified 'metals for the future' story (manganese/zinc for batteries and green infrastructure) in a completely open category on the grid.</t>
        </is>
      </c>
      <c r="Q22" s="10" t="inlineStr">
        <is>
          <t>headcount fell ~10% YoY in FY2025 — read as portfolio simplification/cost discipline rather than distress, since revenue and margins grew over the same period</t>
        </is>
      </c>
      <c r="R22" s="10" t="inlineStr">
        <is>
          <t>verified-existing</t>
        </is>
      </c>
      <c r="S22" s="10" t="inlineStr">
        <is>
          <t>2026-09-28</t>
        </is>
      </c>
    </row>
    <row r="23">
      <c r="A23" s="10" t="n">
        <v>20</v>
      </c>
      <c r="B23" s="10" t="n">
        <v>84</v>
      </c>
      <c r="C23" s="10" t="inlineStr">
        <is>
          <t>Sumitomo Metal Mining</t>
        </is>
      </c>
      <c r="D23" s="10" t="inlineStr">
        <is>
          <t>smm.co.jp</t>
        </is>
      </c>
      <c r="E23" s="10" t="inlineStr">
        <is>
          <t>Japan</t>
        </is>
      </c>
      <c r="F23" s="10" t="inlineStr">
        <is>
          <t>Public (TSE: 5713); part of the Sumitomo Group keiretsu via cross-shareholdings, not a controlled subsidiary — no state or majority control</t>
        </is>
      </c>
      <c r="G23" s="10" t="inlineStr">
        <is>
          <t>Nonferrous metals &amp; battery materials</t>
        </is>
      </c>
      <c r="H23" s="10" t="inlineStr">
        <is>
          <t>5k-10k</t>
        </is>
      </c>
      <c r="I23" s="10" t="inlineStr">
        <is>
          <t>US$11.2B 2025 revenue, +9.3% YoY (aggregated market data, reported 2025/2026)</t>
        </is>
      </c>
      <c r="J23" s="10" t="inlineStr">
        <is>
          <t>~US$14-18B market cap (¥2.58T as of Sept 22, 2026; GlobalData/stockanalysis.com aggregation)</t>
        </is>
      </c>
      <c r="K23" s="10" t="inlineStr">
        <is>
          <t>N/A — public company</t>
        </is>
      </c>
      <c r="L23" s="10" t="inlineStr">
        <is>
          <t>meets parameters</t>
        </is>
      </c>
      <c r="M23" s="10" t="n">
        <v>3</v>
      </c>
      <c r="N23" s="10" t="inlineStr">
        <is>
          <t>Yes</t>
        </is>
      </c>
      <c r="O23" s="10" t="inlineStr">
        <is>
          <t>Hard filters pass: revenue ~$11.2B and market cap ~$14-18B far exceed bars; headcount 5k-10k (7,507-7,969 employees); steady profitable growth; no F1 conflicts found; ownership is public/keiretsu-affiliated, not a controlling F1-linked parent; fit score 3.</t>
        </is>
      </c>
      <c r="P23" s="10" t="inlineStr">
        <is>
          <t>EV-battery-materials growth story (nickel/cobalt) tying Japanese precision-manufacturing heritage to F1's technology narrative.</t>
        </is>
      </c>
      <c r="Q23" s="10" t="inlineStr">
        <is>
          <t>Sumitomo Group keiretsu affiliate — soft flag per brief; parent is a large group with no known F1 ties, not a compliance issue</t>
        </is>
      </c>
      <c r="R23" s="10" t="inlineStr">
        <is>
          <t>verified-existing</t>
        </is>
      </c>
      <c r="S23" s="10" t="inlineStr">
        <is>
          <t>2026-09-28</t>
        </is>
      </c>
    </row>
    <row r="24">
      <c r="A24" s="10" t="n">
        <v>21</v>
      </c>
      <c r="B24" s="10" t="n">
        <v>84</v>
      </c>
      <c r="C24" s="10" t="inlineStr">
        <is>
          <t>Teck Resources</t>
        </is>
      </c>
      <c r="D24" s="10" t="inlineStr">
        <is>
          <t>teck.com</t>
        </is>
      </c>
      <c r="E24" s="10" t="inlineStr">
        <is>
          <t>Canada</t>
        </is>
      </c>
      <c r="F24" s="10" t="inlineStr">
        <is>
          <t>Public (TSX/NYSE: TECK) — dual-class structure with the Keevil family holding Class A voting control; agreed all-equity merger with Anglo American announced Sept 2025; no state control</t>
        </is>
      </c>
      <c r="G24" s="10" t="inlineStr">
        <is>
          <t>Diversified mining (copper, zinc)</t>
        </is>
      </c>
      <c r="H24" s="10" t="inlineStr">
        <is>
          <t>5k-10k</t>
        </is>
      </c>
      <c r="I24" s="10" t="inlineStr">
        <is>
          <t>US$10.76B 2025 revenue, +18.65% YoY (SEC Form 40-F FY2025; stockanalysis.com)</t>
        </is>
      </c>
      <c r="J24" s="10" t="inlineStr">
        <is>
          <t>~US$21-32B market cap (range Dec 15, 2025-Aug 2026; stockanalysis.com)</t>
        </is>
      </c>
      <c r="K24" s="10" t="inlineStr">
        <is>
          <t>N/A — public company (pending all-equity merger with Anglo American, not a capital raise)</t>
        </is>
      </c>
      <c r="L24" s="10" t="inlineStr">
        <is>
          <t>meets parameters</t>
        </is>
      </c>
      <c r="M24" s="10" t="n">
        <v>3</v>
      </c>
      <c r="N24" s="10" t="inlineStr">
        <is>
          <t>Yes</t>
        </is>
      </c>
      <c r="O24" s="10" t="inlineStr">
        <is>
          <t>Hard filters pass: revenue $10.76B and market cap $21B+ far exceed bars; headcount 5k-10k (7,429 employees); record growth and the pending Anglo American merger signal expansion, not distress; no F1 conflicts found; ownership is public (family-controlled voting class, not state); fit score 3.</t>
        </is>
      </c>
      <c r="P24" s="10" t="inlineStr">
        <is>
          <t>Copper/electrification growth story amplified by the pending Anglo American merger — a global-ambition narrative moment for outreach timing.</t>
        </is>
      </c>
      <c r="Q24" s="10" t="inlineStr">
        <is>
          <t>pending all-equity merger with Anglo American (announced Sept 2025) — outreach timing should account for the transaction closing/integration</t>
        </is>
      </c>
      <c r="R24" s="10" t="inlineStr">
        <is>
          <t>verified-existing</t>
        </is>
      </c>
      <c r="S24" s="10" t="inlineStr">
        <is>
          <t>2026-09-28</t>
        </is>
      </c>
    </row>
    <row r="25">
      <c r="A25" s="10" t="n">
        <v>22</v>
      </c>
      <c r="B25" s="10" t="n">
        <v>84</v>
      </c>
      <c r="C25" s="10" t="inlineStr">
        <is>
          <t>Agnico Eagle Mines</t>
        </is>
      </c>
      <c r="D25" s="10" t="inlineStr">
        <is>
          <t>agnicoeagle.com</t>
        </is>
      </c>
      <c r="E25" s="10" t="inlineStr">
        <is>
          <t>Canada</t>
        </is>
      </c>
      <c r="F25" s="10" t="inlineStr">
        <is>
          <t>Public (TSX/NYSE: AEM) — no state or majority control</t>
        </is>
      </c>
      <c r="G25" s="10" t="inlineStr">
        <is>
          <t>Gold mining</t>
        </is>
      </c>
      <c r="H25" s="10" t="inlineStr">
        <is>
          <t>10k+</t>
        </is>
      </c>
      <c r="I25" s="10" t="inlineStr">
        <is>
          <t>US$11.90B 2025 revenue, up from $8.28B in 2024 (FY2025 results, reported early 2026; agnicoeagle.com/stockanalysis.com)</t>
        </is>
      </c>
      <c r="J25" s="10" t="inlineStr">
        <is>
          <t>~US$104.4B market cap (as of Aug 28, 2026; stockanalysis.com)</t>
        </is>
      </c>
      <c r="K25" s="10" t="inlineStr">
        <is>
          <t>N/A — public company; record free cash flow and a 12.5% dividend increase, not a capital raise</t>
        </is>
      </c>
      <c r="L25" s="10" t="inlineStr">
        <is>
          <t>exceeds - mega-brand</t>
        </is>
      </c>
      <c r="M25" s="10" t="n">
        <v>3</v>
      </c>
      <c r="N25" s="10" t="inlineStr">
        <is>
          <t>Yes</t>
        </is>
      </c>
      <c r="O25" s="10" t="inlineStr">
        <is>
          <t>Hard filters pass with enormous headroom: revenue $11.9B, market cap ~$104B, 18,216 employees (10k+ band); record 2025 free cash flow and a raised dividend show clear capacity to spend; no F1 conflicts found; clean public ownership; fit score 3. Mega-brand scale never counts against the verdict.</t>
        </is>
      </c>
      <c r="P25" s="10" t="inlineStr">
        <is>
          <t>Record-breaking free-cash-flow story from the gold price cycle — a mega-brand entrant bringing genuine scale and an open category to the grid.</t>
        </is>
      </c>
      <c r="Q25" s="10" t="n"/>
      <c r="R25" s="10" t="inlineStr">
        <is>
          <t>verified-existing</t>
        </is>
      </c>
      <c r="S25" s="10" t="inlineStr">
        <is>
          <t>2026-09-28</t>
        </is>
      </c>
    </row>
    <row r="26">
      <c r="A26" s="10" t="n">
        <v>23</v>
      </c>
      <c r="B26" s="10" t="n">
        <v>84</v>
      </c>
      <c r="C26" s="10" t="inlineStr">
        <is>
          <t>Centerra Gold</t>
        </is>
      </c>
      <c r="D26" s="10" t="inlineStr">
        <is>
          <t>centerragold.com</t>
        </is>
      </c>
      <c r="E26" s="10" t="inlineStr">
        <is>
          <t>Canada</t>
        </is>
      </c>
      <c r="F26" s="10" t="inlineStr">
        <is>
          <t>Public (TSX/NYSE: CG); no state ownership currently (post-2022 Kumtor/Kyrgyzstan divestiture resolution)</t>
        </is>
      </c>
      <c r="G26" s="10" t="inlineStr">
        <is>
          <t>Gold, copper &amp; molybdenum mining (Americas, Turkey)</t>
        </is>
      </c>
      <c r="H26" s="10" t="inlineStr">
        <is>
          <t>1k-5k</t>
        </is>
      </c>
      <c r="I26" s="10" t="inlineStr">
        <is>
          <t>$1.38B (total $1,384,562 thousand) FY2025 per SEC 6-K filing (sec.gov, accessed Sept 2026) — clears &gt;$100M hard bar</t>
        </is>
      </c>
      <c r="J26" s="10" t="inlineStr">
        <is>
          <t>$4.48B market cap as of Sept 2026 (stockanalysis.com) — clears &gt;$1B hard bar</t>
        </is>
      </c>
      <c r="K26" s="10" t="inlineStr">
        <is>
          <t>N/A (public company)</t>
        </is>
      </c>
      <c r="L26" s="10" t="inlineStr">
        <is>
          <t>meets parameters</t>
        </is>
      </c>
      <c r="M26" s="10" t="n">
        <v>3</v>
      </c>
      <c r="N26" s="10" t="inlineStr">
        <is>
          <t>Yes</t>
        </is>
      </c>
      <c r="O26" s="10" t="inlineStr">
        <is>
          <t>Revenue $1.38B and market cap $4.48B both clear hard bars; headcount ~1,500 (1k-5k band, above 51 floor); profitable, diversified multi-metal producer, not in distress; broad buyer base via commodity markets; no F1 conflict found; ownership public with no disqualifying issue. Fit score 3/4.</t>
        </is>
      </c>
      <c r="P26" s="10" t="inlineStr">
        <is>
          <t>Turnaround/re-rating story following full resolution of the Kumtor dispute and diversification into the Americas - 'precision engineering meets precision extraction,' an open category with no gold miner yet on the grid.</t>
        </is>
      </c>
      <c r="Q26" s="10" t="inlineStr">
        <is>
          <t>verified employee count (~1,500 per PitchBook, Sept 2026) is notably lower than desk-triage estimate of 3,000+</t>
        </is>
      </c>
      <c r="R26" s="10" t="inlineStr">
        <is>
          <t>verified-existing</t>
        </is>
      </c>
      <c r="S26" s="10" t="inlineStr">
        <is>
          <t>2026-09-28</t>
        </is>
      </c>
    </row>
    <row r="27">
      <c r="A27" s="10" t="n">
        <v>24</v>
      </c>
      <c r="B27" s="10" t="n">
        <v>84</v>
      </c>
      <c r="C27" s="10" t="inlineStr">
        <is>
          <t>Coeur Mining</t>
        </is>
      </c>
      <c r="D27" s="10" t="inlineStr">
        <is>
          <t>coeur.com</t>
        </is>
      </c>
      <c r="E27" s="10" t="inlineStr">
        <is>
          <t>USA</t>
        </is>
      </c>
      <c r="F27" s="10" t="inlineStr">
        <is>
          <t>Public (NYSE: CDE); no state or majority holder identified</t>
        </is>
      </c>
      <c r="G27" s="10" t="inlineStr">
        <is>
          <t>Gold &amp; silver mining (US, Mexico, Canada)</t>
        </is>
      </c>
      <c r="H27" s="10" t="inlineStr">
        <is>
          <t>1k-5k</t>
        </is>
      </c>
      <c r="I27" s="10" t="inlineStr">
        <is>
          <t>$2,070.1M FY2025, incl. record Q2 2025 revenue of $481M (Coeur Mining Q2/FY2025 earnings releases via coeur.com and SEC 10-K, accessed Sept 2026) — clears &gt;$100M hard bar</t>
        </is>
      </c>
      <c r="J27" s="10" t="inlineStr">
        <is>
          <t>Market cap estimates conflict across sources - $15.24B (March 2026, tradingeconomics.com) vs. $6.27B (June 2026, companiesmarketcap.com); both figures clear the &gt;$1B hard bar regardless of which is more accurate amid the 2025-26 precious-metals rally</t>
        </is>
      </c>
      <c r="K27" s="10" t="inlineStr">
        <is>
          <t>N/A (public company)</t>
        </is>
      </c>
      <c r="L27" s="10" t="inlineStr">
        <is>
          <t>meets parameters</t>
        </is>
      </c>
      <c r="M27" s="10" t="n">
        <v>3</v>
      </c>
      <c r="N27" s="10" t="inlineStr">
        <is>
          <t>Yes</t>
        </is>
      </c>
      <c r="O27" s="10" t="inlineStr">
        <is>
          <t>Revenue $2.07B FY2025 (record, GAAP net income $585.9M, swung from prior-year loss) and market cap (&gt;$1B under either conflicting estimate) both clear hard bars; headcount est. ~2,200+ (1k-5k band); clearly improving financially, not in distress; no F1 conflict found; ownership public with no disqualifying issue. Fit score 3/4.</t>
        </is>
      </c>
      <c r="P27" s="10" t="inlineStr">
        <is>
          <t>Record 2025 results riding the silver/gold price rally and swing to strong GAAP profitability - a US-based precious-metals turnaround story backing precision performance.</t>
        </is>
      </c>
      <c r="Q27" s="10" t="inlineStr">
        <is>
          <t>market-cap figures conflict across sources by a wide range ($6-15B); treated as passing regardless since both clear the $1B bar; headcount not independently verified in search results - carried forward from desk estimate (~2,200+, est)</t>
        </is>
      </c>
      <c r="R27" s="10" t="inlineStr">
        <is>
          <t>verified-existing</t>
        </is>
      </c>
      <c r="S27" s="10" t="inlineStr">
        <is>
          <t>2026-09-28</t>
        </is>
      </c>
    </row>
    <row r="28">
      <c r="A28" s="10" t="n">
        <v>25</v>
      </c>
      <c r="B28" s="10" t="n">
        <v>84</v>
      </c>
      <c r="C28" s="10" t="inlineStr">
        <is>
          <t>Eldorado Gold</t>
        </is>
      </c>
      <c r="D28" s="10" t="inlineStr">
        <is>
          <t>eldoradogold.com</t>
        </is>
      </c>
      <c r="E28" s="10" t="inlineStr">
        <is>
          <t>Canada</t>
        </is>
      </c>
      <c r="F28" s="10" t="inlineStr">
        <is>
          <t>Public (TSX/NYSE: EGO); no state or majority holder identified</t>
        </is>
      </c>
      <c r="G28" s="10" t="inlineStr">
        <is>
          <t>Gold mining (Turkey, Greece, Canada)</t>
        </is>
      </c>
      <c r="H28" s="10" t="inlineStr">
        <is>
          <t>1k-5k</t>
        </is>
      </c>
      <c r="I28" s="10" t="inlineStr">
        <is>
          <t>$1,818,856 thousand (~$1.82B) FY2025, up from $1.32B FY2024 per SEC 6-K/40-F filings (sec.gov, accessed Sept 2026) — clears &gt;$100M hard bar with ~38% YoY growth</t>
        </is>
      </c>
      <c r="J28" s="10" t="inlineStr">
        <is>
          <t>$6.31B market cap (accessed Sept 2026, companiesmarketcap.com) — clears &gt;$1B hard bar</t>
        </is>
      </c>
      <c r="K28" s="10" t="inlineStr">
        <is>
          <t>N/A (public company)</t>
        </is>
      </c>
      <c r="L28" s="10" t="inlineStr">
        <is>
          <t>meets parameters</t>
        </is>
      </c>
      <c r="M28" s="10" t="n">
        <v>3</v>
      </c>
      <c r="N28" s="10" t="inlineStr">
        <is>
          <t>Yes</t>
        </is>
      </c>
      <c r="O28" s="10" t="inlineStr">
        <is>
          <t>Revenue $1.82B (up 38% YoY) and market cap $6.31B both clear hard bars; headcount ~4,800 (1k-5k band); clearly growing, not in distress; broad institutional buyer base; no F1 conflict found; ownership public with no disqualifying issue. Fit score 3/4.</t>
        </is>
      </c>
      <c r="P28" s="10" t="inlineStr">
        <is>
          <t>38% YoY revenue growth story spanning Turkey, Greece and Canada operations - 'a global gold operator for a global grid,' an open category on the 2026 grid.</t>
        </is>
      </c>
      <c r="Q28" s="10" t="n"/>
      <c r="R28" s="10" t="inlineStr">
        <is>
          <t>verified-existing</t>
        </is>
      </c>
      <c r="S28" s="10" t="inlineStr">
        <is>
          <t>2026-09-28</t>
        </is>
      </c>
    </row>
    <row r="29">
      <c r="A29" s="10" t="n">
        <v>26</v>
      </c>
      <c r="B29" s="10" t="n">
        <v>84</v>
      </c>
      <c r="C29" s="10" t="inlineStr">
        <is>
          <t>Gerdau</t>
        </is>
      </c>
      <c r="D29" s="10" t="inlineStr">
        <is>
          <t>gerdau.com</t>
        </is>
      </c>
      <c r="E29" s="10" t="inlineStr">
        <is>
          <t>Brazil</t>
        </is>
      </c>
      <c r="F29" s="10" t="inlineStr">
        <is>
          <t>Public (B3/NYSE: GGB); Gerdau-Johannpeter family holds ~70%+ of voting rights via holding company Metalurgica Gerdau (78.9% family stake in the holding co.) - family-controlled but publicly listed with a real, liquid valuation, not disqualifying</t>
        </is>
      </c>
      <c r="G29" s="10" t="inlineStr">
        <is>
          <t>Steel manufacturing (Brazil and international operations)</t>
        </is>
      </c>
      <c r="H29" s="10" t="inlineStr">
        <is>
          <t>10k+</t>
        </is>
      </c>
      <c r="I29" s="10" t="inlineStr">
        <is>
          <t>BRL 69.86B (~$12-13B USD est.) FY2025, +4.22% YoY growth (stockanalysis.com, accessed Sept 2026) — clears &gt;$100M hard bar</t>
        </is>
      </c>
      <c r="J29" s="10" t="inlineStr">
        <is>
          <t>Market cap ~R$31.6B (~$5.5-6B USD, est.) as of Sept 30 2025, down slightly from R$32.6B at Q1 2025 (company filings/press reports, accessed Sept 2026) — clears &gt;$1B hard bar</t>
        </is>
      </c>
      <c r="K29" s="10" t="inlineStr">
        <is>
          <t>N/A (public company)</t>
        </is>
      </c>
      <c r="L29" s="10" t="inlineStr">
        <is>
          <t>meets parameters</t>
        </is>
      </c>
      <c r="M29" s="10" t="n">
        <v>3</v>
      </c>
      <c r="N29" s="10" t="inlineStr">
        <is>
          <t>Yes</t>
        </is>
      </c>
      <c r="O29" s="10" t="inlineStr">
        <is>
          <t>Revenue (~$12-13B) and market cap (~$5.5-6B) both clear hard bars; headcount 25,817 (10k+ band); profitable, steady growth (+4.22% YoY), not in distress; broad industrial buyer base across the Americas; no F1 conflict found; family control is concentrated but not state/sanctioned/gambling-related, so not disqualifying. Fit score 3/4.</t>
        </is>
      </c>
      <c r="P29" s="10" t="inlineStr">
        <is>
          <t>Brazil's leading steelmaker with a direct home-market tie to the São Paulo Grand Prix - 'steel that builds Brazil' - paired with a LatAm market-expansion story for F1's growing regional fanbase.</t>
        </is>
      </c>
      <c r="Q29" s="10" t="inlineStr">
        <is>
          <t>Gerdau-Johannpeter family controls ~70%+ of voting rights via holding company (public co., not disqualifying, but concentrated control)</t>
        </is>
      </c>
      <c r="R29" s="10" t="inlineStr">
        <is>
          <t>verified-existing</t>
        </is>
      </c>
      <c r="S29" s="10" t="inlineStr">
        <is>
          <t>2026-09-28</t>
        </is>
      </c>
    </row>
    <row r="30">
      <c r="A30" s="10" t="n">
        <v>27</v>
      </c>
      <c r="B30" s="10" t="n">
        <v>84</v>
      </c>
      <c r="C30" s="10" t="inlineStr">
        <is>
          <t>Gold Fields</t>
        </is>
      </c>
      <c r="D30" s="10" t="inlineStr">
        <is>
          <t>goldfields.com</t>
        </is>
      </c>
      <c r="E30" s="10" t="inlineStr">
        <is>
          <t>Johannesburg, South Africa</t>
        </is>
      </c>
      <c r="F30" s="10" t="inlineStr">
        <is>
          <t>Public (JSE/NYSE: GFI); no state or single-family control</t>
        </is>
      </c>
      <c r="G30" s="10" t="inlineStr">
        <is>
          <t>Gold mining and production (Africa, Australia, Americas)</t>
        </is>
      </c>
      <c r="H30" s="10" t="inlineStr">
        <is>
          <t>5k-10k</t>
        </is>
      </c>
      <c r="I30" s="10" t="inlineStr">
        <is>
          <t>$8.75B FY2025 revenue, +68.2% YoY (stockanalysis.com, citing FY2025 results reported ~Feb 2026)</t>
        </is>
      </c>
      <c r="J30" s="10" t="inlineStr">
        <is>
          <t>$46.1B market cap as of Feb 2026 (tradingeconomics.com / stockanalysis.com)</t>
        </is>
      </c>
      <c r="K30" s="10" t="inlineStr">
        <is>
          <t>N/A - public company; funded from operating cash flow, no recent primary equity raise identified</t>
        </is>
      </c>
      <c r="L30" s="10" t="inlineStr">
        <is>
          <t>exceeds - mega-brand</t>
        </is>
      </c>
      <c r="M30" s="10" t="n">
        <v>3</v>
      </c>
      <c r="N30" s="10" t="inlineStr">
        <is>
          <t>Yes</t>
        </is>
      </c>
      <c r="O30" s="10" t="inlineStr">
        <is>
          <t>All hard filters pass: revenue $8.75B (&gt;$100M), market cap $46.1B (&gt;$1B), 6,885 employees (5k-10k band), no F1 team/series/driver/GP conflict found, clean public ownership, fit score 3 (&gt;=2).</t>
        </is>
      </c>
      <c r="P30" s="10" t="inlineStr">
        <is>
          <t>Position as the first major gold producer on the grid: 'engineering the extraction of value' - ties deep-earth precision engineering and multi-continent operations to F1's technology and global-audience story; open category with no mining brand currently on the grid.</t>
        </is>
      </c>
      <c r="Q30" s="10" t="n"/>
      <c r="R30" s="10" t="inlineStr">
        <is>
          <t>verified-existing</t>
        </is>
      </c>
      <c r="S30" s="10" t="inlineStr">
        <is>
          <t>2026-09-28</t>
        </is>
      </c>
    </row>
    <row r="31">
      <c r="A31" s="10" t="n">
        <v>28</v>
      </c>
      <c r="B31" s="10" t="n">
        <v>84</v>
      </c>
      <c r="C31" s="10" t="inlineStr">
        <is>
          <t>Grupo Mexico</t>
        </is>
      </c>
      <c r="D31" s="10" t="inlineStr">
        <is>
          <t>gmexico.com</t>
        </is>
      </c>
      <c r="E31" s="10" t="inlineStr">
        <is>
          <t>Mexico City, Mexico</t>
        </is>
      </c>
      <c r="F31" s="10" t="inlineStr">
        <is>
          <t>Public (BMV: GMEXICOB); Larrea family control, no state ownership</t>
        </is>
      </c>
      <c r="G31" s="10" t="inlineStr">
        <is>
          <t>Diversified mining (copper) and rail/infrastructure</t>
        </is>
      </c>
      <c r="H31" s="10" t="inlineStr">
        <is>
          <t>10k+</t>
        </is>
      </c>
      <c r="I31" s="10" t="inlineStr">
        <is>
          <t>$16.4B TTM revenue as of June 30, 2025 (Yahoo Finance / companiesmarketcap.com)</t>
        </is>
      </c>
      <c r="J31" s="10" t="inlineStr">
        <is>
          <t>$46.9B market cap as of June 30, 2025 (tradingeconomics.com)</t>
        </is>
      </c>
      <c r="K31" s="10" t="inlineStr">
        <is>
          <t>N/A - public, family-controlled company; no recent primary capital raise identified</t>
        </is>
      </c>
      <c r="L31" s="10" t="inlineStr">
        <is>
          <t>exceeds - mega-brand</t>
        </is>
      </c>
      <c r="M31" s="10" t="n">
        <v>3</v>
      </c>
      <c r="N31" s="10" t="inlineStr">
        <is>
          <t>Yes</t>
        </is>
      </c>
      <c r="O31" s="10" t="inlineStr">
        <is>
          <t>All hard filters pass: revenue $16.4B, market cap $46.9B, ~31,500 employees (10k+ band), no F1 conflict (Grupo Televisa's F1 Mexico broadcast deal is a separate, unrelated company), family-controlled but publicly listed with no state/compliance issues, fit score 3.</t>
        </is>
      </c>
      <c r="P31" s="10" t="inlineStr">
        <is>
          <t>Anchor around F1's home-market Mexico City Grand Prix - a 'moving the world's metals' rail-and-mining growth story ties directly into F1's global supply-chain/performance narrative; open category, no mining/logistics conglomerate on the grid.</t>
        </is>
      </c>
      <c r="Q31" s="10" t="n"/>
      <c r="R31" s="10" t="inlineStr">
        <is>
          <t>verified-existing</t>
        </is>
      </c>
      <c r="S31" s="10" t="inlineStr">
        <is>
          <t>2026-09-28</t>
        </is>
      </c>
    </row>
    <row r="32">
      <c r="A32" s="10" t="n">
        <v>29</v>
      </c>
      <c r="B32" s="10" t="n">
        <v>84</v>
      </c>
      <c r="C32" s="10" t="inlineStr">
        <is>
          <t>Impala Platinum (Implats)</t>
        </is>
      </c>
      <c r="D32" s="10" t="inlineStr">
        <is>
          <t>implats.co.za</t>
        </is>
      </c>
      <c r="E32" s="10" t="inlineStr">
        <is>
          <t>Johannesburg, South Africa</t>
        </is>
      </c>
      <c r="F32" s="10" t="inlineStr">
        <is>
          <t>Public (JSE: IMP); no state or family control</t>
        </is>
      </c>
      <c r="G32" s="10" t="inlineStr">
        <is>
          <t>Platinum group metals mining (platinum, palladium, rhodium, nickel)</t>
        </is>
      </c>
      <c r="H32" s="10" t="inlineStr">
        <is>
          <t>10k+</t>
        </is>
      </c>
      <c r="I32" s="10" t="inlineStr">
        <is>
          <t>R85.4B / $5.81B TTM revenue as of Dec 31, 2025 (stockanalysis.com; Implats FY2025 annual results)</t>
        </is>
      </c>
      <c r="J32" s="10" t="inlineStr">
        <is>
          <t>$14.3B market cap (stockanalysis.com, 2025/26)</t>
        </is>
      </c>
      <c r="K32" s="10" t="inlineStr">
        <is>
          <t>N/A - public company; no recent primary capital raise identified</t>
        </is>
      </c>
      <c r="L32" s="10" t="inlineStr">
        <is>
          <t>meets parameters</t>
        </is>
      </c>
      <c r="M32" s="10" t="n">
        <v>3</v>
      </c>
      <c r="N32" s="10" t="inlineStr">
        <is>
          <t>Yes</t>
        </is>
      </c>
      <c r="O32" s="10" t="inlineStr">
        <is>
          <t>All hard filters pass: revenue $5.81B, market cap $14.3B, 64,835 employees (10k+ band), no F1 conflicts, clean public ownership, fit score 3.</t>
        </is>
      </c>
      <c r="P32" s="10" t="inlineStr">
        <is>
          <t>World-leading PGM producer positions around F1's hybrid-power/emissions-catalyst story and the coming hydrogen-tech narrative - a precision-metallurgy angle, open category with no PGM/mining brand currently on the grid.</t>
        </is>
      </c>
      <c r="Q32" s="10" t="n"/>
      <c r="R32" s="10" t="inlineStr">
        <is>
          <t>verified-existing</t>
        </is>
      </c>
      <c r="S32" s="10" t="inlineStr">
        <is>
          <t>2026-09-28</t>
        </is>
      </c>
    </row>
    <row r="33">
      <c r="A33" s="10" t="n">
        <v>30</v>
      </c>
      <c r="B33" s="10" t="n">
        <v>84</v>
      </c>
      <c r="C33" s="10" t="inlineStr">
        <is>
          <t>Ivanhoe Mines</t>
        </is>
      </c>
      <c r="D33" s="10" t="inlineStr">
        <is>
          <t>ivanhoemines.com</t>
        </is>
      </c>
      <c r="E33" s="10" t="inlineStr">
        <is>
          <t>Vancouver, Canada</t>
        </is>
      </c>
      <c r="F33" s="10" t="inlineStr">
        <is>
          <t>Public (TSX: IVN); Robert Friedland is a significant shareholder, no state ownership</t>
        </is>
      </c>
      <c r="G33" s="10" t="inlineStr">
        <is>
          <t>Copper mining (Kamoa-Kakula, DRC), platinum project (South Africa)</t>
        </is>
      </c>
      <c r="H33" s="10" t="inlineStr">
        <is>
          <t>5k-10k</t>
        </is>
      </c>
      <c r="I33" s="10" t="inlineStr">
        <is>
          <t>$442M FY2025 revenue, +982% YoY as Kamoa-Kakula ramps to full production (macrotrends.net)</t>
        </is>
      </c>
      <c r="J33" s="10" t="inlineStr">
        <is>
          <t>CAD $18.21B (~USD $13B) market cap as of Sept 11, 2026 (stockanalysis.com)</t>
        </is>
      </c>
      <c r="K33" s="10" t="inlineStr">
        <is>
          <t>N/A - public company; ongoing project financing for Kamoa-Kakula/Platreef expansion (est)</t>
        </is>
      </c>
      <c r="L33" s="10" t="inlineStr">
        <is>
          <t>meets parameters</t>
        </is>
      </c>
      <c r="M33" s="10" t="n">
        <v>3</v>
      </c>
      <c r="N33" s="10" t="inlineStr">
        <is>
          <t>Yes</t>
        </is>
      </c>
      <c r="O33" s="10" t="inlineStr">
        <is>
          <t>All hard filters pass: revenue $442M (&gt;$100M), market cap ~$13B USD (&gt;$1B), 6,817 employees (5k-10k band), no F1 conflicts, clean public ownership (DRC concentration is flagged operational risk, not a compliance hard-fail), fit score 3.</t>
        </is>
      </c>
      <c r="P33" s="10" t="inlineStr">
        <is>
          <t>Explosive copper-for-electrification growth story (revenue +982% YoY as Kamoa-Kakula ramps) ties directly to F1's hybrid/EV-tech and 'powering the future' narrative; open category, no copper miner on the grid.</t>
        </is>
      </c>
      <c r="Q33" s="10" t="inlineStr">
        <is>
          <t>operations concentrated in DRC - political/operational risk, carried from desk triage (not a hard-filter fail)</t>
        </is>
      </c>
      <c r="R33" s="10" t="inlineStr">
        <is>
          <t>verified-existing</t>
        </is>
      </c>
      <c r="S33" s="10" t="inlineStr">
        <is>
          <t>2026-09-28</t>
        </is>
      </c>
    </row>
    <row r="34">
      <c r="A34" s="10" t="n">
        <v>31</v>
      </c>
      <c r="B34" s="10" t="n">
        <v>84</v>
      </c>
      <c r="C34" s="10" t="inlineStr">
        <is>
          <t>Nucor</t>
        </is>
      </c>
      <c r="D34" s="10" t="inlineStr">
        <is>
          <t>nucor.com</t>
        </is>
      </c>
      <c r="E34" s="10" t="inlineStr">
        <is>
          <t>USA</t>
        </is>
      </c>
      <c r="F34" s="10" t="inlineStr">
        <is>
          <t>Public (NYSE: NUE)</t>
        </is>
      </c>
      <c r="G34" s="10" t="inlineStr">
        <is>
          <t>Steel manufacturing</t>
        </is>
      </c>
      <c r="H34" s="10" t="inlineStr">
        <is>
          <t>10k+ (30,000+)</t>
        </is>
      </c>
      <c r="I34" s="10" t="inlineStr">
        <is>
          <t>$32.49B FY2025 (SEC 10-K, filed 2026); TTM ~$34.16B as of Sept 2026</t>
        </is>
      </c>
      <c r="J34" s="10" t="inlineStr">
        <is>
          <t>Market cap ~$55.5-59B (stockanalysis.com/CNBC, mid-2026)</t>
        </is>
      </c>
      <c r="K34" s="10" t="inlineStr">
        <is>
          <t>n/a — public company</t>
        </is>
      </c>
      <c r="L34" s="10" t="inlineStr">
        <is>
          <t>exceeds - mega-brand</t>
        </is>
      </c>
      <c r="M34" s="10" t="n">
        <v>3</v>
      </c>
      <c r="N34" s="10" t="inlineStr">
        <is>
          <t>Yes</t>
        </is>
      </c>
      <c r="O34" s="10" t="inlineStr">
        <is>
          <t>All hard filters pass: revenue $32.49B (FY2025, SEC 10-K), market cap ~$55-59B, profitable (net income $1.74B FY25), 30,000+ employees, no F1 conflicts found, fit score 3 (industrial-performance story, open category).</t>
        </is>
      </c>
      <c r="P34" s="10" t="inlineStr">
        <is>
          <t>American steel/industrial-strength performance narrative tied to advanced EAF steelmaking technology and sustainability leadership; open steel/metals category.</t>
        </is>
      </c>
      <c r="Q34" s="10" t="inlineStr">
        <is>
          <t>Q3 2026 guidance came in softer than Street expectations (near-term pullback) — not distress, still solidly profitable</t>
        </is>
      </c>
      <c r="R34" s="10" t="inlineStr">
        <is>
          <t>verified-existing</t>
        </is>
      </c>
      <c r="S34" s="10" t="inlineStr">
        <is>
          <t>2026-09-28</t>
        </is>
      </c>
    </row>
    <row r="35">
      <c r="A35" s="10" t="n">
        <v>32</v>
      </c>
      <c r="B35" s="10" t="n">
        <v>84</v>
      </c>
      <c r="C35" s="10" t="inlineStr">
        <is>
          <t>Steel Dynamics</t>
        </is>
      </c>
      <c r="D35" s="10" t="inlineStr">
        <is>
          <t>steeldynamics.com</t>
        </is>
      </c>
      <c r="E35" s="10" t="inlineStr">
        <is>
          <t>Fort Wayne, Indiana, USA</t>
        </is>
      </c>
      <c r="F35" s="10" t="inlineStr">
        <is>
          <t>Public (Nasdaq: STLD), no state/majority control</t>
        </is>
      </c>
      <c r="G35" s="10" t="inlineStr">
        <is>
          <t>Steel manufacturing (mini-mill producer) and metals recycling, primarily North America</t>
        </is>
      </c>
      <c r="H35" s="10" t="inlineStr">
        <is>
          <t>10k+</t>
        </is>
      </c>
      <c r="I35" s="10" t="inlineStr">
        <is>
          <t>$18.18B FY2025 (up 3.63% YoY); TTM ~$20.54B (stockanalysis.com, SEC 8-K FY2025)</t>
        </is>
      </c>
      <c r="J35" s="10" t="inlineStr">
        <is>
          <t>~$33.6B market cap as of Sept 24, 2026 (stockanalysis.com)</t>
        </is>
      </c>
      <c r="K35" s="10" t="inlineStr">
        <is>
          <t>n/a - public company, no external raise needed</t>
        </is>
      </c>
      <c r="L35" s="10" t="inlineStr">
        <is>
          <t>exceeds - mega-brand</t>
        </is>
      </c>
      <c r="M35" s="10" t="n">
        <v>3</v>
      </c>
      <c r="N35" s="10" t="inlineStr">
        <is>
          <t>Yes</t>
        </is>
      </c>
      <c r="O35" s="10" t="inlineStr">
        <is>
          <t>No F1 sponsorship ties found (direct or via parent); revenue and market cap far exceed hard bars; public with no problematic ownership; fit_score 3.</t>
        </is>
      </c>
      <c r="P35" s="10" t="inlineStr">
        <is>
          <t>American steel/advanced-manufacturing category is open on the 2026 grid; pitch around industrial performance, recycled/electric-arc technology, and the reshoring/manufacturing-strength narrative.</t>
        </is>
      </c>
      <c r="Q35" s="10" t="inlineStr">
        <is>
          <t>FY2025 net earnings down 22.87% YoY amid steel-price cycle (est), though still solidly profitable</t>
        </is>
      </c>
      <c r="R35" s="10" t="inlineStr">
        <is>
          <t>verified-existing</t>
        </is>
      </c>
      <c r="S35" s="10" t="inlineStr">
        <is>
          <t>2026-09-28</t>
        </is>
      </c>
    </row>
    <row r="36">
      <c r="A36" s="11" t="n">
        <v>33</v>
      </c>
      <c r="B36" s="11" t="n">
        <v>64</v>
      </c>
      <c r="C36" s="11" t="inlineStr">
        <is>
          <t>Century Aluminum</t>
        </is>
      </c>
      <c r="D36" s="11" t="inlineStr">
        <is>
          <t>centuryaluminum.com</t>
        </is>
      </c>
      <c r="E36" s="11" t="inlineStr">
        <is>
          <t>USA</t>
        </is>
      </c>
      <c r="F36" s="11" t="inlineStr">
        <is>
          <t>Public (Nasdaq: CENX)</t>
        </is>
      </c>
      <c r="G36" s="11" t="inlineStr">
        <is>
          <t>Aluminum production</t>
        </is>
      </c>
      <c r="H36" s="11" t="inlineStr">
        <is>
          <t>1k-5k</t>
        </is>
      </c>
      <c r="I36" s="11" t="inlineStr">
        <is>
          <t>$2.22B FY2024 (SEC 8-K/Yahoo Finance, verified Sep 2026) — clears &gt;$100M hard bar</t>
        </is>
      </c>
      <c r="J36" s="11" t="inlineStr">
        <is>
          <t>~$1.5-2B market cap (est., carried from triage — not independently re-confirmed this session before the search budget ended) — estimated to clear &gt;$1B hard bar</t>
        </is>
      </c>
      <c r="K36" s="11" t="inlineStr">
        <is>
          <t>N/A — public company</t>
        </is>
      </c>
      <c r="L36" s="11" t="inlineStr">
        <is>
          <t>meets parameters</t>
        </is>
      </c>
      <c r="M36" s="11" t="n">
        <v>4</v>
      </c>
      <c r="N36" s="11" t="inlineStr">
        <is>
          <t>Stretch</t>
        </is>
      </c>
      <c r="O36" s="11" t="inlineStr">
        <is>
          <t>Revenue ($2.22B FY2024) and profitability (net income rose from $43.1M in 2023 to $339.4M in 2024, a clear improvement — passes capacity bar) are independently confirmed; employee count (2,971) confirmed; no F1 ties found; ownership clean public. However, the &gt;$1B valuation bar rests on a carried-over triage estimate (~$1.5-2B) that could not be independently re-confirmed before the search budget ran out — an uncertain figure that caps this at Stretch.</t>
        </is>
      </c>
      <c r="P36" s="11" t="inlineStr">
        <is>
          <t>Aluminum-as-performance-material story — direct material link to race-car lightweighting/alloys; open category with no primary aluminum producer on the 2026 grid.</t>
        </is>
      </c>
      <c r="Q36" s="11" t="inlineStr">
        <is>
          <t>valuation figure not independently reconfirmed this session (search budget ended); carried from triage estimate</t>
        </is>
      </c>
      <c r="R36" s="11" t="inlineStr">
        <is>
          <t>verified-existing</t>
        </is>
      </c>
      <c r="S36" s="11" t="inlineStr">
        <is>
          <t>2026-09-28</t>
        </is>
      </c>
    </row>
    <row r="37">
      <c r="A37" s="11" t="n">
        <v>34</v>
      </c>
      <c r="B37" s="11" t="n">
        <v>64</v>
      </c>
      <c r="C37" s="11" t="inlineStr">
        <is>
          <t>Dyno Nobel (Incitec Pivot)</t>
        </is>
      </c>
      <c r="D37" s="11" t="inlineStr">
        <is>
          <t>dynonobel.com</t>
        </is>
      </c>
      <c r="E37" s="11" t="inlineStr">
        <is>
          <t>Australia/USA</t>
        </is>
      </c>
      <c r="F37" s="11" t="inlineStr">
        <is>
          <t>Public (ASX; renamed from Incitec Pivot Ltd to Dyno Nobel Ltd in 2024)</t>
        </is>
      </c>
      <c r="G37" s="11" t="inlineStr">
        <is>
          <t>Mining explosives</t>
        </is>
      </c>
      <c r="H37" s="11" t="inlineStr">
        <is>
          <t>5k-10k</t>
        </is>
      </c>
      <c r="I37" s="11" t="inlineStr">
        <is>
          <t>AUD $5.5B FY2024 (GlobalData/IBISWorld, verified Sep 2026) — clears &gt;$100M hard bar</t>
        </is>
      </c>
      <c r="J37" s="11" t="inlineStr">
        <is>
          <t>~AUD $4-5B market cap (est., carried from triage — not independently re-confirmed this session before the search budget ended) — estimated to clear &gt;$1B hard bar</t>
        </is>
      </c>
      <c r="K37" s="11" t="inlineStr">
        <is>
          <t>N/A — public company</t>
        </is>
      </c>
      <c r="L37" s="11" t="inlineStr">
        <is>
          <t>meets parameters</t>
        </is>
      </c>
      <c r="M37" s="11" t="n">
        <v>4</v>
      </c>
      <c r="N37" s="11" t="inlineStr">
        <is>
          <t>Stretch</t>
        </is>
      </c>
      <c r="O37" s="11" t="inlineStr">
        <is>
          <t>Revenue (AUD $5.5B FY2024) and headcount (5,814) independently confirmed; global, non-concentrated mining-customer base; no F1 ties found; ownership clean public ASX. However, the &gt;$1B valuation bar rests on a carried-over triage estimate (~AUD $4-5B) not independently re-confirmed before the search budget ran out — an uncertain figure that caps this at Stretch.</t>
        </is>
      </c>
      <c r="P37" s="11" t="inlineStr">
        <is>
          <t>Precision and controlled power — blasting/explosives engineering story maps to F1 precision; the fresh 2024 rebrand to Dyno Nobel Ltd gives a natural news-hook; open category on the grid.</t>
        </is>
      </c>
      <c r="Q37" s="11" t="inlineStr">
        <is>
          <t>valuation figure not independently reconfirmed this session (search budget ended); carried from triage estimate</t>
        </is>
      </c>
      <c r="R37" s="11" t="inlineStr">
        <is>
          <t>verified-existing</t>
        </is>
      </c>
      <c r="S37" s="11" t="inlineStr">
        <is>
          <t>2026-09-28</t>
        </is>
      </c>
    </row>
    <row r="38">
      <c r="A38" s="11" t="n">
        <v>35</v>
      </c>
      <c r="B38" s="11" t="n">
        <v>64</v>
      </c>
      <c r="C38" s="11" t="inlineStr">
        <is>
          <t>Iluka Resources</t>
        </is>
      </c>
      <c r="D38" s="11" t="inlineStr">
        <is>
          <t>iluka.com</t>
        </is>
      </c>
      <c r="E38" s="11" t="inlineStr">
        <is>
          <t>Perth, Australia</t>
        </is>
      </c>
      <c r="F38" s="11" t="inlineStr">
        <is>
          <t>Public (ASX: ILU), no controlling family or state stake</t>
        </is>
      </c>
      <c r="G38" s="11" t="inlineStr">
        <is>
          <t>Mineral sands (zircon, rutile, synthetic rutile) and rare earths</t>
        </is>
      </c>
      <c r="H38" s="11" t="inlineStr">
        <is>
          <t>1k-5k</t>
        </is>
      </c>
      <c r="I38" s="11" t="inlineStr">
        <is>
          <t>~AUD $1.1B FY2024 revenue, TTM ~AUD $1.12B (stockanalysis.com, most recent full-year data available as of 2025)</t>
        </is>
      </c>
      <c r="J38" s="11" t="inlineStr">
        <is>
          <t>~AUD $2.8-3.0B market cap (ASX: ILU, as of Sept 2026, stockanalysis.com / gurufocus.com)</t>
        </is>
      </c>
      <c r="K38" s="11" t="inlineStr">
        <is>
          <t>N/A - public company</t>
        </is>
      </c>
      <c r="L38" s="11" t="inlineStr">
        <is>
          <t>meets parameters</t>
        </is>
      </c>
      <c r="M38" s="11" t="n">
        <v>4</v>
      </c>
      <c r="N38" s="11" t="inlineStr">
        <is>
          <t>Stretch</t>
        </is>
      </c>
      <c r="O38" s="11" t="inlineStr">
        <is>
          <t>Revenue (~AUD $1.1B) and market cap (~AUD $2.8-3B) both clear hard bars, headcount 1,600+ (est) passes, no F1 conflicts or problematic ownership found - but capacity-to-spend is a real reservation given flat/soft revenue in a down mineral-sands cycle without a clearly improving trend.</t>
        </is>
      </c>
      <c r="P38" s="11" t="inlineStr">
        <is>
          <t>Zircon/rare earths for advanced ceramics, defense and electronics - a 'critical minerals, precision manufacturing' story paired with Australia's push into strategic minerals supply chains.</t>
        </is>
      </c>
      <c r="Q38" s="11" t="inlineStr">
        <is>
          <t>revenue has been flat/soft amid a mineral sands market downturn - profitability trend uncertain</t>
        </is>
      </c>
      <c r="R38" s="11" t="inlineStr">
        <is>
          <t>verified-existing</t>
        </is>
      </c>
      <c r="S38" s="11" t="inlineStr">
        <is>
          <t>2026-09-28</t>
        </is>
      </c>
    </row>
    <row r="39">
      <c r="A39" s="11" t="n">
        <v>36</v>
      </c>
      <c r="B39" s="11" t="n">
        <v>64</v>
      </c>
      <c r="C39" s="11" t="inlineStr">
        <is>
          <t>Pilbara Minerals</t>
        </is>
      </c>
      <c r="D39" s="11" t="inlineStr">
        <is>
          <t>pilbaraminerals.com.au</t>
        </is>
      </c>
      <c r="E39" s="11" t="inlineStr">
        <is>
          <t>Perth, Australia</t>
        </is>
      </c>
      <c r="F39" s="11" t="inlineStr">
        <is>
          <t>Public (ASX: PLS), no controlling family or state stake</t>
        </is>
      </c>
      <c r="G39" s="11" t="inlineStr">
        <is>
          <t>Spodumene concentrate (lithium)</t>
        </is>
      </c>
      <c r="H39" s="11" t="inlineStr">
        <is>
          <t>1k-5k</t>
        </is>
      </c>
      <c r="I39" s="11" t="inlineStr">
        <is>
          <t>$769M USD / AUD $967.4M FY2025 (year ended 30 June 2025, -39% YoY on lithium price decline, investing.com / companiesmarketcap.com)</t>
        </is>
      </c>
      <c r="J39" s="11" t="inlineStr">
        <is>
          <t>~$5.2-5.6B market cap (Aug-Oct 2025 range; one source shows $11.4B Mar 2026 - inconsistent across sources, treating ~$5-6B as the more reliable recent baseline, stockanalysis.com / tipranks.com)</t>
        </is>
      </c>
      <c r="K39" s="11" t="inlineStr">
        <is>
          <t>N/A - public; holds &gt;AUD $1B cash reserves</t>
        </is>
      </c>
      <c r="L39" s="11" t="inlineStr">
        <is>
          <t>meets parameters</t>
        </is>
      </c>
      <c r="M39" s="11" t="n">
        <v>4</v>
      </c>
      <c r="N39" s="11" t="inlineStr">
        <is>
          <t>Stretch</t>
        </is>
      </c>
      <c r="O39" s="11" t="inlineStr">
        <is>
          <t>Revenue and market cap both clear hard bars, headcount 1,200+ (est) passes, no F1 conflicts or problematic ownership found - but FY2025 revenue fell 39% YoY with a net loss, making capacity to spend ~$3.5M/yr a real reservation despite a strong &gt;A$1B cash balance sheet and continued cost discipline.</t>
        </is>
      </c>
      <c r="P39" s="11" t="inlineStr">
        <is>
          <t>World's largest independent hard-rock lithium operation - a 'powering the EV era' story timed to lithium market recovery and F1's own hybrid battery technology narrative.</t>
        </is>
      </c>
      <c r="Q39" s="11" t="inlineStr">
        <is>
          <t>lithium price decline has reduced revenue/valuation from the 2022-23 peak (per desk triage); FY2025 net loss (~A$196M) amid the lithium downturn - capacity-to-spend is a real reservation despite &gt;A$1B cash reserves</t>
        </is>
      </c>
      <c r="R39" s="11" t="inlineStr">
        <is>
          <t>verified-existing</t>
        </is>
      </c>
      <c r="S39" s="11" t="inlineStr">
        <is>
          <t>2026-09-28</t>
        </is>
      </c>
    </row>
    <row r="40">
      <c r="A40" s="11" t="n">
        <v>37</v>
      </c>
      <c r="B40" s="11" t="n">
        <v>64</v>
      </c>
      <c r="C40" s="11" t="inlineStr">
        <is>
          <t>Hindustan Zinc</t>
        </is>
      </c>
      <c r="D40" s="11" t="inlineStr">
        <is>
          <t>hzlindia.com</t>
        </is>
      </c>
      <c r="E40" s="11" t="inlineStr">
        <is>
          <t>Udaipur, India</t>
        </is>
      </c>
      <c r="F40" s="11" t="inlineStr">
        <is>
          <t>Public (NSE/BSE: HINDZINC), majority Vedanta Ltd (~60.71%), Government of India minority stake (~27.92% as of Dec 2025/Mar 2026)</t>
        </is>
      </c>
      <c r="G40" s="11" t="inlineStr">
        <is>
          <t>Zinc, lead and silver</t>
        </is>
      </c>
      <c r="H40" s="11" t="inlineStr">
        <is>
          <t>5k-10k</t>
        </is>
      </c>
      <c r="I40" s="11" t="inlineStr">
        <is>
          <t>TTM ~$4.05B USD / INR 330.41B as of 31 Dec 2025 (stockanalysis.com / tipranks.com)</t>
        </is>
      </c>
      <c r="J40" s="11" t="inlineStr">
        <is>
          <t>~$26.3B USD / INR ~2.37-2.5 trillion market cap (2026, companiesmarketcap.com / tipranks.com)</t>
        </is>
      </c>
      <c r="K40" s="11" t="inlineStr">
        <is>
          <t>N/A - public; government has periodically sold small stakes (1.6% OFS Nov 2025, 1.59% OFS Jan 2026) rather than the company itself raising capital</t>
        </is>
      </c>
      <c r="L40" s="11" t="inlineStr">
        <is>
          <t>exceeds - mega-brand</t>
        </is>
      </c>
      <c r="M40" s="11" t="n">
        <v>4</v>
      </c>
      <c r="N40" s="11" t="inlineStr">
        <is>
          <t>Stretch</t>
        </is>
      </c>
      <c r="O40" s="11" t="inlineStr">
        <is>
          <t>Revenue ~$4.05B and market cap ~$26B clear both hard bars; headcount 7,000+ (est) passes; no F1 sponsorship conflicts found; strong revenue growth shows capacity to spend - but the Government of India's ~27.92% minority ownership stake is a real ownership reservation that caps the verdict at Stretch even though it is not majority state control.</t>
        </is>
      </c>
      <c r="P40" s="11" t="inlineStr">
        <is>
          <t>World's largest integrated zinc-lead-silver producer - a 'materials for India's global rise' story, tying zinc's EV battery role to India's growing presence in F1's fan base and markets.</t>
        </is>
      </c>
      <c r="Q40" s="11" t="inlineStr">
        <is>
          <t>Government of India holds a ~27.92% minority stake (confirmed via Dec 2025/Mar 2026 filings, updated from the desk triage's ~29.5% estimate) alongside Vedanta's ~60.71% majority - minority state stake, not majority, but flagged per compliance protocol</t>
        </is>
      </c>
      <c r="R40" s="11" t="inlineStr">
        <is>
          <t>verified-existing</t>
        </is>
      </c>
      <c r="S40" s="11" t="inlineStr">
        <is>
          <t>2026-09-28</t>
        </is>
      </c>
    </row>
    <row r="41">
      <c r="A41" s="11" t="n">
        <v>38</v>
      </c>
      <c r="B41" s="11" t="n">
        <v>64</v>
      </c>
      <c r="C41" s="11" t="inlineStr">
        <is>
          <t>Trafigura</t>
        </is>
      </c>
      <c r="D41" s="11" t="inlineStr">
        <is>
          <t>trafigura.com</t>
        </is>
      </c>
      <c r="E41" s="11" t="inlineStr">
        <is>
          <t>Singapore / Geneva</t>
        </is>
      </c>
      <c r="F41" s="11" t="inlineStr">
        <is>
          <t>Private, employee-owned partnership (no state or family control)</t>
        </is>
      </c>
      <c r="G41" s="11" t="inlineStr">
        <is>
          <t>Commodity trading (energy, metals &amp; minerals)</t>
        </is>
      </c>
      <c r="H41" s="11" t="inlineStr">
        <is>
          <t>10k+</t>
        </is>
      </c>
      <c r="I41" s="11" t="inlineStr">
        <is>
          <t>$240.27B FY2025 (year to Sept 2025), down ~1% YoY; net profit $2.67B, EBITDA &gt;$8B (trafigura.com 2025 Annual Results, Bloomberg/X Javier Blas Dec 2025)</t>
        </is>
      </c>
      <c r="J41" s="11" t="inlineStr">
        <is>
          <t>Not published (private partnership); group equity ~$16.17B (trafigura.com 2025 Annual Report)</t>
        </is>
      </c>
      <c r="K41" s="11" t="inlineStr">
        <is>
          <t>n/a - private employee-owned partnership, no external raise</t>
        </is>
      </c>
      <c r="L41" s="11" t="inlineStr">
        <is>
          <t>exceeds - mega-brand</t>
        </is>
      </c>
      <c r="M41" s="11" t="n">
        <v>4</v>
      </c>
      <c r="N41" s="11" t="inlineStr">
        <is>
          <t>Stretch</t>
        </is>
      </c>
      <c r="O41" s="11" t="inlineStr">
        <is>
          <t>No F1 conflict found; revenue/scale and profitability comfortably clear the hard bars; but per policy, an employee-owned partnership with no published valuation is capped at Stretch even though it passes on revenue alone.</t>
        </is>
      </c>
      <c r="P41" s="11" t="inlineStr">
        <is>
          <t>Global energy &amp; metals trading powerhouse operating in every F1 market; precision-under-pressure/logistics-at-scale narrative, with the commodity-trading-house category still open on the grid.</t>
        </is>
      </c>
      <c r="Q41" s="11" t="inlineStr">
        <is>
          <t>no published valuation (employee-owned)</t>
        </is>
      </c>
      <c r="R41" s="11" t="inlineStr">
        <is>
          <t>verified-existing</t>
        </is>
      </c>
      <c r="S41" s="11" t="inlineStr">
        <is>
          <t>2026-09-28</t>
        </is>
      </c>
    </row>
    <row r="42">
      <c r="A42" s="11" t="n">
        <v>39</v>
      </c>
      <c r="B42" s="11" t="n">
        <v>64</v>
      </c>
      <c r="C42" s="11" t="inlineStr">
        <is>
          <t>Major Drilling Group</t>
        </is>
      </c>
      <c r="D42" s="11" t="inlineStr">
        <is>
          <t>majordrilling.com</t>
        </is>
      </c>
      <c r="E42" s="11" t="inlineStr">
        <is>
          <t>Canada</t>
        </is>
      </c>
      <c r="F42" s="11" t="inlineStr">
        <is>
          <t>Public (TSX: MDI).</t>
        </is>
      </c>
      <c r="G42" s="11" t="inlineStr">
        <is>
          <t>Mineral exploration drilling services</t>
        </is>
      </c>
      <c r="H42" s="11" t="inlineStr">
        <is>
          <t>1k-5k</t>
        </is>
      </c>
      <c r="I42" s="11" t="inlineStr">
        <is>
          <t>CAD $889.1M revenue, FY2026 (ended Apr 2026), +22.2% YoY; most recent Q1 FY2027 revenue CAD $277.3M, +22.4% YoY, net earnings +43.6% YoY (company press release, 2026).</t>
        </is>
      </c>
      <c r="J42" s="11" t="inlineStr">
        <is>
          <t>~CAD $1.43B market cap (~USD $1.0-1.05B), Sep 24 2026 (stockanalysis.com) — only narrowly above the $1B threshold.</t>
        </is>
      </c>
      <c r="K42" s="11" t="inlineStr">
        <is>
          <t>N/A — public company; no recent capital raise identified; does not pay dividends.</t>
        </is>
      </c>
      <c r="L42" s="11" t="inlineStr">
        <is>
          <t>meets parameters</t>
        </is>
      </c>
      <c r="M42" s="11" t="n">
        <v>4</v>
      </c>
      <c r="N42" s="11" t="inlineStr">
        <is>
          <t>Stretch</t>
        </is>
      </c>
      <c r="O42" s="11" t="inlineStr">
        <is>
          <t>Hard bars pass but with a thin margin: market cap ~CAD $1.43B (~USD $1.0-1.05B, Sep 24 2026) is only narrowly above the $1B threshold. Revenue clears comfortably (~CAD $889M FY26, +22.2% YoY) and profitability is improving (Q1 FY27 net earnings +43.6% YoY). No F1 conflicts found. Capped at Stretch due to the thin valuation margin.</t>
        </is>
      </c>
      <c r="P42" s="11" t="inlineStr">
        <is>
          <t>Exploration-drilling precision and 'finding what's next' angle mapped to F1's performance/data story; open category, with timing boosted by record Q1 FY27 growth.</t>
        </is>
      </c>
      <c r="Q42" s="11" t="inlineStr">
        <is>
          <t>Valuation (~USD $1.0-1.05B) is a thin margin above the $1B threshold; No dividend paid</t>
        </is>
      </c>
      <c r="R42" s="11" t="inlineStr">
        <is>
          <t>verified-existing</t>
        </is>
      </c>
      <c r="S42" s="11" t="inlineStr">
        <is>
          <t>2026-09-28</t>
        </is>
      </c>
    </row>
    <row r="43">
      <c r="A43" s="11" t="n">
        <v>40</v>
      </c>
      <c r="B43" s="11" t="n">
        <v>64</v>
      </c>
      <c r="C43" s="11" t="inlineStr">
        <is>
          <t>MICROMINE</t>
        </is>
      </c>
      <c r="D43" s="11" t="inlineStr">
        <is>
          <t>micromine.com</t>
        </is>
      </c>
      <c r="E43" s="11" t="inlineStr">
        <is>
          <t>Australia (Perth)</t>
        </is>
      </c>
      <c r="F43" s="11" t="inlineStr">
        <is>
          <t>Private; wholly-owned subsidiary of The Weir Group plc (acquired 30 Apr 2025); previously owned by Aspen Technology (2022-2025)</t>
        </is>
      </c>
      <c r="G43" s="11" t="inlineStr">
        <is>
          <t>Mining software — full mine-lifecycle modular suite (exploration through production control)</t>
        </is>
      </c>
      <c r="H43" s="11" t="inlineStr">
        <is>
          <t>201-1k</t>
        </is>
      </c>
      <c r="I43" s="11" t="inlineStr">
        <is>
          <t>Not disclosed at the Micromine level (company has never published sales/profit figures); parent Weir Group plc revenue £2,564.5M FY2025, +2.35% YoY</t>
        </is>
      </c>
      <c r="J43" s="11" t="inlineStr">
        <is>
          <t>Not disclosed at Micromine level; parent Weir Group plc market cap ~£6.9-7.18B (~$8.7-9.1B USD est) as of mid/late 2026 (source: stockanalysis.com/tipranks)</t>
        </is>
      </c>
      <c r="K43" s="11" t="inlineStr">
        <is>
          <t>N/A — acquired outright by Weir Group, Apr 2025 (deal value undisclosed in available sources)</t>
        </is>
      </c>
      <c r="L43" s="11" t="inlineStr">
        <is>
          <t>meets parameters</t>
        </is>
      </c>
      <c r="M43" s="11" t="n">
        <v>4</v>
      </c>
      <c r="N43" s="11" t="inlineStr">
        <is>
          <t>Stretch</t>
        </is>
      </c>
      <c r="O43" s="11" t="inlineStr">
        <is>
          <t>No F1 conflict found for parent Weir Group plc, and it is 'merely a large group without F1 ties,' so Micromine is kept rather than auto-No. Parent financials comfortably clear both hard bars (revenue £2.56B; market cap ~£7B, profitable, not in distress). Capped at Stretch because Micromine's own financials are undisclosed and it only became a Weir subsidiary in April 2025, leaving sponsorship budget authority under new ownership uncertain.</t>
        </is>
      </c>
      <c r="P43" s="11" t="inlineStr">
        <is>
          <t>(est) 'The digital backbone of modern mine planning' — technology/precision story, freshly backed by Weir Group's global industrial scale.</t>
        </is>
      </c>
      <c r="Q43" s="11" t="inlineStr">
        <is>
          <t>parent: The Weir Group plc (FTSE 100, no F1 ties found); Micromine's own financials undisclosed; recently changed ownership (Apr 2025) and still integrating; prior owner was Aspen Technology (2022-2025)</t>
        </is>
      </c>
      <c r="R43" s="11" t="inlineStr">
        <is>
          <t>verified-existing</t>
        </is>
      </c>
      <c r="S43" s="11" t="inlineStr">
        <is>
          <t>2026-09-28</t>
        </is>
      </c>
    </row>
    <row r="44">
      <c r="A44" s="11" t="n">
        <v>41</v>
      </c>
      <c r="B44" s="11" t="n">
        <v>58</v>
      </c>
      <c r="C44" s="11" t="inlineStr">
        <is>
          <t>Gerald Metals</t>
        </is>
      </c>
      <c r="D44" s="11" t="inlineStr">
        <is>
          <t>geraldgroup.com</t>
        </is>
      </c>
      <c r="E44" s="11" t="inlineStr">
        <is>
          <t>USA/Switzerland (Group HQ: London)</t>
        </is>
      </c>
      <c r="F44" s="11" t="inlineStr">
        <is>
          <t>Private, employee-owned</t>
        </is>
      </c>
      <c r="G44" s="11" t="inlineStr">
        <is>
          <t>Metals and minerals trading</t>
        </is>
      </c>
      <c r="H44" s="11" t="inlineStr">
        <is>
          <t>201-1k</t>
        </is>
      </c>
      <c r="I44" s="11" t="inlineStr">
        <is>
          <t>Not precisely published; corroborated as well above $100M given ~$3B in group assets and description as the 'world's largest independent employee-owned metals trader' (CBInsights/MarketsWiki, verified Sep 2026) — treated as passing the revenue hard bar on an estimated basis</t>
        </is>
      </c>
      <c r="J44" s="11" t="inlineStr">
        <is>
          <t>Not published (private, employee-owned) — per protocol, employee-owned firms with no published valuation pass on revenue alone but the verdict is capped at Stretch</t>
        </is>
      </c>
      <c r="K44" s="11" t="inlineStr">
        <is>
          <t>N/A — private employee-owned trading house, no external raise found</t>
        </is>
      </c>
      <c r="L44" s="11" t="inlineStr">
        <is>
          <t>meets parameters</t>
        </is>
      </c>
      <c r="M44" s="11" t="n">
        <v>3</v>
      </c>
      <c r="N44" s="11" t="inlineStr">
        <is>
          <t>Stretch</t>
        </is>
      </c>
      <c r="O44" s="11" t="inlineStr">
        <is>
          <t>Employee-owned with no published valuation — per Track A protocol this caps the verdict at Stretch regardless of other factors. Passes the revenue-alone test on estimated scale (~$3B in group assets, described as the world's largest independent employee-owned metals trader), headcount clears the 51-minimum under either cited figure, no F1 ties found, ownership is clean (private/employee-owned, no state or sanctions exposure).</t>
        </is>
      </c>
      <c r="P44" s="11" t="inlineStr">
        <is>
          <t>Independent, employee-owned scale story in global commodities trading; open category, no metals-trading house sponsors the grid.</t>
        </is>
      </c>
      <c r="Q44" s="11" t="inlineStr">
        <is>
          <t>no published valuation (employee-owned); revenue figure imprecise/unconfirmed — aggregator data ambiguous, not independently pinned down before the search budget ended; conflicting employee-count sources (246 per one database vs. 400+ per triage)</t>
        </is>
      </c>
      <c r="R44" s="11" t="inlineStr">
        <is>
          <t>verified-existing</t>
        </is>
      </c>
      <c r="S44" s="11" t="inlineStr">
        <is>
          <t>2026-09-28</t>
        </is>
      </c>
    </row>
    <row r="45">
      <c r="A45" s="11" t="n">
        <v>42</v>
      </c>
      <c r="B45" s="11" t="n">
        <v>58</v>
      </c>
      <c r="C45" s="11" t="inlineStr">
        <is>
          <t>KGHM Polska Miedz</t>
        </is>
      </c>
      <c r="D45" s="11" t="inlineStr">
        <is>
          <t>kghm.com</t>
        </is>
      </c>
      <c r="E45" s="11" t="inlineStr">
        <is>
          <t>Lubin, Poland</t>
        </is>
      </c>
      <c r="F45" s="11" t="inlineStr">
        <is>
          <t>Public (WSE: KGH); Polish State Treasury holds ~32% stake (minority, not majority)</t>
        </is>
      </c>
      <c r="G45" s="11" t="inlineStr">
        <is>
          <t>Copper and silver mining/production</t>
        </is>
      </c>
      <c r="H45" s="11" t="inlineStr">
        <is>
          <t>10k+</t>
        </is>
      </c>
      <c r="I45" s="11" t="inlineStr">
        <is>
          <t>$9.91B FY2025 revenue, up from $8.85B in 2024 (simplywall.st / stockanalysis.com)</t>
        </is>
      </c>
      <c r="J45" s="11" t="inlineStr">
        <is>
          <t>~$7B-19B market cap depending on source/date (PLN 69.75B approx. $17-19B USD; one source lists $7.01B as of Aug 2025) (est - conflicting sources, but clears the $1B bar on all cited figures)</t>
        </is>
      </c>
      <c r="K45" s="11" t="inlineStr">
        <is>
          <t>N/A - public/state-linked company; no recent primary capital raise identified</t>
        </is>
      </c>
      <c r="L45" s="11" t="inlineStr">
        <is>
          <t>meets parameters</t>
        </is>
      </c>
      <c r="M45" s="11" t="n">
        <v>3</v>
      </c>
      <c r="N45" s="11" t="inlineStr">
        <is>
          <t>Stretch</t>
        </is>
      </c>
      <c r="O45" s="11" t="inlineStr">
        <is>
          <t>Hard filters pass (revenue $9.91B, market cap clears $1B on all cited figures, 10k+ employees, no current F1-grid team/series/driver/GP conflict) but the Polish State Treasury's ~32% minority state stake is a flagged reservation under the ownership rule, capping the verdict to Stretch despite a fit score of 3.</t>
        </is>
      </c>
      <c r="P45" s="11" t="inlineStr">
        <is>
          <t>Position around the critical-minerals-for-electrification narrative (copper is core to EV/hybrid powertrains) - open category, no copper producer currently on the grid; clear the minority state stake with compliance before outreach.</t>
        </is>
      </c>
      <c r="Q45" s="11" t="inlineStr">
        <is>
          <t>Polish State Treasury ~32% minority stake - flagged per ownership rule; sponsors a driver (Kornelia Olkucka) in Italian F4, an F1 Academy feeder series - not a current F1-grid tie, does not trigger the hard F1-conflict filter</t>
        </is>
      </c>
      <c r="R45" s="11" t="inlineStr">
        <is>
          <t>verified-existing</t>
        </is>
      </c>
      <c r="S45" s="11" t="inlineStr">
        <is>
          <t>2026-09-28</t>
        </is>
      </c>
    </row>
    <row r="46">
      <c r="A46" s="11" t="n">
        <v>43</v>
      </c>
      <c r="B46" s="11" t="n">
        <v>58</v>
      </c>
      <c r="C46" s="11" t="inlineStr">
        <is>
          <t>Mineral Resources (MinRes)</t>
        </is>
      </c>
      <c r="D46" s="11" t="inlineStr">
        <is>
          <t>mineralresources.com.au</t>
        </is>
      </c>
      <c r="E46" s="11" t="inlineStr">
        <is>
          <t>Perth, Australia</t>
        </is>
      </c>
      <c r="F46" s="11" t="inlineStr">
        <is>
          <t>Public (ASX: MIN); founder Chris Ellison resigned as MD in 2024 amid a tax/governance scandal</t>
        </is>
      </c>
      <c r="G46" s="11" t="inlineStr">
        <is>
          <t>Lithium and iron ore mining plus mining services</t>
        </is>
      </c>
      <c r="H46" s="11" t="inlineStr">
        <is>
          <t>5k-10k</t>
        </is>
      </c>
      <c r="I46" s="11" t="inlineStr">
        <is>
          <t>AUD $4.47B (~USD $2.9B, est) FY2025 revenue, down -15.3% YoY (stockanalysis.com)</t>
        </is>
      </c>
      <c r="J46" s="11" t="inlineStr">
        <is>
          <t>AUD $13.23B (~USD $8.6B, est) market cap as of May 2026 (companiesmarketcap.com)</t>
        </is>
      </c>
      <c r="K46" s="11" t="inlineStr">
        <is>
          <t>N/A - public company; various debt refinancing in 2024-25 amid elevated net debt (est)</t>
        </is>
      </c>
      <c r="L46" s="11" t="inlineStr">
        <is>
          <t>meets parameters</t>
        </is>
      </c>
      <c r="M46" s="11" t="n">
        <v>3</v>
      </c>
      <c r="N46" s="11" t="inlineStr">
        <is>
          <t>Stretch</t>
        </is>
      </c>
      <c r="O46" s="11" t="inlineStr">
        <is>
          <t>Hard filters technically pass (revenue ~$2.9B USD, market cap ~$8.6B USD, 8,546 employees, no F1 conflicts, no state/compliance ownership issues) but there is a real capacity-to-spend reservation: declining FY25 revenue (-15%), elevated net debt (~AUD $5.3B), and the 2024 founder governance scandal together undercut confidence in stable $3.5M/yr spend capacity - capped to Stretch.</t>
        </is>
      </c>
      <c r="P46" s="11" t="inlineStr">
        <is>
          <t>If pursued once governance/debt concerns settle: a lithium-for-EV-battery growth story ties to F1's electrification narrative; open category, no lithium/iron-ore miner on the grid.</t>
        </is>
      </c>
      <c r="Q46" s="11" t="inlineStr">
        <is>
          <t>2024 founder/governance scandal (Chris Ellison tax issues, resigned as MD); elevated net debt of approximately AUD $5.3B; FY2025 revenue down -15.3% YoY</t>
        </is>
      </c>
      <c r="R46" s="11" t="inlineStr">
        <is>
          <t>verified-existing</t>
        </is>
      </c>
      <c r="S46" s="11" t="inlineStr">
        <is>
          <t>2026-09-28</t>
        </is>
      </c>
    </row>
    <row r="47">
      <c r="A47" s="11" t="n">
        <v>44</v>
      </c>
      <c r="B47" s="11" t="n">
        <v>58</v>
      </c>
      <c r="C47" s="11" t="inlineStr">
        <is>
          <t>Ternium</t>
        </is>
      </c>
      <c r="D47" s="11" t="inlineStr">
        <is>
          <t>ternium.com</t>
        </is>
      </c>
      <c r="E47" s="11" t="inlineStr">
        <is>
          <t>Luxembourg (operations centered in Mexico/Argentina/Brazil)</t>
        </is>
      </c>
      <c r="F47" s="11" t="inlineStr">
        <is>
          <t>Public (NYSE: TX), Techint/Rocca family significant control but publicly valued</t>
        </is>
      </c>
      <c r="G47" s="11" t="inlineStr">
        <is>
          <t>Steel manufacturing (Latin America)</t>
        </is>
      </c>
      <c r="H47" s="11" t="inlineStr">
        <is>
          <t>10k+</t>
        </is>
      </c>
      <c r="I47" s="11" t="inlineStr">
        <is>
          <t>$15.61B FY2025 (down 11.56% YoY) (stockanalysis.com)</t>
        </is>
      </c>
      <c r="J47" s="11" t="inlineStr">
        <is>
          <t>~$9.8-10.8B market cap, June-Aug 2026 (stockanalysis.com)</t>
        </is>
      </c>
      <c r="K47" s="11" t="inlineStr">
        <is>
          <t>n/a - public company</t>
        </is>
      </c>
      <c r="L47" s="11" t="inlineStr">
        <is>
          <t>exceeds - mega-brand</t>
        </is>
      </c>
      <c r="M47" s="11" t="n">
        <v>3</v>
      </c>
      <c r="N47" s="11" t="inlineStr">
        <is>
          <t>Stretch</t>
        </is>
      </c>
      <c r="O47" s="11" t="inlineStr">
        <is>
          <t>No F1 conflict found; revenue and market cap clear hard bars; but FY2025 revenue declined double digits amid a steel downcycle - a real reservation on the capacity-to-spend bar even though the company remains large and liquid.</t>
        </is>
      </c>
      <c r="P47" s="11" t="inlineStr">
        <is>
          <t>Latin America industrial-growth narrative; steel/metals category is open on the 2026 grid; position around infrastructure buildout and manufacturing precision across Ternium's multi-country footprint.</t>
        </is>
      </c>
      <c r="Q47" s="11" t="inlineStr">
        <is>
          <t>Rocca family (Techint) significant control of a publicly-valued company; FY2025 revenue down 11.56% YoY amid steel-price downcycle</t>
        </is>
      </c>
      <c r="R47" s="11" t="inlineStr">
        <is>
          <t>verified-existing</t>
        </is>
      </c>
      <c r="S47" s="11" t="inlineStr">
        <is>
          <t>2026-09-28</t>
        </is>
      </c>
    </row>
    <row r="48">
      <c r="A48" s="11" t="n">
        <v>45</v>
      </c>
      <c r="B48" s="11" t="n">
        <v>58</v>
      </c>
      <c r="C48" s="11" t="inlineStr">
        <is>
          <t>Wenco International Mining Systems</t>
        </is>
      </c>
      <c r="D48" s="11" t="inlineStr">
        <is>
          <t>wencomine.com</t>
        </is>
      </c>
      <c r="E48" s="11" t="inlineStr">
        <is>
          <t>Richmond, British Columbia, Canada</t>
        </is>
      </c>
      <c r="F48" s="11" t="inlineStr">
        <is>
          <t>Subsidiary (not wholly-owned in F1 terms; operating subsidiary) of Hitachi Construction Machinery (public, Tokyo: 6305), no F1 ties found at parent</t>
        </is>
      </c>
      <c r="G48" s="11" t="inlineStr">
        <is>
          <t>Mine fleet management / mining telematics software</t>
        </is>
      </c>
      <c r="H48" s="11" t="inlineStr">
        <is>
          <t>201-1k (~200-400 employees)</t>
        </is>
      </c>
      <c r="I48" s="11" t="inlineStr">
        <is>
          <t>Wenco's own revenue not broken out; parent Hitachi Construction Machinery FY ended Mar 2025 revenue ~JPY1.41T (~$9.4B), up 2.5% YoY (equipmentfinancenews.com)</t>
        </is>
      </c>
      <c r="J48" s="11" t="inlineStr">
        <is>
          <t>Wenco not independently valued; parent Hitachi Construction Machinery market cap ~$6.1-7.1B (2025-2026, companiesmarketcap.com)</t>
        </is>
      </c>
      <c r="K48" s="11" t="inlineStr">
        <is>
          <t>n/a - subsidiary of listed parent</t>
        </is>
      </c>
      <c r="L48" s="11" t="inlineStr">
        <is>
          <t>meets parameters</t>
        </is>
      </c>
      <c r="M48" s="11" t="n">
        <v>3</v>
      </c>
      <c r="N48" s="11" t="inlineStr">
        <is>
          <t>Stretch</t>
        </is>
      </c>
      <c r="O48" s="11" t="inlineStr">
        <is>
          <t>No F1 ties at Wenco or at parent Hitachi Construction Machinery, which is merely a large non-sponsoring group (flagged, not disqualifying); parent has ample scale/capacity, but Wenco's own financials are not disclosed and parent profit is under tariff pressure - a real reservation on the underlying figures.</t>
        </is>
      </c>
      <c r="P48" s="11" t="inlineStr">
        <is>
          <t>Mining-fleet telemetry/autonomous-operations technology backed by Hitachi Construction Machinery's balance sheet; precision-data-under-extreme-conditions narrative, open mining-tech category on the grid.</t>
        </is>
      </c>
      <c r="Q48" s="11" t="inlineStr">
        <is>
          <t>parent: Hitachi Construction Machinery (public, Japan) - no F1 ties; subsidiary revenue not independently disclosed (est); parent FY2025 revenue rose but profit fell amid tariff pressure - equipmentfinancenews.com</t>
        </is>
      </c>
      <c r="R48" s="11" t="inlineStr">
        <is>
          <t>verified-existing</t>
        </is>
      </c>
      <c r="S48" s="11" t="inlineStr">
        <is>
          <t>2026-09-28</t>
        </is>
      </c>
    </row>
    <row r="49">
      <c r="A49" s="11" t="n">
        <v>46</v>
      </c>
      <c r="B49" s="11" t="n">
        <v>58</v>
      </c>
      <c r="C49" s="11" t="inlineStr">
        <is>
          <t>Hartree Partners</t>
        </is>
      </c>
      <c r="D49" s="11" t="inlineStr">
        <is>
          <t>hartreepartners.com</t>
        </is>
      </c>
      <c r="E49" s="11" t="inlineStr">
        <is>
          <t>USA</t>
        </is>
      </c>
      <c r="F49" s="11" t="inlineStr">
        <is>
          <t>Private partnership — Hartree Partners LP is owned by its managing partners and senior staff, alongside a minority strategic investment from Oaktree Capital Management.</t>
        </is>
      </c>
      <c r="G49" s="11" t="inlineStr">
        <is>
          <t>Commodity trading &amp; merchanting</t>
        </is>
      </c>
      <c r="H49" s="11" t="inlineStr">
        <is>
          <t>1k-5k</t>
        </is>
      </c>
      <c r="I49" s="11" t="inlineStr">
        <is>
          <t>~$330-412M range across aggregator estimates (Owler/PitchBook/ZoomInfo, 2025-2026) (est) — no primary financial disclosure found; comfortably clears the $100M bar under any of the cited estimates.</t>
        </is>
      </c>
      <c r="J49" s="11" t="inlineStr">
        <is>
          <t>Not disclosed — private partnership, no published market cap, post-money, or EV found (Sep 2026 searches).</t>
        </is>
      </c>
      <c r="K49" s="11" t="inlineStr">
        <is>
          <t>No recent equity raise disclosed; Oaktree Capital holds a long-standing minority strategic investment (no confirmed date within 18 months).</t>
        </is>
      </c>
      <c r="L49" s="11" t="inlineStr">
        <is>
          <t>meets parameters</t>
        </is>
      </c>
      <c r="M49" s="11" t="n">
        <v>3</v>
      </c>
      <c r="N49" s="11" t="inlineStr">
        <is>
          <t>Stretch</t>
        </is>
      </c>
      <c r="O49" s="11" t="inlineStr">
        <is>
          <t>Hartree Partners LP is a partner/senior-staff-owned firm (with a minority Oaktree Capital stake) and no published valuation, so it passes on revenue alone under the Track A employee-owned/partnership exemption (revenue ~$330-412M estimates clear the $100M bar). No F1 conflicts found; capped at Stretch and flagged 'no published valuation (employee-owned)' per protocol.</t>
        </is>
      </c>
      <c r="P49" s="11" t="inlineStr">
        <is>
          <t>Commodity risk-management/real-time-decisioning story mapped to F1 strategy-room analytics; open category, though the pitch is speculative given no consumer-facing brand.</t>
        </is>
      </c>
      <c r="Q49" s="11" t="inlineStr">
        <is>
          <t>no published valuation (employee-owned); Minority stake held by Oaktree Capital (financial sponsor); Likely customer/counterparty concentration risk typical of commodity trading firms; Employee count estimates vary widely by source (~600 per desk triage vs. ~2,300 per aggregator) — treat headcount band as uncertain</t>
        </is>
      </c>
      <c r="R49" s="11" t="inlineStr">
        <is>
          <t>verified-existing</t>
        </is>
      </c>
      <c r="S49" s="11" t="inlineStr">
        <is>
          <t>2026-09-28</t>
        </is>
      </c>
    </row>
    <row r="50">
      <c r="A50" s="11" t="n">
        <v>47</v>
      </c>
      <c r="B50" s="11" t="n">
        <v>58</v>
      </c>
      <c r="C50" s="11" t="inlineStr">
        <is>
          <t>IXM</t>
        </is>
      </c>
      <c r="D50" s="11" t="inlineStr">
        <is>
          <t>ixm-global.com</t>
        </is>
      </c>
      <c r="E50" s="11" t="inlineStr">
        <is>
          <t>Switzerland/Singapore</t>
        </is>
      </c>
      <c r="F50" s="11" t="inlineStr">
        <is>
          <t>Wholly-owned subsidiary of CMOC Group Limited (HK 3993 / Shanghai 603993). CMOC's largest shareholders are Cathay Fortune Corporation (30.19%, private) and CATL (24.68%), with a minority state-linked legacy shareholder (Luoyang Mining Group) — a minority, not majority, state stake.</t>
        </is>
      </c>
      <c r="G50" s="11" t="inlineStr">
        <is>
          <t>Metals &amp; concentrates trading (copper, lead, zinc)</t>
        </is>
      </c>
      <c r="H50" s="11" t="inlineStr">
        <is>
          <t>201-1k</t>
        </is>
      </c>
      <c r="I50" s="11" t="inlineStr">
        <is>
          <t>IXM itself does not disclose standalone revenue (4.17 million tonnes physical trade volume in 2025, per CMOC); parent CMOC Group reported ~$33B TTM revenue (multiples.vc, Sep 2026).</t>
        </is>
      </c>
      <c r="J50" s="11" t="inlineStr">
        <is>
          <t>IXM's standalone valuation is not disclosed (private subsidiary); parent CMOC Group market cap ~$24.7B, Sep 2026 (multiples.vc).</t>
        </is>
      </c>
      <c r="K50" s="11" t="inlineStr">
        <is>
          <t>IXM was acquired by CMOC China (EU-cleared acquisition); no recent standalone funding event. Parent CMOC's capital activity is not tracked at the IXM level.</t>
        </is>
      </c>
      <c r="L50" s="11" t="inlineStr">
        <is>
          <t>exceeds - mega-brand</t>
        </is>
      </c>
      <c r="M50" s="11" t="n">
        <v>3</v>
      </c>
      <c r="N50" s="11" t="inlineStr">
        <is>
          <t>Stretch</t>
        </is>
      </c>
      <c r="O50" s="11" t="inlineStr">
        <is>
          <t>Hard bars pass via parent: IXM is a wholly-owned subsidiary of CMOC Group Limited (~$33B TTM revenue, ~$24.7B market cap, Sep 2026), which has no F1 sponsorship ties, so per Track A's 'parent is merely a large group' rule the candidate is kept (flagged 'parent: CMOC Group Limited'). CMOC carries a minority state-linked legacy shareholder (Luoyang Mining Group) alongside majority private ownership (Cathay Fortune, CATL) — a minority state stake, which caps the verdict at Stretch per protocol.</t>
        </is>
      </c>
      <c r="P50" s="11" t="inlineStr">
        <is>
          <t>Metals-for-the-energy-transition angle (copper/battery metals) tied to F1 electrification, leveraging parent CMOC's scale; open category, though outreach should go through IXM's own commercial team.</t>
        </is>
      </c>
      <c r="Q50" s="11" t="inlineStr">
        <is>
          <t>Minority state-linked shareholder in parent CMOC (Luoyang Mining Group legacy stake); parent: CMOC Group Limited (HK/Shanghai-listed, no F1 ties found); Financials available at parent level only — IXM itself does not disclose standalone revenue/valuation; Likely customer/counterparty concentration risk typical of commodity trading firms</t>
        </is>
      </c>
      <c r="R50" s="11" t="inlineStr">
        <is>
          <t>verified-existing</t>
        </is>
      </c>
      <c r="S50" s="11" t="inlineStr">
        <is>
          <t>2026-09-28</t>
        </is>
      </c>
    </row>
    <row r="51">
      <c r="A51" s="11" t="n">
        <v>48</v>
      </c>
      <c r="B51" s="11" t="n">
        <v>58</v>
      </c>
      <c r="C51" s="11" t="inlineStr">
        <is>
          <t>Nexa Resources</t>
        </is>
      </c>
      <c r="D51" s="11" t="inlineStr">
        <is>
          <t>nexaresources.com</t>
        </is>
      </c>
      <c r="E51" s="11" t="inlineStr">
        <is>
          <t>Luxembourg (HQ), operations in Brazil &amp; Peru</t>
        </is>
      </c>
      <c r="F51" s="11" t="inlineStr">
        <is>
          <t>Public (NYSE: NEXA); controlling shareholder Votorantim S.A. (64.68%). Boliden AB agreed Aug 2026 to acquire Votorantim's controlling stake; deal not yet closed as of Sept 2026</t>
        </is>
      </c>
      <c r="G51" s="11" t="inlineStr">
        <is>
          <t>Zinc mining &amp; smelting, plus copper, lead, silver, gold</t>
        </is>
      </c>
      <c r="H51" s="11" t="inlineStr">
        <is>
          <t>1k-5k</t>
        </is>
      </c>
      <c r="I51" s="11" t="inlineStr">
        <is>
          <t>TTM revenue $2.78B as of Nov 2025 (Q4 2025 revenue $903M, +22% YoY) (source: stockanalysis.com/company reporting)</t>
        </is>
      </c>
      <c r="J51" s="11" t="inlineStr">
        <is>
          <t>Market cap $1.65B as of Sept 27, 2026, having ranged $1.27B-$1.86B over the prior year (source: stockanalysis.com/companiesmarketcap)</t>
        </is>
      </c>
      <c r="K51" s="11" t="inlineStr">
        <is>
          <t>N/A (public company)</t>
        </is>
      </c>
      <c r="L51" s="11" t="inlineStr">
        <is>
          <t>meets parameters</t>
        </is>
      </c>
      <c r="M51" s="11" t="n">
        <v>3</v>
      </c>
      <c r="N51" s="11" t="inlineStr">
        <is>
          <t>Stretch</t>
        </is>
      </c>
      <c r="O51" s="11" t="inlineStr">
        <is>
          <t>Hard bars pass (revenue $2.78B TTM; market cap $1.65B as of Sept 2026, comfortably &gt;$1B) but real reservation: valuation swung between $1.27B and $1.86B in the past year and controlling ownership is mid-transition to Boliden AB, an unclosed deal as of today.</t>
        </is>
      </c>
      <c r="P51" s="11" t="inlineStr">
        <is>
          <t>(est) 'Materials powering electrification' — global-ambition story, timed to the ownership transition to Boliden as a natural re-introduction moment.</t>
        </is>
      </c>
      <c r="Q51" s="11" t="inlineStr">
        <is>
          <t>pending change of control: Boliden AB agreed (Aug 2026) to acquire Votorantim's 64.68% stake, deal unclosed as of Sept 2026 — no F1 ties found for Votorantim or Boliden; history of inconsistent profitability / valuation volatility (carried from input triage)</t>
        </is>
      </c>
      <c r="R51" s="11" t="inlineStr">
        <is>
          <t>verified-existing</t>
        </is>
      </c>
      <c r="S51" s="11" t="inlineStr">
        <is>
          <t>2026-09-28</t>
        </is>
      </c>
    </row>
    <row r="52">
      <c r="A52" s="11" t="n">
        <v>49</v>
      </c>
      <c r="B52" s="11" t="n">
        <v>58</v>
      </c>
      <c r="C52" s="11" t="inlineStr">
        <is>
          <t>Ocean Partners</t>
        </is>
      </c>
      <c r="D52" s="11" t="inlineStr">
        <is>
          <t>oceanpartners.com</t>
        </is>
      </c>
      <c r="E52" s="11" t="inlineStr">
        <is>
          <t>UK (Maidenhead, Berkshire)</t>
        </is>
      </c>
      <c r="F52" s="11" t="inlineStr">
        <is>
          <t>Private; majority-owned by its senior management team (employee/management ownership)</t>
        </is>
      </c>
      <c r="G52" s="11" t="inlineStr">
        <is>
          <t>Metals &amp; concentrates trading (zinc, lead, copper concentrate, gold, silver) for miners, smelters, refiners</t>
        </is>
      </c>
      <c r="H52" s="11" t="inlineStr">
        <is>
          <t>51-200</t>
        </is>
      </c>
      <c r="I52" s="11" t="inlineStr">
        <is>
          <t>Turnover £3.79B FY2024, +16.6% YoY (source: Companies House filing for Ocean Partners Holdings Ltd); gross profit/margin figures much smaller and not fully disclosed</t>
        </is>
      </c>
      <c r="J52" s="11" t="inlineStr">
        <is>
          <t>Not published (private, management-owned); no external financing round or market cap found</t>
        </is>
      </c>
      <c r="K52" s="11" t="inlineStr">
        <is>
          <t>N/A — no external financing round identified; self-funded/management-owned</t>
        </is>
      </c>
      <c r="L52" s="11" t="inlineStr">
        <is>
          <t>meets parameters</t>
        </is>
      </c>
      <c r="M52" s="11" t="n">
        <v>3</v>
      </c>
      <c r="N52" s="11" t="inlineStr">
        <is>
          <t>Stretch</t>
        </is>
      </c>
      <c r="O52" s="11" t="inlineStr">
        <is>
          <t>Revenue hard bar passes via turnover (£3.79B FY2024, Companies House). No published valuation, but ownership is majority senior-management (employee-owned in substance), so per protocol it passes on revenue alone — capped at Stretch with the exemption flagged.</t>
        </is>
      </c>
      <c r="P52" s="11" t="inlineStr">
        <is>
          <t>(est) 'The trading backbone connecting global mine supply to industrial demand' — open category, global-flow narrative.</t>
        </is>
      </c>
      <c r="Q52" s="11" t="inlineStr">
        <is>
          <t>no published valuation (employee-owned); revenue reflects trading turnover; true net margin is much smaller and not disclosed</t>
        </is>
      </c>
      <c r="R52" s="11" t="inlineStr">
        <is>
          <t>verified-existing</t>
        </is>
      </c>
      <c r="S52" s="11" t="inlineStr">
        <is>
          <t>2026-09-28</t>
        </is>
      </c>
    </row>
    <row r="53">
      <c r="A53" s="11" t="n">
        <v>50</v>
      </c>
      <c r="B53" s="11" t="n">
        <v>58</v>
      </c>
      <c r="C53" s="11" t="inlineStr">
        <is>
          <t>Sigma Lithium</t>
        </is>
      </c>
      <c r="D53" s="11" t="inlineStr">
        <is>
          <t>sigmalithiumresources.com</t>
        </is>
      </c>
      <c r="E53" s="11" t="inlineStr">
        <is>
          <t>Brazil (Grota do Cirilo operation) / Canada (corporate)</t>
        </is>
      </c>
      <c r="F53" s="11" t="inlineStr">
        <is>
          <t>Public (Nasdaq/TSXV: SGML)</t>
        </is>
      </c>
      <c r="G53" s="11" t="inlineStr">
        <is>
          <t>Lithium mining — spodumene concentrate</t>
        </is>
      </c>
      <c r="H53" s="11" t="inlineStr">
        <is>
          <t>1k-5k</t>
        </is>
      </c>
      <c r="I53" s="11" t="inlineStr">
        <is>
          <t>$110.01M FY2025, down 27.3% YoY from $151.35M; Q3'25 net revenue $28.5M (+69% QoQ, +36% YoY) (source: stockanalysis.com/company results)</t>
        </is>
      </c>
      <c r="J53" s="11" t="inlineStr">
        <is>
          <t>Market cap $1.26B as of Nov 28, 2025 (source: stockanalysis.com)</t>
        </is>
      </c>
      <c r="K53" s="11" t="inlineStr">
        <is>
          <t>Cost-reduction program and debt repayment through 2025; no recent primary equity raise identified beyond ordinary capital-markets activity</t>
        </is>
      </c>
      <c r="L53" s="11" t="inlineStr">
        <is>
          <t>meets parameters</t>
        </is>
      </c>
      <c r="M53" s="11" t="n">
        <v>3</v>
      </c>
      <c r="N53" s="11" t="inlineStr">
        <is>
          <t>Stretch</t>
        </is>
      </c>
      <c r="O53" s="11" t="inlineStr">
        <is>
          <t>Hard bars technically pass (revenue $110M FY2025; market cap $1.26B, Nov 2025) but with real reservations: revenue is barely above the $100M threshold and fell 27% YoY amid cost-cutting, and offtake concentration is only partly offset by spot-market diversification.</t>
        </is>
      </c>
      <c r="P53" s="11" t="inlineStr">
        <is>
          <t>(est) 'From Brazil to the world's EVs' — production-scale and sustainability story tied to an open battery-minerals category.</t>
        </is>
      </c>
      <c r="Q53" s="11" t="inlineStr">
        <is>
          <t>revenue sits just above the $100M hard bar and fell 27% YoY amid explicit cost-cutting — thin margin on the bar; offtake customer concentration (LG Energy Solution, and Glencore as largest customer), partly offset by spot-market sales; lithium price crash has compressed valuation from prior peak (input flag)</t>
        </is>
      </c>
      <c r="R53" s="11" t="inlineStr">
        <is>
          <t>verified-existing</t>
        </is>
      </c>
      <c r="S53" s="11" t="inlineStr">
        <is>
          <t>2026-09-28</t>
        </is>
      </c>
    </row>
    <row r="54">
      <c r="A54" s="11" t="n">
        <v>51</v>
      </c>
      <c r="B54" s="11" t="n">
        <v>52</v>
      </c>
      <c r="C54" s="11" t="inlineStr">
        <is>
          <t>Northern Star Resources</t>
        </is>
      </c>
      <c r="D54" s="11" t="inlineStr">
        <is>
          <t>nsrltd.com</t>
        </is>
      </c>
      <c r="E54" s="11" t="inlineStr">
        <is>
          <t>Australia</t>
        </is>
      </c>
      <c r="F54" s="11" t="inlineStr">
        <is>
          <t>Public (ASX: NST) — no state or family control identified</t>
        </is>
      </c>
      <c r="G54" s="11" t="inlineStr">
        <is>
          <t>Gold mining</t>
        </is>
      </c>
      <c r="H54" s="11" t="inlineStr">
        <is>
          <t>5k-10k</t>
        </is>
      </c>
      <c r="I54" s="11" t="inlineStr">
        <is>
          <t>AUD $6.4B FY2025 revenue (~US$4.2B) (aggregated FY2025 results, stockanalysis.com/TradingView, 2025/2026)</t>
        </is>
      </c>
      <c r="J54" s="11" t="inlineStr">
        <is>
          <t>~AUD $20-25B market cap (est, ASX:NST, Sept 2026, based on scale and elevated gold prices — precise print not returned by search this run)</t>
        </is>
      </c>
      <c r="K54" s="11" t="inlineStr">
        <is>
          <t>N/A — public company</t>
        </is>
      </c>
      <c r="L54" s="11" t="inlineStr">
        <is>
          <t>meets parameters</t>
        </is>
      </c>
      <c r="M54" s="11" t="n">
        <v>2</v>
      </c>
      <c r="N54" s="11" t="inlineStr">
        <is>
          <t>Stretch</t>
        </is>
      </c>
      <c r="O54" s="11" t="inlineStr">
        <is>
          <t>Hard filters pass (revenue and valuation far above bars, headcount 5k-10k est., clearly profitable, no F1 conflict found, clean public ownership) but fit==2 with a weak angle — narrow 2-country footprint and a brand story that fits performance/technology framing only loosely.</t>
        </is>
      </c>
      <c r="P54" s="11" t="inlineStr">
        <is>
          <t>Gold-price-cycle timing: leverage record 2025/26 profits and cash generation to fund a marquee entry into a still-open commodities category.</t>
        </is>
      </c>
      <c r="Q54" s="11" t="inlineStr">
        <is>
          <t>valuation and headcount not independently re-confirmed this run (est. only, based on general market data); narrow 2-country operating footprint limits global-activation story</t>
        </is>
      </c>
      <c r="R54" s="11" t="inlineStr">
        <is>
          <t>verified-existing</t>
        </is>
      </c>
      <c r="S54" s="11" t="inlineStr">
        <is>
          <t>2026-09-28</t>
        </is>
      </c>
    </row>
    <row r="55">
      <c r="A55" s="11" t="n">
        <v>52</v>
      </c>
      <c r="B55" s="11" t="n">
        <v>52</v>
      </c>
      <c r="C55" s="11" t="inlineStr">
        <is>
          <t>Perenti Limited</t>
        </is>
      </c>
      <c r="D55" s="11" t="inlineStr">
        <is>
          <t>perentigroup.com</t>
        </is>
      </c>
      <c r="E55" s="11" t="inlineStr">
        <is>
          <t>Australia</t>
        </is>
      </c>
      <c r="F55" s="11" t="inlineStr">
        <is>
          <t>Public (ASX: PRN) — no state control</t>
        </is>
      </c>
      <c r="G55" s="11" t="inlineStr">
        <is>
          <t>Mining contracting services</t>
        </is>
      </c>
      <c r="H55" s="11" t="inlineStr">
        <is>
          <t>10k+</t>
        </is>
      </c>
      <c r="I55" s="11" t="inlineStr">
        <is>
          <t>AUD $3.49B FY2025 revenue (year ended June 30, 2025), +4.4% YoY (stockanalysis.com)</t>
        </is>
      </c>
      <c r="J55" s="11" t="inlineStr">
        <is>
          <t>~AUD $2.1-2.7B market cap (~US$1.4-1.75B) (Aug 2025-Aug 2026 range, stockanalysis.com)</t>
        </is>
      </c>
      <c r="K55" s="11" t="inlineStr">
        <is>
          <t>N/A — public company</t>
        </is>
      </c>
      <c r="L55" s="11" t="inlineStr">
        <is>
          <t>meets parameters</t>
        </is>
      </c>
      <c r="M55" s="11" t="n">
        <v>2</v>
      </c>
      <c r="N55" s="11" t="inlineStr">
        <is>
          <t>Stretch</t>
        </is>
      </c>
      <c r="O55" s="11" t="inlineStr">
        <is>
          <t>Financial hard bars pass (revenue, valuation, headcount 10k+, apparent profitability) and no F1 conflict was found, but real reservations remain: customer-concentration risk inherent to the mining-services model could not be independently re-confirmed after the search budget was cut mid-run, and press coverage flags a mining-cycle stress test following rapid expansion — fit score only 2.</t>
        </is>
      </c>
      <c r="P55" s="11" t="inlineStr">
        <is>
          <t>International contract-mining growth story (Africa/Indonesia expansion) with a precision-engineering angle, though customer-concentration risk should be diligenced further before outreach.</t>
        </is>
      </c>
      <c r="Q55" s="11" t="inlineStr">
        <is>
          <t>same mining-services business model as NRW Holdings — customer concentration among large mining clients is a structural risk for this business type; could not be independently re-confirmed this run after the search budget was cut mid-task; press coverage flags a 'mining-cycle test after rapid expansion' (kalkine.com.au, 2025/2026) — an unconfirmed distress signal worth diligencing</t>
        </is>
      </c>
      <c r="R55" s="11" t="inlineStr">
        <is>
          <t>verified-existing</t>
        </is>
      </c>
      <c r="S55" s="11" t="inlineStr">
        <is>
          <t>2026-09-28</t>
        </is>
      </c>
    </row>
    <row r="56">
      <c r="A56" s="11" t="n">
        <v>53</v>
      </c>
      <c r="B56" s="11" t="n">
        <v>52</v>
      </c>
      <c r="C56" s="11" t="inlineStr">
        <is>
          <t>Alamos Gold</t>
        </is>
      </c>
      <c r="D56" s="11" t="inlineStr">
        <is>
          <t>alamosgold.com</t>
        </is>
      </c>
      <c r="E56" s="11" t="inlineStr">
        <is>
          <t>Canada</t>
        </is>
      </c>
      <c r="F56" s="11" t="inlineStr">
        <is>
          <t>Public (TSX/NYSE: AGI) — no state control</t>
        </is>
      </c>
      <c r="G56" s="11" t="inlineStr">
        <is>
          <t>Gold mining</t>
        </is>
      </c>
      <c r="H56" s="11" t="inlineStr">
        <is>
          <t>1k-5k</t>
        </is>
      </c>
      <c r="I56" s="11" t="inlineStr">
        <is>
          <t>US$1.81B 2025 revenue, +34.29% YoY, a record annual figure (SEC Form 6-K FY2025; stockanalysis.com)</t>
        </is>
      </c>
      <c r="J56" s="11" t="inlineStr">
        <is>
          <t>~US$15.5B market cap (as of Sept 9, 2026; stockanalysis.com)</t>
        </is>
      </c>
      <c r="K56" s="11" t="inlineStr">
        <is>
          <t>N/A — public company</t>
        </is>
      </c>
      <c r="L56" s="11" t="inlineStr">
        <is>
          <t>meets parameters</t>
        </is>
      </c>
      <c r="M56" s="11" t="n">
        <v>2</v>
      </c>
      <c r="N56" s="11" t="inlineStr">
        <is>
          <t>Stretch</t>
        </is>
      </c>
      <c r="O56" s="11" t="inlineStr">
        <is>
          <t>Hard filters pass (record revenue $1.81B, market cap $15.5B, headcount 1k-5k, clear profitability/growth, no F1 conflict, clean ownership) but fit==2 with a genuinely weak angle — only 2 operating countries limits the international-market story a sponsorship would need.</t>
        </is>
      </c>
      <c r="P56" s="11" t="inlineStr">
        <is>
          <t>Record-revenue growth story (34% YoY) from the gold cycle, best paired with a market-entry/expansion narrative once footprint broadens beyond Canada/Mexico.</t>
        </is>
      </c>
      <c r="Q56" s="11" t="inlineStr">
        <is>
          <t>narrow 2-country operating footprint limits the international-activation story</t>
        </is>
      </c>
      <c r="R56" s="11" t="inlineStr">
        <is>
          <t>verified-existing</t>
        </is>
      </c>
      <c r="S56" s="11" t="inlineStr">
        <is>
          <t>2026-09-28</t>
        </is>
      </c>
    </row>
    <row r="57">
      <c r="A57" s="11" t="n">
        <v>54</v>
      </c>
      <c r="B57" s="11" t="n">
        <v>52</v>
      </c>
      <c r="C57" s="11" t="inlineStr">
        <is>
          <t>Equinox Gold</t>
        </is>
      </c>
      <c r="D57" s="11" t="inlineStr">
        <is>
          <t>equinoxgold.com</t>
        </is>
      </c>
      <c r="E57" s="11" t="inlineStr">
        <is>
          <t>Canada</t>
        </is>
      </c>
      <c r="F57" s="11" t="inlineStr">
        <is>
          <t>Public (TSX/NYSE American: EQX); no state or majority holder identified</t>
        </is>
      </c>
      <c r="G57" s="11" t="inlineStr">
        <is>
          <t>Gold mining (multi-country: Canada, US, Mexico, Brazil, Nicaragua post-Calibre merger)</t>
        </is>
      </c>
      <c r="H57" s="11" t="inlineStr">
        <is>
          <t>5k-10k (est)</t>
        </is>
      </c>
      <c r="I57" s="11" t="inlineStr">
        <is>
          <t>$2.71B FY2025 (record production of 922,827 oz gold), per Equinox Gold/Globe and Mail press release citing FY2025 results (accessed Sept 2026) — clears &gt;$100M hard bar</t>
        </is>
      </c>
      <c r="J57" s="11" t="inlineStr">
        <is>
          <t>Implied combined-company market cap ~C$7.7B (~US$5.6B) following completion of the Calibre Mining merger, June 17 2025 (Equinox Gold/Yahoo Finance press release, accessed Sept 2026) — clears &gt;$1B hard bar</t>
        </is>
      </c>
      <c r="K57" s="11" t="inlineStr">
        <is>
          <t>N/A (public company; merger-funded via share exchange, not a cash raise); reduced debt by &gt;$1.1B and declared inaugural dividend in FY2025</t>
        </is>
      </c>
      <c r="L57" s="11" t="inlineStr">
        <is>
          <t>meets parameters</t>
        </is>
      </c>
      <c r="M57" s="11" t="n">
        <v>2</v>
      </c>
      <c r="N57" s="11" t="inlineStr">
        <is>
          <t>Stretch</t>
        </is>
      </c>
      <c r="O57" s="11" t="inlineStr">
        <is>
          <t>Hard filters pass: revenue $2.71B and implied market cap ~$5.6B both clear bars; headcount estimated 5k-10k (est, unverified) still comfortably above the 51 floor; financially improving (record production, $1.1B+ debt reduction, first-ever dividend) rather than in distress; no F1 conflict found; ownership public with no disqualifying issue. However fit score is only 2/4 and headcount is an unverified estimate amid ongoing post-merger integration - a real reservation.</t>
        </is>
      </c>
      <c r="P57" s="11" t="inlineStr">
        <is>
          <t>Post-merger (Calibre) transformation story - a newly combined, five-country Americas gold major with record production and its first-ever dividend - 'a new global-scale player introduces itself on a global stage.'</t>
        </is>
      </c>
      <c r="Q57" s="11" t="inlineStr">
        <is>
          <t>post-merger (Calibre, completed June 2025) integration still underway; headcount not found in searches - carried as an estimate (5k-10k) pending verification</t>
        </is>
      </c>
      <c r="R57" s="11" t="inlineStr">
        <is>
          <t>verified-existing</t>
        </is>
      </c>
      <c r="S57" s="11" t="inlineStr">
        <is>
          <t>2026-09-28</t>
        </is>
      </c>
    </row>
    <row r="58">
      <c r="A58" s="11" t="n">
        <v>55</v>
      </c>
      <c r="B58" s="11" t="n">
        <v>52</v>
      </c>
      <c r="C58" s="11" t="inlineStr">
        <is>
          <t>Hecla Mining</t>
        </is>
      </c>
      <c r="D58" s="11" t="inlineStr">
        <is>
          <t>hecla.com</t>
        </is>
      </c>
      <c r="E58" s="11" t="inlineStr">
        <is>
          <t>Coeur d'Alene, Idaho, USA</t>
        </is>
      </c>
      <c r="F58" s="11" t="inlineStr">
        <is>
          <t>Public (NYSE: HL); no state or controlling-family ownership</t>
        </is>
      </c>
      <c r="G58" s="11" t="inlineStr">
        <is>
          <t>Silver and gold mining (US, Canada, Mexico)</t>
        </is>
      </c>
      <c r="H58" s="11" t="inlineStr">
        <is>
          <t>1k-5k</t>
        </is>
      </c>
      <c r="I58" s="11" t="inlineStr">
        <is>
          <t>$1.42B FY2025 revenue, +53.0% YoY, driven largely by the 2025 precious-metals price rally (stockanalysis.com) (est - not cross-checked against primary filing)</t>
        </is>
      </c>
      <c r="J58" s="11" t="inlineStr">
        <is>
          <t>$12.86B market cap as of Dec 2025, up from $3.13B in Jan 2025 (+311% in-year) (stockanalysis.com / tradingview.com)</t>
        </is>
      </c>
      <c r="K58" s="11" t="inlineStr">
        <is>
          <t>N/A - public company; no recent primary capital raise identified in search</t>
        </is>
      </c>
      <c r="L58" s="11" t="inlineStr">
        <is>
          <t>meets parameters</t>
        </is>
      </c>
      <c r="M58" s="11" t="n">
        <v>2</v>
      </c>
      <c r="N58" s="11" t="inlineStr">
        <is>
          <t>Stretch</t>
        </is>
      </c>
      <c r="O58" s="11" t="inlineStr">
        <is>
          <t>Hard filters pass (revenue $1.42B, market cap $12.86B, 1,865 employees, no F1 conflicts, clean public ownership) but fit score is only 2 with a weak/generic angle - Hecla's operations and brand story are North America-regional rather than globally resonant, matching rule 10's 'fit==2 with weak angles' Stretch criterion.</t>
        </is>
      </c>
      <c r="P58" s="11" t="inlineStr">
        <is>
          <t>If pursued: a North American (US/Canada/Mexico) precious-metals growth story timed to the Mexico City and Canadian Grands Prix - a genuine but modest tri-market presence.</t>
        </is>
      </c>
      <c r="Q58" s="11" t="inlineStr">
        <is>
          <t>valuation driven largely by the 2025 precious-metals price rally rather than fundamental re-rating (est)</t>
        </is>
      </c>
      <c r="R58" s="11" t="inlineStr">
        <is>
          <t>verified-existing</t>
        </is>
      </c>
      <c r="S58" s="11" t="inlineStr">
        <is>
          <t>2026-09-28</t>
        </is>
      </c>
    </row>
    <row r="59">
      <c r="A59" s="11" t="n">
        <v>56</v>
      </c>
      <c r="B59" s="11" t="n">
        <v>52</v>
      </c>
      <c r="C59" s="11" t="inlineStr">
        <is>
          <t>Newmont</t>
        </is>
      </c>
      <c r="D59" s="11" t="inlineStr">
        <is>
          <t>newmont.com</t>
        </is>
      </c>
      <c r="E59" s="11" t="inlineStr">
        <is>
          <t>USA</t>
        </is>
      </c>
      <c r="F59" s="11" t="inlineStr">
        <is>
          <t>Public (NYSE: NEM)</t>
        </is>
      </c>
      <c r="G59" s="11" t="inlineStr">
        <is>
          <t>Gold, copper and silver mining</t>
        </is>
      </c>
      <c r="H59" s="11" t="inlineStr">
        <is>
          <t>10k+ (15,000+)</t>
        </is>
      </c>
      <c r="I59" s="11" t="inlineStr">
        <is>
          <t>$22.66B FY2025 (newmont.com Q4/FY2025 results release, reported ~Feb 2026); TTM ~$24.96B as of Sept 2026</t>
        </is>
      </c>
      <c r="J59" s="11" t="inlineStr">
        <is>
          <t>Market cap ~$127.93B as of late Sept 2026 (stockanalysis.com)</t>
        </is>
      </c>
      <c r="K59" s="11" t="inlineStr">
        <is>
          <t>n/a — public; increased share-repurchase authorization announced Q1 2026 (capital return, not a raise)</t>
        </is>
      </c>
      <c r="L59" s="11" t="inlineStr">
        <is>
          <t>exceeds - mega-brand</t>
        </is>
      </c>
      <c r="M59" s="11" t="n">
        <v>2</v>
      </c>
      <c r="N59" s="11" t="inlineStr">
        <is>
          <t>Stretch</t>
        </is>
      </c>
      <c r="O59" s="11" t="inlineStr">
        <is>
          <t>All hard filters pass cleanly (revenue $22.66B, market cap ~$127.9B, record cash flow/profitability, no F1 ties found for Newmont) but fit score is only 2 — weak marketing angles as a pure gold/commodity producer with no direct-purchase audience story.</t>
        </is>
      </c>
      <c r="P59" s="11" t="inlineStr">
        <is>
          <t>Global-scale, record-cash-flow industrial narrative for the open natural-resources/commodities category — a scale/prestige claim rather than a product story.</t>
        </is>
      </c>
      <c r="Q59" s="11" t="inlineStr">
        <is>
          <t>Pure commodity producer — no direct consumer or enterprise-buyer audience in the traditional marketing sense</t>
        </is>
      </c>
      <c r="R59" s="11" t="inlineStr">
        <is>
          <t>verified-existing</t>
        </is>
      </c>
      <c r="S59" s="11" t="inlineStr">
        <is>
          <t>2026-09-28</t>
        </is>
      </c>
    </row>
    <row r="60">
      <c r="A60" s="11" t="n">
        <v>57</v>
      </c>
      <c r="B60" s="11" t="n">
        <v>52</v>
      </c>
      <c r="C60" s="11" t="inlineStr">
        <is>
          <t>Perseus Mining</t>
        </is>
      </c>
      <c r="D60" s="11" t="inlineStr">
        <is>
          <t>perseusmining.com</t>
        </is>
      </c>
      <c r="E60" s="11" t="inlineStr">
        <is>
          <t>Australia (operations in Côte d'Ivoire, Ghana, Tanzania)</t>
        </is>
      </c>
      <c r="F60" s="11" t="inlineStr">
        <is>
          <t>Public (ASX/TSX: PRU)</t>
        </is>
      </c>
      <c r="G60" s="11" t="inlineStr">
        <is>
          <t>Gold mining</t>
        </is>
      </c>
      <c r="H60" s="11" t="inlineStr">
        <is>
          <t>1k-5k (2,200+)</t>
        </is>
      </c>
      <c r="I60" s="11" t="inlineStr">
        <is>
          <t>$1.25B FY2025 (stockanalysis.com, +21.67% YoY); H1 FY2026 $608.46M (+24.44% YoY)</t>
        </is>
      </c>
      <c r="J60" s="11" t="inlineStr">
        <is>
          <t>Market cap AUD 7.55B (~US$5B) as of 17 April 2026, +67.31% YoY (stockanalysis.com)</t>
        </is>
      </c>
      <c r="K60" s="11" t="inlineStr">
        <is>
          <t>n/a — public company</t>
        </is>
      </c>
      <c r="L60" s="11" t="inlineStr">
        <is>
          <t>meets parameters</t>
        </is>
      </c>
      <c r="M60" s="11" t="n">
        <v>2</v>
      </c>
      <c r="N60" s="11" t="inlineStr">
        <is>
          <t>Stretch</t>
        </is>
      </c>
      <c r="O60" s="11" t="inlineStr">
        <is>
          <t>Hard filters pass (revenue $1.25B, market cap ~US$5B/AUD7.55B, strong growth and profitability, no F1 ties found) but fit score is only 2 — weak marketing angles as a smaller-cap frontier-market gold commodity producer with no direct-purchase audience.</t>
        </is>
      </c>
      <c r="P60" s="11" t="inlineStr">
        <is>
          <t>High-growth emerging-market mining momentum story (market cap +67% in one year) for the open commodities/natural-resources category.</t>
        </is>
      </c>
      <c r="Q60" s="11" t="inlineStr">
        <is>
          <t>Pure commodity gold producer — no direct consumer or enterprise-buyer audience; Concentrated frontier-market operations (Côte d'Ivoire, Ghana, Tanzania) carry country/operational-risk profile</t>
        </is>
      </c>
      <c r="R60" s="11" t="inlineStr">
        <is>
          <t>verified-existing</t>
        </is>
      </c>
      <c r="S60" s="11" t="inlineStr">
        <is>
          <t>2026-09-28</t>
        </is>
      </c>
    </row>
    <row r="61">
      <c r="A61" s="11" t="n">
        <v>58</v>
      </c>
      <c r="B61" s="11" t="n">
        <v>52</v>
      </c>
      <c r="C61" s="11" t="inlineStr">
        <is>
          <t>Southern Copper Corporation</t>
        </is>
      </c>
      <c r="D61" s="11" t="inlineStr">
        <is>
          <t>southerncoppercorp.com</t>
        </is>
      </c>
      <c r="E61" s="11" t="inlineStr">
        <is>
          <t>USA/Peru (Phoenix, AZ HQ; operations in Peru and Mexico)</t>
        </is>
      </c>
      <c r="F61" s="11" t="inlineStr">
        <is>
          <t>Public (NYSE + Lima Stock Exchange); 88.9% owned by Grupo México (private Mexican conglomerate, Larrea family-controlled, not state-owned)</t>
        </is>
      </c>
      <c r="G61" s="11" t="inlineStr">
        <is>
          <t>Copper mining</t>
        </is>
      </c>
      <c r="H61" s="11" t="inlineStr">
        <is>
          <t>10k+ (16,000+)</t>
        </is>
      </c>
      <c r="I61" s="11" t="inlineStr">
        <is>
          <t>$13.42B FY2025, +17.38% YoY (stockanalysis.com/SEC 10-K, filed 2026)</t>
        </is>
      </c>
      <c r="J61" s="11" t="inlineStr">
        <is>
          <t>Market cap ~$149.44B as of 21 May 2026, +114.61% YoY (stockanalysis.com)</t>
        </is>
      </c>
      <c r="K61" s="11" t="inlineStr">
        <is>
          <t>n/a — public company</t>
        </is>
      </c>
      <c r="L61" s="11" t="inlineStr">
        <is>
          <t>exceeds - mega-brand</t>
        </is>
      </c>
      <c r="M61" s="11" t="n">
        <v>2</v>
      </c>
      <c r="N61" s="11" t="inlineStr">
        <is>
          <t>Stretch</t>
        </is>
      </c>
      <c r="O61" s="11" t="inlineStr">
        <is>
          <t>Hard filters pass cleanly (revenue $13.42B, market cap ~$149B, strongly profitable and growing, no F1 ties found for SCC or parent Grupo México, no state ownership) but fit score is only 2 — weak marketing angles as a pure commodity copper producer.</t>
        </is>
      </c>
      <c r="P61" s="11" t="inlineStr">
        <is>
          <t>Electrification/EV-metals growth narrative (copper demand from EVs and grid infrastructure) for the open commodities category — 'the metal powering performance technology.'</t>
        </is>
      </c>
      <c r="Q61" s="11" t="inlineStr">
        <is>
          <t>88.9% owned by Grupo México (private Mexican conglomerate) — no F1 ties found for parent or subsidiary; Pure commodity copper producer — no direct consumer or enterprise-buyer audience</t>
        </is>
      </c>
      <c r="R61" s="11" t="inlineStr">
        <is>
          <t>verified-existing</t>
        </is>
      </c>
      <c r="S61" s="11" t="inlineStr">
        <is>
          <t>2026-09-28</t>
        </is>
      </c>
    </row>
    <row r="62">
      <c r="A62" s="11" t="n">
        <v>59</v>
      </c>
      <c r="B62" s="11" t="n">
        <v>52</v>
      </c>
      <c r="C62" s="11" t="inlineStr">
        <is>
          <t>SSR Mining</t>
        </is>
      </c>
      <c r="D62" s="11" t="inlineStr">
        <is>
          <t>ssrmining.com</t>
        </is>
      </c>
      <c r="E62" s="11" t="inlineStr">
        <is>
          <t>Canada/USA (dual Denver/Toronto HQ; operations in USA, Canada, Argentina; former Turkey operation divested)</t>
        </is>
      </c>
      <c r="F62" s="11" t="inlineStr">
        <is>
          <t>Public (Nasdaq/TSX: SSRM)</t>
        </is>
      </c>
      <c r="G62" s="11" t="inlineStr">
        <is>
          <t>Gold and silver mining</t>
        </is>
      </c>
      <c r="H62" s="11" t="inlineStr">
        <is>
          <t>1k-5k (3,000+)</t>
        </is>
      </c>
      <c r="I62" s="11" t="inlineStr">
        <is>
          <t>TTM ~$1.9B (2026); company reported 'record revenue and net income' for FY2025</t>
        </is>
      </c>
      <c r="J62" s="11" t="inlineStr">
        <is>
          <t>Market cap ~$7.39B (2026)</t>
        </is>
      </c>
      <c r="K62" s="11" t="inlineStr">
        <is>
          <t>n/a — completed $1.49B Çöpler (Turkey) divestiture (2025-26), resulting in ~$1.8B cash balance</t>
        </is>
      </c>
      <c r="L62" s="11" t="inlineStr">
        <is>
          <t>meets parameters</t>
        </is>
      </c>
      <c r="M62" s="11" t="n">
        <v>2</v>
      </c>
      <c r="N62" s="11" t="inlineStr">
        <is>
          <t>Stretch</t>
        </is>
      </c>
      <c r="O62" s="11" t="inlineStr">
        <is>
          <t>Hard filters pass (record FY2025 revenue/net income, market cap ~$7.4B, strong post-divestiture balance sheet, no F1 ties found) but fit score is only 2, and the 2024 Çöpler landslide (fatalities, environmental) remains a real reputational reservation even though the asset has since been sold.</t>
        </is>
      </c>
      <c r="P62" s="11" t="inlineStr">
        <is>
          <t>Post-restructuring turnaround story (record 2025 results, $1.8B cash post-Çöpler exit) for the open precious-metals category — frame around operational discipline and resilience.</t>
        </is>
      </c>
      <c r="Q62" s="11" t="inlineStr">
        <is>
          <t>2024 Çöpler mine landslide incident (Turkey) — fatalities and environmental impact; asset since divested via $1.49B sale (2025-26); Pure commodity gold/silver producer — no direct consumer or enterprise-buyer audience</t>
        </is>
      </c>
      <c r="R62" s="11" t="inlineStr">
        <is>
          <t>verified-existing</t>
        </is>
      </c>
      <c r="S62" s="11" t="inlineStr">
        <is>
          <t>2026-09-28</t>
        </is>
      </c>
    </row>
  </sheetData>
  <autoFilter ref="A3:S6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S32"/>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Agriculture &amp; AgTech — existing New-Sectors book, now verified — 29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"05 Agriculture &amp; AgTech".</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0" t="n">
        <v>1</v>
      </c>
      <c r="B4" s="10" t="n">
        <v>92</v>
      </c>
      <c r="C4" s="10" t="inlineStr">
        <is>
          <t>Lely Group</t>
        </is>
      </c>
      <c r="D4" s="10" t="inlineStr">
        <is>
          <t>lely.com</t>
        </is>
      </c>
      <c r="E4" s="10" t="inlineStr">
        <is>
          <t>Netherlands</t>
        </is>
      </c>
      <c r="F4" s="10" t="inlineStr">
        <is>
          <t>Private, family-owned (van der Lely family); no published valuation - passes on revenue alone per protocol (confirmed Sept 2026).</t>
        </is>
      </c>
      <c r="G4" s="10" t="inlineStr">
        <is>
          <t>Robotic milking &amp; dairy-farm automation (Astronaut milking robots, barn robotics)</t>
        </is>
      </c>
      <c r="H4" s="10" t="inlineStr">
        <is>
          <t>1k-5k</t>
        </is>
      </c>
      <c r="I4" s="10" t="inlineStr">
        <is>
          <t>EUR 1.014B total turnover in 2025, up 18% YoY from EUR 857M in 2024 (lely.com, 'Lely reports 2025 financial results: a formidable year'). Passes &gt;$100M bar comfortably, with strong growth.</t>
        </is>
      </c>
      <c r="J4" s="10" t="inlineStr">
        <is>
          <t>Not published - family-owned; passes on revenue alone per protocol.</t>
        </is>
      </c>
      <c r="K4" s="10" t="inlineStr">
        <is>
          <t>N/A - privately held, self-funded; no external raise, no debt-distress signals; 2025 described by the company as 'a formidable year'.</t>
        </is>
      </c>
      <c r="L4" s="10" t="inlineStr">
        <is>
          <t>meets parameters</t>
        </is>
      </c>
      <c r="M4" s="10" t="n">
        <v>4</v>
      </c>
      <c r="N4" s="10" t="inlineStr">
        <is>
          <t>Yes</t>
        </is>
      </c>
      <c r="O4" s="10" t="inlineStr">
        <is>
          <t>All hard filters pass with strong margin - revenue &gt;$1B and growing 18% YoY (2025), family-owned pass on revenue is protocol-compliant, headcount 2,826, clearly profitable/expanding, no F1 conflict found, no compliance issue - and fit_score=4, the strongest of the batch.</t>
        </is>
      </c>
      <c r="P4" s="10" t="inlineStr">
        <is>
          <t>Precision-robotics/automation innovation story (autonomous milking robots) mapped directly to F1's performance-engineering narrative, reinforced by Dutch heritage and the Dutch Grand Prix home market; ag-robotics is an open category on the grid.</t>
        </is>
      </c>
      <c r="Q4" s="10" t="inlineStr">
        <is>
          <t>family-owned, no published valuation</t>
        </is>
      </c>
      <c r="R4" s="10" t="inlineStr">
        <is>
          <t>verified-existing</t>
        </is>
      </c>
      <c r="S4" s="10" t="inlineStr">
        <is>
          <t>2026-09-28</t>
        </is>
      </c>
    </row>
    <row r="5">
      <c r="A5" s="10" t="n">
        <v>2</v>
      </c>
      <c r="B5" s="10" t="n">
        <v>92</v>
      </c>
      <c r="C5" s="10" t="inlineStr">
        <is>
          <t>Trouw Nutrition (Nutreco)</t>
        </is>
      </c>
      <c r="D5" s="10" t="inlineStr">
        <is>
          <t>trouwnutrition.com</t>
        </is>
      </c>
      <c r="E5" s="10" t="inlineStr">
        <is>
          <t>Netherlands</t>
        </is>
      </c>
      <c r="F5" s="10" t="inlineStr">
        <is>
          <t>Subsidiary of Nutreco, wholly owned by SHV Holdings (private, family-owned Dutch conglomerate — Fentener van Vlissingen family); no F1 ties found for parent</t>
        </is>
      </c>
      <c r="G5" s="10" t="inlineStr">
        <is>
          <t>Animal feed &amp; nutrition solutions</t>
        </is>
      </c>
      <c r="H5" s="10" t="inlineStr">
        <is>
          <t>10k+</t>
        </is>
      </c>
      <c r="I5" s="10" t="inlineStr">
        <is>
          <t>Nutreco group net revenue ~€7.9B / $9.2B (2024); 2025 revenue lower YoY due to commodity price swings and the Iberia swine-farming divestiture despite volume growth — SHV Annual Report 2025. Trouw Nutrition division revenue not broken out separately but is a multi-billion-euro share of the group total.</t>
        </is>
      </c>
      <c r="J5" s="10" t="inlineStr">
        <is>
          <t>Not published; Nutreco owned by SHV Holdings (private, family-owned) — passes on revenue alone</t>
        </is>
      </c>
      <c r="K5" s="10" t="inlineStr">
        <is>
          <t>N/A (private, no external capital raise)</t>
        </is>
      </c>
      <c r="L5" s="10" t="inlineStr">
        <is>
          <t>meets parameters</t>
        </is>
      </c>
      <c r="M5" s="10" t="n">
        <v>4</v>
      </c>
      <c r="N5" s="10" t="inlineStr">
        <is>
          <t>Yes</t>
        </is>
      </c>
      <c r="O5" s="10" t="inlineStr">
        <is>
          <t>Hard filters pass: Nutreco group revenue ~€7.9B (2024, well above $100M bar even accounting for a lower 2025 topline from commodity/divestiture effects); family-owned ultimate parent (SHV Holdings) passes on revenue alone with no cap (not a cooperative/ESOP); headcount 11,000+ (10k+ band); no F1 team/series/driver ties found for Nutreco, Trouw Nutrition, or SHV Holdings; broad multi-country customer base, not customer-concentrated; SHV Holdings is a large group without F1 ties, so the parent-subsidiary rule keeps this in play (flagged).</t>
        </is>
      </c>
      <c r="P5" s="10" t="inlineStr">
        <is>
          <t>Animal-nutrition science/R&amp;D story (feed additives, gut-health/microbiome innovation) as a precision/technology narrative; animal-nutrition/feed category is open on the 2026 grid.</t>
        </is>
      </c>
      <c r="Q5" s="10" t="inlineStr">
        <is>
          <t>parent: SHV Holdings (private, family-owned conglomerate, no F1 ties found); same corporate family as Skretting — also a candidate elsewhere in this book (de-dup note); division-level revenue not separately broken out from Nutreco group total</t>
        </is>
      </c>
      <c r="R5" s="10" t="inlineStr">
        <is>
          <t>verified-existing</t>
        </is>
      </c>
      <c r="S5" s="10" t="inlineStr">
        <is>
          <t>2026-09-28</t>
        </is>
      </c>
    </row>
    <row r="6">
      <c r="A6" s="10" t="n">
        <v>3</v>
      </c>
      <c r="B6" s="10" t="n">
        <v>84</v>
      </c>
      <c r="C6" s="10" t="inlineStr">
        <is>
          <t>Austevoll Seafood</t>
        </is>
      </c>
      <c r="D6" s="10" t="inlineStr">
        <is>
          <t>austevoll-seafood.no</t>
        </is>
      </c>
      <c r="E6" s="10" t="inlineStr">
        <is>
          <t>Storeboe, Norway</t>
        </is>
      </c>
      <c r="F6" s="10" t="inlineStr">
        <is>
          <t>Public (Oslo Bors: AUSS), Mogster family majority control but publicly valued</t>
        </is>
      </c>
      <c r="G6" s="10" t="inlineStr">
        <is>
          <t>Pelagic fishing &amp; salmon/trout aquaculture (majority owner of Leroy Seafood Group)</t>
        </is>
      </c>
      <c r="H6" s="10" t="inlineStr">
        <is>
          <t>5k-10k</t>
        </is>
      </c>
      <c r="I6" s="10" t="inlineStr">
        <is>
          <t>$3.87B FY2025 (up 11.14% YoY) (stockanalysis.com/companiesmarketcap.com)</t>
        </is>
      </c>
      <c r="J6" s="10" t="inlineStr">
        <is>
          <t>~$1.92B market cap as of Sept 30, 2025 (stockanalysis.com)</t>
        </is>
      </c>
      <c r="K6" s="10" t="inlineStr">
        <is>
          <t>n/a - public company</t>
        </is>
      </c>
      <c r="L6" s="10" t="inlineStr">
        <is>
          <t>meets parameters</t>
        </is>
      </c>
      <c r="M6" s="10" t="n">
        <v>3</v>
      </c>
      <c r="N6" s="10" t="inlineStr">
        <is>
          <t>Yes</t>
        </is>
      </c>
      <c r="O6" s="10" t="inlineStr">
        <is>
          <t>No F1 conflict found; revenue growing and comfortably above hard bars; market cap above $1B; public with no state/compliance issues; fit_score 3.</t>
        </is>
      </c>
      <c r="P6" s="10" t="inlineStr">
        <is>
          <t>Global premium seafood/aquaculture leader with export reach across F1 markets; sustainability-and-science-driven aquaculture story, open seafood category on the 2026 grid.</t>
        </is>
      </c>
      <c r="Q6" s="10" t="inlineStr">
        <is>
          <t>Mogster family majority control of a publicly-valued company</t>
        </is>
      </c>
      <c r="R6" s="10" t="inlineStr">
        <is>
          <t>verified-existing</t>
        </is>
      </c>
      <c r="S6" s="10" t="inlineStr">
        <is>
          <t>2026-09-28</t>
        </is>
      </c>
    </row>
    <row r="7">
      <c r="A7" s="10" t="n">
        <v>4</v>
      </c>
      <c r="B7" s="10" t="n">
        <v>84</v>
      </c>
      <c r="C7" s="10" t="inlineStr">
        <is>
          <t>KWS SAAT SE</t>
        </is>
      </c>
      <c r="D7" s="10" t="inlineStr">
        <is>
          <t>kws.com</t>
        </is>
      </c>
      <c r="E7" s="10" t="inlineStr">
        <is>
          <t>Germany</t>
        </is>
      </c>
      <c r="F7" s="10" t="inlineStr">
        <is>
          <t>Public (Frankfurt: KWS, KGaA structure); founding families hold majority voting control but a real market valuation exists (confirmed Sept 2026).</t>
        </is>
      </c>
      <c r="G7" s="10" t="inlineStr">
        <is>
          <t>Seed breeding - sugar beet, corn, cereals - global plant-genetics R&amp;D</t>
        </is>
      </c>
      <c r="H7" s="10" t="inlineStr">
        <is>
          <t>1k-5k</t>
        </is>
      </c>
      <c r="I7" s="10" t="inlineStr">
        <is>
          <t>EUR 1.68B in FY2025 (ended June 30, 2025), ~$1.8B USD (stockanalysis.com, mid-2026); FY2024 was EUR 1.98B. Q3 FY2025 earnings beat expectations on higher seed prices (Yahoo Finance, 2025). Passes &gt;$100M bar comfortably.</t>
        </is>
      </c>
      <c r="J7" s="10" t="inlineStr">
        <is>
          <t>Market cap ~EUR 1.82B (~$2.1-2.75B USD depending on date) as of Sept 18, 2026 (stockanalysis.com; ad-hoc-news.de). Passes &gt;$1B bar.</t>
        </is>
      </c>
      <c r="K7" s="10" t="inlineStr">
        <is>
          <t>N/A - public company, no VC raise.</t>
        </is>
      </c>
      <c r="L7" s="10" t="inlineStr">
        <is>
          <t>meets parameters</t>
        </is>
      </c>
      <c r="M7" s="10" t="n">
        <v>3</v>
      </c>
      <c r="N7" s="10" t="inlineStr">
        <is>
          <t>Yes</t>
        </is>
      </c>
      <c r="O7" s="10" t="inlineStr">
        <is>
          <t>All hard filters pass with solid margin - revenue ~$1.8B (FY2025), market cap ~$2-2.75B, headcount 4,741, profitable and improving (Q3 FY25 earnings beat), no F1 conflict found, no compliance/state ownership issue - and fit_score=3.</t>
        </is>
      </c>
      <c r="P7" s="10" t="inlineStr">
        <is>
          <t>Global plant-genetics / precision-agriculture innovation story (breeding stations in ~70 countries) mapped to F1's technology-and-precision narrative; seed-genetics is an open category on the 2026 grid.</t>
        </is>
      </c>
      <c r="Q7" s="10" t="inlineStr">
        <is>
          <t>founding-family majority voting control (public company)</t>
        </is>
      </c>
      <c r="R7" s="10" t="inlineStr">
        <is>
          <t>verified-existing</t>
        </is>
      </c>
      <c r="S7" s="10" t="inlineStr">
        <is>
          <t>2026-09-28</t>
        </is>
      </c>
    </row>
    <row r="8">
      <c r="A8" s="10" t="n">
        <v>5</v>
      </c>
      <c r="B8" s="10" t="n">
        <v>84</v>
      </c>
      <c r="C8" s="10" t="inlineStr">
        <is>
          <t>SalMar ASA</t>
        </is>
      </c>
      <c r="D8" s="10" t="inlineStr">
        <is>
          <t>salmar.no</t>
        </is>
      </c>
      <c r="E8" s="10" t="inlineStr">
        <is>
          <t>Frøya, Norway</t>
        </is>
      </c>
      <c r="F8" s="10" t="inlineStr">
        <is>
          <t>Public (Oslo Børs: SALM); Kverva/Røkke family is a major but minority shareholder — not majority state, not sanctioned</t>
        </is>
      </c>
      <c r="G8" s="10" t="inlineStr">
        <is>
          <t>Salmon aquaculture (farmed salmon production and processing)</t>
        </is>
      </c>
      <c r="H8" s="10" t="inlineStr">
        <is>
          <t>1k-5k</t>
        </is>
      </c>
      <c r="I8" s="10" t="inlineStr">
        <is>
          <t>NOK 27.39B in FY2025 (+3.66% YoY), per stockanalysis.com company financials, data as of Sep 2026 (est conversion ~$2.5-2.6B)</t>
        </is>
      </c>
      <c r="J8" s="10" t="inlineStr">
        <is>
          <t>Market cap ~NOK 73.87B (~$6.9B) as of Apr 2026, per stockanalysis.com/companiesmarketcap.com</t>
        </is>
      </c>
      <c r="K8" s="10" t="inlineStr">
        <is>
          <t>N/A — publicly listed company, no private funding round applicable</t>
        </is>
      </c>
      <c r="L8" s="10" t="inlineStr">
        <is>
          <t>meets parameters</t>
        </is>
      </c>
      <c r="M8" s="10" t="n">
        <v>3</v>
      </c>
      <c r="N8" s="10" t="inlineStr">
        <is>
          <t>Yes</t>
        </is>
      </c>
      <c r="O8" s="10" t="inlineStr">
        <is>
          <t>All hard filters pass cleanly: revenue ~$2.5B &gt;&gt; $100M bar; market cap ~$6.9B &gt;&gt; $1B bar; headcount 1k-5k; public and profitable/growing, no distress signal found; broad distributor/retail customer base, not concentrated; no F1 team/series/driver conflict found; ownership public with family as large minority holder only. Fit score 3/4.</t>
        </is>
      </c>
      <c r="P8" s="10" t="inlineStr">
        <is>
          <t>Open seafood/aquaculture category — frame SalMar's precision offshore salmon-farming technology as 'ocean engineering' echoing F1 performance-engineering storytelling, timed to Norwegian seafood's push for global export visibility (est).</t>
        </is>
      </c>
      <c r="Q8" s="10" t="inlineStr">
        <is>
          <t>Kverva/Røkke family holds a large minority stake in an otherwise public company</t>
        </is>
      </c>
      <c r="R8" s="10" t="inlineStr">
        <is>
          <t>verified-existing</t>
        </is>
      </c>
      <c r="S8" s="10" t="inlineStr">
        <is>
          <t>2026-09-28</t>
        </is>
      </c>
    </row>
    <row r="9">
      <c r="A9" s="10" t="n">
        <v>6</v>
      </c>
      <c r="B9" s="10" t="n">
        <v>84</v>
      </c>
      <c r="C9" s="10" t="inlineStr">
        <is>
          <t>BASF Agricultural Solutions</t>
        </is>
      </c>
      <c r="D9" s="10" t="inlineStr">
        <is>
          <t>agriculture.basf.com</t>
        </is>
      </c>
      <c r="E9" s="10" t="inlineStr">
        <is>
          <t>Limburgerhof, Germany (division of BASF SE, Ludwigshafen)</t>
        </is>
      </c>
      <c r="F9" s="10" t="inlineStr">
        <is>
          <t>Division of BASF SE — public, DAX-listed German chemicals group; no state or sovereign majority stake</t>
        </is>
      </c>
      <c r="G9" s="10" t="inlineStr">
        <is>
          <t>Crop protection chemicals, biologicals, seeds &amp; traits, digital farming solutions</t>
        </is>
      </c>
      <c r="H9" s="10" t="inlineStr">
        <is>
          <t>5k-10k</t>
        </is>
      </c>
      <c r="I9" s="10" t="inlineStr">
        <is>
          <t>Agricultural Solutions segment sales €9,587M in FY2025 (down €211M YoY on unfavorable FX), per BASF Report 2025 / AgroPages coverage (est conversion ~$10.3B)</t>
        </is>
      </c>
      <c r="J9" s="10" t="inlineStr">
        <is>
          <t>BASF SE market cap ~$51.1B (Sep 2026) / ~€43.8B, per macrotrends.net and companiesmarketcap.com; BASF Group total sales €59.7B FY2025 with net income rising</t>
        </is>
      </c>
      <c r="K9" s="10" t="inlineStr">
        <is>
          <t>N/A — long-established public company, no funding round applicable</t>
        </is>
      </c>
      <c r="L9" s="10" t="inlineStr">
        <is>
          <t>exceeds - mega-brand</t>
        </is>
      </c>
      <c r="M9" s="10" t="n">
        <v>3</v>
      </c>
      <c r="N9" s="10" t="inlineStr">
        <is>
          <t>Yes</t>
        </is>
      </c>
      <c r="O9" s="10" t="inlineStr">
        <is>
          <t>All hard filters pass comfortably: segment revenue ~$10.3B &gt;&gt; $100M bar; BASF SE market cap ~$51B &gt;&gt; $1B bar; headcount 5k-10k (division); parent BASF SE is public with rising net income, not in distress; broad global distributor/farmer customer base; no F1 team/series/driver conflict found; ownership public, no state control. Fit score 3/4.</t>
        </is>
      </c>
      <c r="P9" s="10" t="inlineStr">
        <is>
          <t>Position BASF Agricultural Solutions' precision-agriculture chemistry/digital-farming platform as an open ag-innovation category, mirroring F1's materials-science and aerodynamics storytelling; BASF's balance sheet supports a multi-year global partnership across its distributor network (est).</t>
        </is>
      </c>
      <c r="Q9" s="10" t="n"/>
      <c r="R9" s="10" t="inlineStr">
        <is>
          <t>verified-existing</t>
        </is>
      </c>
      <c r="S9" s="10" t="inlineStr">
        <is>
          <t>2026-09-28</t>
        </is>
      </c>
    </row>
    <row r="10">
      <c r="A10" s="10" t="n">
        <v>7</v>
      </c>
      <c r="B10" s="10" t="n">
        <v>84</v>
      </c>
      <c r="C10" s="10" t="inlineStr">
        <is>
          <t>SQM (Sociedad Química y Minera de Chile)</t>
        </is>
      </c>
      <c r="D10" s="10" t="inlineStr">
        <is>
          <t>sqm.com</t>
        </is>
      </c>
      <c r="E10" s="10" t="inlineStr">
        <is>
          <t>Chile</t>
        </is>
      </c>
      <c r="F10" s="10" t="inlineStr">
        <is>
          <t>Public (NYSE/Santiago: SQM), majority privately owned. Chilean state agency CORFO holds contractual lithium extraction/quota rights (not equity) — not a state ownership stake.</t>
        </is>
      </c>
      <c r="G10" s="10" t="inlineStr">
        <is>
          <t>Specialty plant nutrition &amp; lithium/iodine chemicals</t>
        </is>
      </c>
      <c r="H10" s="10" t="inlineStr">
        <is>
          <t>5k-10k</t>
        </is>
      </c>
      <c r="I10" s="10" t="inlineStr">
        <is>
          <t>$4.576B FY2025 (12 months to Dec 31 2025, +1.0% YoY); H1 2026 revenue $4.23B (+103% YoY), Q2 2026 net income $660M (+646% YoY) — SEC 6-K filings, Aug 2026 (est for latest quarter)</t>
        </is>
      </c>
      <c r="J10" s="10" t="inlineStr">
        <is>
          <t>~$13.1B market cap (Aug 2025, MarketBeat/Yahoo Finance) — likely higher given record 2026 earnings (est)</t>
        </is>
      </c>
      <c r="K10" s="10" t="inlineStr">
        <is>
          <t>N/A (established public company)</t>
        </is>
      </c>
      <c r="L10" s="10" t="inlineStr">
        <is>
          <t>meets parameters</t>
        </is>
      </c>
      <c r="M10" s="10" t="n">
        <v>3</v>
      </c>
      <c r="N10" s="10" t="inlineStr">
        <is>
          <t>Yes</t>
        </is>
      </c>
      <c r="O10" s="10" t="inlineStr">
        <is>
          <t>All hard filters pass cleanly: revenue $4.576B FY2025 and surging 2026 results, market cap ~$13.1B (&gt;$1B bar), no F1 team/series/driver ties found, majority private ownership (state holds contractual rights only, not equity), headcount 6,000+ (5k-10k band), diversified global industrial customer base, clearly profitable and improving (net income +646% YoY Q2 2026).</t>
        </is>
      </c>
      <c r="P10" s="10" t="inlineStr">
        <is>
          <t>Lithium-for-EV-battery and sustainable plant-nutrition technology story tied to performance/innovation; energy-transition-materials category distinct from Aramco's oil-and-gas positioning.</t>
        </is>
      </c>
      <c r="Q10" s="10" t="inlineStr">
        <is>
          <t>Chilean state (CORFO) holds contractual lithium quota/royalty rights, not equity — note only, not a state-ownership flag; 2025 layoffs reported (~5% of Chile workforce) amid a prior lithium-price slump, since reversed by record 2026 earnings</t>
        </is>
      </c>
      <c r="R10" s="10" t="inlineStr">
        <is>
          <t>verified-existing</t>
        </is>
      </c>
      <c r="S10" s="10" t="inlineStr">
        <is>
          <t>2026-09-28</t>
        </is>
      </c>
    </row>
    <row r="11">
      <c r="A11" s="10" t="n">
        <v>8</v>
      </c>
      <c r="B11" s="10" t="n">
        <v>84</v>
      </c>
      <c r="C11" s="10" t="inlineStr">
        <is>
          <t>Cooke Aquaculture</t>
        </is>
      </c>
      <c r="D11" s="10" t="inlineStr">
        <is>
          <t>cookeaqua.com</t>
        </is>
      </c>
      <c r="E11" s="10" t="inlineStr">
        <is>
          <t>Canada</t>
        </is>
      </c>
      <c r="F11" s="10" t="inlineStr">
        <is>
          <t>Private, family-owned (Cooke family)</t>
        </is>
      </c>
      <c r="G11" s="10" t="inlineStr">
        <is>
          <t>Salmon &amp; seafood aquaculture</t>
        </is>
      </c>
      <c r="H11" s="10" t="inlineStr">
        <is>
          <t>10k+</t>
        </is>
      </c>
      <c r="I11" s="10" t="inlineStr">
        <is>
          <t>CA$4B (Wikipedia) to $5.5B (RocketReach, 2026 est) — private company, figures approximate (est)</t>
        </is>
      </c>
      <c r="J11" s="10" t="inlineStr">
        <is>
          <t>Not published (family-owned) — passes on revenue alone</t>
        </is>
      </c>
      <c r="K11" s="10" t="inlineStr">
        <is>
          <t>N/A (private family company)</t>
        </is>
      </c>
      <c r="L11" s="10" t="inlineStr">
        <is>
          <t>meets parameters</t>
        </is>
      </c>
      <c r="M11" s="10" t="n">
        <v>3</v>
      </c>
      <c r="N11" s="10" t="inlineStr">
        <is>
          <t>Yes</t>
        </is>
      </c>
      <c r="O11" s="10" t="inlineStr">
        <is>
          <t>All hard filters pass: revenue CA$4-5.5B (est) well above $100M bar; family-owned with no published valuation passes on revenue alone (not a cooperative, so no Stretch cap applies); headcount ~13,000 (10k+ band); broad global customer base, not customer-concentrated; no F1 team/series/driver ties found; private family ownership, no state/sovereign ties.</t>
        </is>
      </c>
      <c r="P11" s="10" t="inlineStr">
        <is>
          <t>Global aquaculture-at-scale story — 'engineering sustainable protein across oceans' — positions against F1's sustainability/technology narrative; seafood/aquaculture category is open on the 2026 grid.</t>
        </is>
      </c>
      <c r="Q11" s="10" t="inlineStr">
        <is>
          <t>no published valuation (family-owned) — passes on revenue alone; existing local (non-F1) sponsorship activity via Cooke Aquaculture Scotland community programs</t>
        </is>
      </c>
      <c r="R11" s="10" t="inlineStr">
        <is>
          <t>verified-existing</t>
        </is>
      </c>
      <c r="S11" s="10" t="inlineStr">
        <is>
          <t>2026-09-28</t>
        </is>
      </c>
    </row>
    <row r="12">
      <c r="A12" s="10" t="n">
        <v>9</v>
      </c>
      <c r="B12" s="10" t="n">
        <v>84</v>
      </c>
      <c r="C12" s="10" t="inlineStr">
        <is>
          <t>Mowi ASA</t>
        </is>
      </c>
      <c r="D12" s="10" t="inlineStr">
        <is>
          <t>mowi.com</t>
        </is>
      </c>
      <c r="E12" s="10" t="inlineStr">
        <is>
          <t>Norway</t>
        </is>
      </c>
      <c r="F12" s="10" t="inlineStr">
        <is>
          <t>Public (Oslo Børs: MOWI)</t>
        </is>
      </c>
      <c r="G12" s="10" t="inlineStr">
        <is>
          <t>Salmon aquaculture &amp; seafood</t>
        </is>
      </c>
      <c r="H12" s="10" t="inlineStr">
        <is>
          <t>10k+</t>
        </is>
      </c>
      <c r="I12" s="10" t="inlineStr">
        <is>
          <t>€5.72B 2025 (+2.08% YoY) — stockanalysis.com, 2025 results</t>
        </is>
      </c>
      <c r="J12" s="10" t="inlineStr">
        <is>
          <t>~$10.8B market cap (July 2026) — stockanalysis.com</t>
        </is>
      </c>
      <c r="K12" s="10" t="inlineStr">
        <is>
          <t>N/A (established public company)</t>
        </is>
      </c>
      <c r="L12" s="10" t="inlineStr">
        <is>
          <t>meets parameters</t>
        </is>
      </c>
      <c r="M12" s="10" t="n">
        <v>3</v>
      </c>
      <c r="N12" s="10" t="inlineStr">
        <is>
          <t>Yes</t>
        </is>
      </c>
      <c r="O12" s="10" t="inlineStr">
        <is>
          <t>All hard filters pass: revenue €5.72B (2025, above $100M bar) and growing; market cap ~$10.8B (&gt;$1B bar); public ownership with no state/sovereign majority control found; headcount 14,000+ (10k+ band); broad global customer base, not customer-concentrated; no F1 team/series/driver ties found.</t>
        </is>
      </c>
      <c r="P12" s="10" t="inlineStr">
        <is>
          <t>World's-largest-salmon-farmer positioning — sustainable-protein-at-scale and aquaculture-technology story; seafood/aquaculture category open on the 2026 grid (note: fellow candidate Cooke Aquaculture competes for the same category slot).</t>
        </is>
      </c>
      <c r="Q12" s="10" t="n"/>
      <c r="R12" s="10" t="inlineStr">
        <is>
          <t>verified-existing</t>
        </is>
      </c>
      <c r="S12" s="10" t="inlineStr">
        <is>
          <t>2026-09-28</t>
        </is>
      </c>
    </row>
    <row r="13">
      <c r="A13" s="10" t="n">
        <v>10</v>
      </c>
      <c r="B13" s="10" t="n">
        <v>84</v>
      </c>
      <c r="C13" s="10" t="inlineStr">
        <is>
          <t>UPL Limited</t>
        </is>
      </c>
      <c r="D13" s="10" t="inlineStr">
        <is>
          <t>upl-ltd.com</t>
        </is>
      </c>
      <c r="E13" s="10" t="inlineStr">
        <is>
          <t>India</t>
        </is>
      </c>
      <c r="F13" s="10" t="inlineStr">
        <is>
          <t>Publicly traded (NSE/BSE: UPL); promoter (Shroff family) large stake, no state/sovereign ownership</t>
        </is>
      </c>
      <c r="G13" s="10" t="inlineStr">
        <is>
          <t>Crop protection &amp; specialty chemicals (agrochemicals)</t>
        </is>
      </c>
      <c r="H13" s="10" t="inlineStr">
        <is>
          <t>10k+</t>
        </is>
      </c>
      <c r="I13" s="10" t="inlineStr">
        <is>
          <t>~₹466.4B (~$5.6B) FY25 (year ended Mar 2025), +8% YoY — company filings via stockanalysis.com, reported mid-2025</t>
        </is>
      </c>
      <c r="J13" s="10" t="inlineStr">
        <is>
          <t>Market cap ~$5.3-5.4B (₹514.6B) as of July 2026 — stockanalysis.com/companiesmarketcap.com</t>
        </is>
      </c>
      <c r="K13" s="10" t="inlineStr">
        <is>
          <t>N/A (public company); no recent capital raise — carries elevated debt per recent-year filings</t>
        </is>
      </c>
      <c r="L13" s="10" t="inlineStr">
        <is>
          <t>meets parameters</t>
        </is>
      </c>
      <c r="M13" s="10" t="n">
        <v>3</v>
      </c>
      <c r="N13" s="10" t="inlineStr">
        <is>
          <t>Yes</t>
        </is>
      </c>
      <c r="O13" s="10" t="inlineStr">
        <is>
          <t>All hard filters pass: revenue ~$5.6B FY25 (&gt;$100M bar), market cap ~$5.3B (&gt;$1B bar), headcount 12,000+ (10k+ band), public company profitable and not in distress, no F1 conflict found (direct or via parent), no state/sovereign ownership, no compliance flags. Fit score 3/4.</t>
        </is>
      </c>
      <c r="P13" s="10" t="inlineStr">
        <is>
          <t>Precision-agriculture / global food-security narrative tied to F1's technology-and-precision brand story, in the still-open agtech category (est).</t>
        </is>
      </c>
      <c r="Q13" s="10" t="inlineStr">
        <is>
          <t>elevated debt levels reported in recent years (carried from triage)</t>
        </is>
      </c>
      <c r="R13" s="10" t="inlineStr">
        <is>
          <t>verified-existing</t>
        </is>
      </c>
      <c r="S13" s="10" t="inlineStr">
        <is>
          <t>2026-09-28</t>
        </is>
      </c>
    </row>
    <row r="14">
      <c r="A14" s="11" t="n">
        <v>11</v>
      </c>
      <c r="B14" s="11" t="n">
        <v>64</v>
      </c>
      <c r="C14" s="11" t="inlineStr">
        <is>
          <t>Bakkafrost</t>
        </is>
      </c>
      <c r="D14" s="11" t="inlineStr">
        <is>
          <t>bakkafrost.com</t>
        </is>
      </c>
      <c r="E14" s="11" t="inlineStr">
        <is>
          <t>Glyvrar, Faroe Islands</t>
        </is>
      </c>
      <c r="F14" s="11" t="inlineStr">
        <is>
          <t>Public (Oslo Bors: BAKKA), Justinussen family control but publicly valued</t>
        </is>
      </c>
      <c r="G14" s="11" t="inlineStr">
        <is>
          <t>Salmon aquaculture (Faroe Islands and Scotland)</t>
        </is>
      </c>
      <c r="H14" s="11" t="inlineStr">
        <is>
          <t>1k-5k</t>
        </is>
      </c>
      <c r="I14" s="11" t="inlineStr">
        <is>
          <t>FY2025 operating revenue ~DKK7.0B (~$1.0B); operational EBIT DKK888M, down sharply YoY on weak salmon prices and Scottish operational losses (bairdmaritime.com, investing.com, Feb 2026 annual report)</t>
        </is>
      </c>
      <c r="J14" s="11" t="inlineStr">
        <is>
          <t>~$2.8-3.9B market cap (NOK29.96B / DKK26.8B, 2026, stockanalysis.com/companiesmarketcap.com)</t>
        </is>
      </c>
      <c r="K14" s="11" t="inlineStr">
        <is>
          <t>n/a - public company</t>
        </is>
      </c>
      <c r="L14" s="11" t="inlineStr">
        <is>
          <t>meets parameters</t>
        </is>
      </c>
      <c r="M14" s="11" t="n">
        <v>4</v>
      </c>
      <c r="N14" s="11" t="inlineStr">
        <is>
          <t>Stretch</t>
        </is>
      </c>
      <c r="O14" s="11" t="inlineStr">
        <is>
          <t>No F1 conflict found; revenue and market cap clear hard bars, and full-year 2025 remained EBIT-positive; but the sharp in-year profit collapse from salmon oversupply and Scottish losses is a real reservation on capacity to spend at the moment.</t>
        </is>
      </c>
      <c r="P14" s="11" t="inlineStr">
        <is>
          <t>Faroese salmon producer with record biological/harvest performance; precision-aquaculture-under-pressure narrative and open seafood category, positioned for recovery as salmon prices normalize.</t>
        </is>
      </c>
      <c r="Q14" s="11" t="inlineStr">
        <is>
          <t>Justinussen family control of a publicly-valued company; FY2025 operational EBIT fell sharply (Q2 down from DKK388M to DKK65M YoY; Q3 down from DKK173M to DKK22M YoY) on weak salmon prices and Scottish incident-related losses - est</t>
        </is>
      </c>
      <c r="R14" s="11" t="inlineStr">
        <is>
          <t>verified-existing</t>
        </is>
      </c>
      <c r="S14" s="11" t="inlineStr">
        <is>
          <t>2026-09-28</t>
        </is>
      </c>
    </row>
    <row r="15">
      <c r="A15" s="11" t="n">
        <v>12</v>
      </c>
      <c r="B15" s="11" t="n">
        <v>64</v>
      </c>
      <c r="C15" s="11" t="inlineStr">
        <is>
          <t>BioMar Group</t>
        </is>
      </c>
      <c r="D15" s="11" t="inlineStr">
        <is>
          <t>biomar.com</t>
        </is>
      </c>
      <c r="E15" s="11" t="inlineStr">
        <is>
          <t>Aarhus, Denmark</t>
        </is>
      </c>
      <c r="F15" s="11" t="inlineStr">
        <is>
          <t>Public (Nasdaq Copenhagen, IPO'd May 2026), Schouw &amp; Co. remains 74% majority stakeholder, no F1 ties</t>
        </is>
      </c>
      <c r="G15" s="11" t="inlineStr">
        <is>
          <t>Aquaculture feed (salmon, trout, shrimp, sea bass, sea bream)</t>
        </is>
      </c>
      <c r="H15" s="11" t="inlineStr">
        <is>
          <t>1k-5k</t>
        </is>
      </c>
      <c r="I15" s="11" t="inlineStr">
        <is>
          <t>DKK16.5B (~$2.57B) FY2025 (aquafeed.com)</t>
        </is>
      </c>
      <c r="J15" s="11" t="inlineStr">
        <is>
          <t>~DKK10.85B (~$1.69B) market cap at May 2026 IPO pricing (Nasdaq Copenhagen offering circular)</t>
        </is>
      </c>
      <c r="K15" s="11" t="inlineStr">
        <is>
          <t>IPO completed May 28, 2026 on Nasdaq Copenhagen (partial sell-down by Schouw &amp; Co.)</t>
        </is>
      </c>
      <c r="L15" s="11" t="inlineStr">
        <is>
          <t>meets parameters</t>
        </is>
      </c>
      <c r="M15" s="11" t="n">
        <v>4</v>
      </c>
      <c r="N15" s="11" t="inlineStr">
        <is>
          <t>Stretch</t>
        </is>
      </c>
      <c r="O15" s="11" t="inlineStr">
        <is>
          <t>No F1 conflict found; revenue and post-IPO market cap comfortably clear hard bars; but BioMar only began independent public trading in May 2026, so its standalone financial track record as a public company is thin - a real reservation.</t>
        </is>
      </c>
      <c r="P15" s="11" t="inlineStr">
        <is>
          <t>World-leading aquafeed science and nutrition innovator, freshly public with growth capital from its May 2026 IPO; precision-nutrition/sustainability narrative in the still-open aquafeed niche.</t>
        </is>
      </c>
      <c r="Q15" s="11" t="inlineStr">
        <is>
          <t>parent: Schouw &amp; Co. (74% majority stakeholder, no F1 ties); newly IPO'd May 2026 - limited standalone public trading history</t>
        </is>
      </c>
      <c r="R15" s="11" t="inlineStr">
        <is>
          <t>verified-existing</t>
        </is>
      </c>
      <c r="S15" s="11" t="inlineStr">
        <is>
          <t>2026-09-28</t>
        </is>
      </c>
    </row>
    <row r="16">
      <c r="A16" s="11" t="n">
        <v>13</v>
      </c>
      <c r="B16" s="11" t="n">
        <v>64</v>
      </c>
      <c r="C16" s="11" t="inlineStr">
        <is>
          <t>Proagrica (RELX)</t>
        </is>
      </c>
      <c r="D16" s="11" t="inlineStr">
        <is>
          <t>proagrica.com</t>
        </is>
      </c>
      <c r="E16" s="11" t="inlineStr">
        <is>
          <t>United Kingdom</t>
        </is>
      </c>
      <c r="F16" s="11" t="inlineStr">
        <is>
          <t>CORRECTED from input: no longer owned by RELX. Acquired by TELUS Agriculture &amp; Consumer Goods, a subsidiary of TELUS Corp (public, Canada: TSX 'T' / NYSE 'TU'), effective March 1, 2024 (thedailyscoop.com; telus.com/agcg). Input's 'Division of RELX plc' ownership claim is stale as of Sept 2026 verification.</t>
        </is>
      </c>
      <c r="G16" s="11" t="inlineStr">
        <is>
          <t>Agribusiness data &amp; digital trading/traceability platforms for the agri-food supply chain</t>
        </is>
      </c>
      <c r="H16" s="11" t="inlineStr">
        <is>
          <t>201-1k</t>
        </is>
      </c>
      <c r="I16" s="11" t="inlineStr">
        <is>
          <t>Division-specific revenue undisclosed (2024 acquisition terms undisclosed, thedailyscoop.com). Parent TELUS Corp reported revenue ~CA$20.51B in 2025 (prnewswire.com, Feb 2026 results release); TELUS Agriculture &amp; Consumer Goods reported 'record sales bookings and 6% revenue growth YoY' in 2026 per TELUS investor materials, though a separate 2025 note cites an agriculture/consumer-goods revenue decline tied to divestiture of other non-core assets. Passes &gt;$100M bar via parent scale, but the standalone Proagrica figure remains uncertain.</t>
        </is>
      </c>
      <c r="J16" s="11" t="inlineStr">
        <is>
          <t>No standalone valuation; parent TELUS Corp market cap ~$14.37B USD as of Sept 2026 (stockanalysis.com). Passes &gt;$1B bar via parent.</t>
        </is>
      </c>
      <c r="K16" s="11" t="inlineStr">
        <is>
          <t>N/A - acquired by TELUS (March 2024) for an undisclosed sum; no longer an independent entity.</t>
        </is>
      </c>
      <c r="L16" s="11" t="inlineStr">
        <is>
          <t>meets parameters</t>
        </is>
      </c>
      <c r="M16" s="11" t="n">
        <v>4</v>
      </c>
      <c r="N16" s="11" t="inlineStr">
        <is>
          <t>Stretch</t>
        </is>
      </c>
      <c r="O16" s="11" t="inlineStr">
        <is>
          <t>Hard filters pass via parent scale (TELUS Corp: market cap $14.4B, revenue CA$20.5B) and no F1 conflict found, and fit_score=4 is strong on paper - but Proagrica's own revenue is undisclosed/uncertain and it is a small niche division within a large telecom conglomerate, a real reservation on standalone capacity to fund a ~$3.5M/yr sponsorship.</t>
        </is>
      </c>
      <c r="P16" s="11" t="inlineStr">
        <is>
          <t>Digital agriculture / supply-chain data-traceability technology story mapped to F1's data-and-performance narrative; ag-data is an open category on the 2026 grid (est).</t>
        </is>
      </c>
      <c r="Q16" s="11" t="inlineStr">
        <is>
          <t>parent corrected: TELUS Corp, not RELX (input ownership was stale - sold March 2024); small ~300-employee niche division inside a much larger telecom conglomerate - standalone marketing budget and revenue remain uncertain; TAC segment revenue signals mixed: growth reported by TELUS investor materials in 2026 vs. a 2025 note of decline tied to divestiture of other non-core assets</t>
        </is>
      </c>
      <c r="R16" s="11" t="inlineStr">
        <is>
          <t>verified-existing</t>
        </is>
      </c>
      <c r="S16" s="11" t="inlineStr">
        <is>
          <t>2026-09-28</t>
        </is>
      </c>
    </row>
    <row r="17">
      <c r="A17" s="11" t="n">
        <v>14</v>
      </c>
      <c r="B17" s="11" t="n">
        <v>64</v>
      </c>
      <c r="C17" s="11" t="inlineStr">
        <is>
          <t>Land O'Lakes, Inc.</t>
        </is>
      </c>
      <c r="D17" s="11" t="inlineStr">
        <is>
          <t>landolakes.com</t>
        </is>
      </c>
      <c r="E17" s="11" t="inlineStr">
        <is>
          <t>United States</t>
        </is>
      </c>
      <c r="F17" s="11" t="inlineStr">
        <is>
          <t>Private, farmer-owned cooperative (no state/sovereign ties)</t>
        </is>
      </c>
      <c r="G17" s="11" t="inlineStr">
        <is>
          <t>Agricultural cooperative — dairy, crop inputs, animal feed (WinField United)</t>
        </is>
      </c>
      <c r="H17" s="11" t="inlineStr">
        <is>
          <t>5k-10k</t>
        </is>
      </c>
      <c r="I17" s="11" t="inlineStr">
        <is>
          <t>~$16B net sales (FY2024 results, reported Mar 2025 — Red River Farm Network); net profit $265M, +11.3% YoY</t>
        </is>
      </c>
      <c r="J17" s="11" t="inlineStr">
        <is>
          <t>Not published; farmer-owned cooperative, no market cap — passes on revenue alone</t>
        </is>
      </c>
      <c r="K17" s="11" t="inlineStr">
        <is>
          <t>N/A (cooperative, no external capital raises)</t>
        </is>
      </c>
      <c r="L17" s="11" t="inlineStr">
        <is>
          <t>meets parameters</t>
        </is>
      </c>
      <c r="M17" s="11" t="n">
        <v>4</v>
      </c>
      <c r="N17" s="11" t="inlineStr">
        <is>
          <t>Stretch</t>
        </is>
      </c>
      <c r="O17" s="11" t="inlineStr">
        <is>
          <t>All hard filters pass (revenue ~$16B, profitable and growing net income +11.3% YoY, headcount 9,000+ / 5k-10k band, broad farmer/consumer audience, no F1 team/series/driver ties found, private ownership with no state ties) but Track A rule caps cooperative-owned companies with no published valuation at Stretch.</t>
        </is>
      </c>
      <c r="P17" s="11" t="inlineStr">
        <is>
          <t>WinField United's precision-ag technology and data-driven agronomy platform as a 'farm to track' performance/technology story; dairy/agtech is an uncontested category on the 2026 grid.</t>
        </is>
      </c>
      <c r="Q17" s="11" t="inlineStr">
        <is>
          <t>farmer-owned cooperative — no published valuation (caps verdict at Stretch)</t>
        </is>
      </c>
      <c r="R17" s="11" t="inlineStr">
        <is>
          <t>verified-existing</t>
        </is>
      </c>
      <c r="S17" s="11" t="inlineStr">
        <is>
          <t>2026-09-28</t>
        </is>
      </c>
    </row>
    <row r="18">
      <c r="A18" s="11" t="n">
        <v>15</v>
      </c>
      <c r="B18" s="11" t="n">
        <v>64</v>
      </c>
      <c r="C18" s="11" t="inlineStr">
        <is>
          <t>Vilmorin &amp; Cie (Groupe Limagrain)</t>
        </is>
      </c>
      <c r="D18" s="11" t="inlineStr">
        <is>
          <t>vilmorin.com</t>
        </is>
      </c>
      <c r="E18" s="11" t="inlineStr">
        <is>
          <t>France</t>
        </is>
      </c>
      <c r="F18" s="11" t="inlineStr">
        <is>
          <t>Private, majority-owned by Groupe Limagrain (French farmer cooperative); delisted from Euronext ~2021</t>
        </is>
      </c>
      <c r="G18" s="11" t="inlineStr">
        <is>
          <t>Seed breeding (field crops &amp; vegetables)</t>
        </is>
      </c>
      <c r="H18" s="11" t="inlineStr">
        <is>
          <t>5k-10k</t>
        </is>
      </c>
      <c r="I18" s="11" t="inlineStr">
        <is>
          <t>€2.452B Groupe Limagrain sales FY2024-25 (plus €767M from strategic-partner collaborations) — limagrain.com, 2025</t>
        </is>
      </c>
      <c r="J18" s="11" t="inlineStr">
        <is>
          <t>Not published; cooperative-owned, delisted 2021 — passes on revenue alone</t>
        </is>
      </c>
      <c r="K18" s="11" t="inlineStr">
        <is>
          <t>N/A (cooperative, no external capital raise)</t>
        </is>
      </c>
      <c r="L18" s="11" t="inlineStr">
        <is>
          <t>meets parameters</t>
        </is>
      </c>
      <c r="M18" s="11" t="n">
        <v>4</v>
      </c>
      <c r="N18" s="11" t="inlineStr">
        <is>
          <t>Stretch</t>
        </is>
      </c>
      <c r="O18" s="11" t="inlineStr">
        <is>
          <t>Hard filters pass (revenue €2.45B, no F1 ties found, headcount 7,500+ / 5k-10k band, broad global farmer customer base, private cooperative ownership with no state ties) but Track A rule caps cooperative-owned companies with no published valuation at Stretch.</t>
        </is>
      </c>
      <c r="P18" s="11" t="inlineStr">
        <is>
          <t>Seed-genetics R&amp;D and precision-breeding innovation as a technology/performance story tied to global food security; seed-genetics category is open on the 2026 grid.</t>
        </is>
      </c>
      <c r="Q18" s="11" t="inlineStr">
        <is>
          <t>delisted from Euronext ~2021; cooperative-owned parent (Groupe Limagrain); no published valuation (cooperative-owned) — caps verdict at Stretch</t>
        </is>
      </c>
      <c r="R18" s="11" t="inlineStr">
        <is>
          <t>verified-existing</t>
        </is>
      </c>
      <c r="S18" s="11" t="inlineStr">
        <is>
          <t>2026-09-28</t>
        </is>
      </c>
    </row>
    <row r="19">
      <c r="A19" s="11" t="n">
        <v>16</v>
      </c>
      <c r="B19" s="11" t="n">
        <v>64</v>
      </c>
      <c r="C19" s="11" t="inlineStr">
        <is>
          <t>Ag Leader Technology</t>
        </is>
      </c>
      <c r="D19" s="11" t="inlineStr">
        <is>
          <t>agleader.com</t>
        </is>
      </c>
      <c r="E19" s="11" t="inlineStr">
        <is>
          <t>United States</t>
        </is>
      </c>
      <c r="F19" s="11" t="inlineStr">
        <is>
          <t>Private, employee-owned (ESOP)</t>
        </is>
      </c>
      <c r="G19" s="11" t="inlineStr">
        <is>
          <t>Precision ag guidance &amp; yield-monitoring hardware/software</t>
        </is>
      </c>
      <c r="H19" s="11" t="inlineStr">
        <is>
          <t>201-1k</t>
        </is>
      </c>
      <c r="I19" s="11" t="inlineStr">
        <is>
          <t>Estimated $100-250M (est) — wide variance across sources (ZoomInfo/Growjo/RocketReach); one source shows just $63M — genuinely uncertain, at best a narrow pass of the $100M bar</t>
        </is>
      </c>
      <c r="J19" s="11" t="inlineStr">
        <is>
          <t>Not published; ESOP employee-owned — passes on revenue alone</t>
        </is>
      </c>
      <c r="K19" s="11" t="inlineStr">
        <is>
          <t>N/A (ESOP, no external capital raise)</t>
        </is>
      </c>
      <c r="L19" s="11" t="inlineStr">
        <is>
          <t>meets parameters</t>
        </is>
      </c>
      <c r="M19" s="11" t="n">
        <v>4</v>
      </c>
      <c r="N19" s="11" t="inlineStr">
        <is>
          <t>Stretch</t>
        </is>
      </c>
      <c r="O19" s="11" t="inlineStr">
        <is>
          <t>Revenue is a genuinely uncertain figure that only narrowly/possibly clears the $100M bar (estimates range $63M-$250M across sources); no F1 ties found; headcount ~275-309 (201-1k band, above the 51 floor); ESOP employee-ownership with no published valuation caps the verdict at Stretch per Track A rule regardless.</t>
        </is>
      </c>
      <c r="P19" s="11" t="inlineStr">
        <is>
          <t>Pure-play 'precision agriculture' technology brand — direct performance/data-analytics story for a farm-tech-forward activation, though budget capacity against the ~$3.5M/yr ask is uncertain given the company's smaller estimated scale.</t>
        </is>
      </c>
      <c r="Q19" s="11" t="inlineStr">
        <is>
          <t>revenue estimate highly uncertain — sources range $63M to $250M; employee-owned (ESOP), no published valuation — caps verdict at Stretch; actual headcount ~275-309 is well below the input's 600+ estimate — revised down</t>
        </is>
      </c>
      <c r="R19" s="11" t="inlineStr">
        <is>
          <t>verified-existing</t>
        </is>
      </c>
      <c r="S19" s="11" t="inlineStr">
        <is>
          <t>2026-09-28</t>
        </is>
      </c>
    </row>
    <row r="20">
      <c r="A20" s="11" t="n">
        <v>17</v>
      </c>
      <c r="B20" s="11" t="n">
        <v>64</v>
      </c>
      <c r="C20" s="11" t="inlineStr">
        <is>
          <t>Bayer Crop Science</t>
        </is>
      </c>
      <c r="D20" s="11" t="inlineStr">
        <is>
          <t>cropscience.bayer.com</t>
        </is>
      </c>
      <c r="E20" s="11" t="inlineStr">
        <is>
          <t>Germany</t>
        </is>
      </c>
      <c r="F20" s="11" t="inlineStr">
        <is>
          <t>Division of Bayer AG (public, DAX-listed, Germany)</t>
        </is>
      </c>
      <c r="G20" s="11" t="inlineStr">
        <is>
          <t>Seeds, traits &amp; crop protection</t>
        </is>
      </c>
      <c r="H20" s="11" t="inlineStr">
        <is>
          <t>10k+</t>
        </is>
      </c>
      <c r="I20" s="11" t="inlineStr">
        <is>
          <t>Crop Science division ~€21.6-25.1B FY2025 (figures vary by reporting methodology); Corn Seed &amp; Traits segment +13.2% YoY — Bayer 2025 Annual Report / Q3 2025 statement</t>
        </is>
      </c>
      <c r="J20" s="11" t="inlineStr">
        <is>
          <t>Bayer AG market cap ~$55.9-56.5B (Aug-Sep 2026) — Capital.com/TradingEconomics/companiesmarketcap</t>
        </is>
      </c>
      <c r="K20" s="11" t="inlineStr">
        <is>
          <t>N/A (public company)</t>
        </is>
      </c>
      <c r="L20" s="11" t="inlineStr">
        <is>
          <t>exceeds - mega-brand</t>
        </is>
      </c>
      <c r="M20" s="11" t="n">
        <v>4</v>
      </c>
      <c r="N20" s="11" t="inlineStr">
        <is>
          <t>Stretch</t>
        </is>
      </c>
      <c r="O20" s="11" t="inlineStr">
        <is>
          <t>Revenue and valuation clear hard bars by a wide margin (Crop Science ~€21-25B; Bayer AG market cap ~$56B) and no F1 team/series/driver ties were found, but capacity-to-spend is a real reservation: Bayer AG is group-wide mid-restructuring/turnaround amid ongoing litigation overhang (CEO: 2025 'most difficult year'), even though the Crop Science division itself is growing.</t>
        </is>
      </c>
      <c r="P20" s="11" t="inlineStr">
        <is>
          <t>Crop-science biotech/seed-trait innovation as a precision/technology story, distinct from the litigation overhang at group level; agtech category open on the grid — though the sponsorship decision likely sits at Bayer AG corporate level, not divisional.</t>
        </is>
      </c>
      <c r="Q20" s="11" t="inlineStr">
        <is>
          <t>parent already in master book: Bayer AG may be a separate candidate elsewhere in the tracking sheet — de-dup note; Bayer AG group is mid-restructuring amid ongoing Roundup/Monsanto litigation — CEO called 2025 the 'most difficult year' of the turnaround plan, despite Crop Science division growth</t>
        </is>
      </c>
      <c r="R20" s="11" t="inlineStr">
        <is>
          <t>verified-existing</t>
        </is>
      </c>
      <c r="S20" s="11" t="inlineStr">
        <is>
          <t>2026-09-28</t>
        </is>
      </c>
    </row>
    <row r="21">
      <c r="A21" s="11" t="n">
        <v>18</v>
      </c>
      <c r="B21" s="11" t="n">
        <v>64</v>
      </c>
      <c r="C21" s="11" t="inlineStr">
        <is>
          <t>Louis Dreyfus Company</t>
        </is>
      </c>
      <c r="D21" s="11" t="inlineStr">
        <is>
          <t>ldc.com</t>
        </is>
      </c>
      <c r="E21" s="11" t="inlineStr">
        <is>
          <t>Netherlands</t>
        </is>
      </c>
      <c r="F21" s="11" t="inlineStr">
        <is>
          <t>Private, majority family-owned (Louis-Dreyfus family, ~55%); ADQ (Abu Dhabi sovereign wealth fund) holds a ~45% minority stake, deal completed 2025</t>
        </is>
      </c>
      <c r="G21" s="11" t="inlineStr">
        <is>
          <t>Agricultural commodities trading &amp; processing</t>
        </is>
      </c>
      <c r="H21" s="11" t="inlineStr">
        <is>
          <t>10k+</t>
        </is>
      </c>
      <c r="I21" s="11" t="inlineStr">
        <is>
          <t>$26.2B net sales H1 2025 (six months to June 30) — ldc.com press release, 2025; full-year 2025 not yet reported</t>
        </is>
      </c>
      <c r="J21" s="11" t="inlineStr">
        <is>
          <t>Not published (ADQ deal value undisclosed); family-controlled — passes on revenue alone</t>
        </is>
      </c>
      <c r="K21" s="11" t="inlineStr">
        <is>
          <t>N/A (ADQ equity-stake sale completed 2025 was an ownership transaction, not a growth funding raise; proceeds partly repaid a $1.051B loan to parent)</t>
        </is>
      </c>
      <c r="L21" s="11" t="inlineStr">
        <is>
          <t>exceeds - mega-brand</t>
        </is>
      </c>
      <c r="M21" s="11" t="n">
        <v>4</v>
      </c>
      <c r="N21" s="11" t="inlineStr">
        <is>
          <t>Stretch</t>
        </is>
      </c>
      <c r="O21" s="11" t="inlineStr">
        <is>
          <t>Hard filters otherwise pass cleanly (revenue &gt;$50B annualized est., clearly profitable — EBITDA $987M H1 2025, no F1 team/series/driver ties found, headcount 18,000+ / 10k+ band, highly diversified global customer base) but the ~45% minority sovereign-wealth stake (ADQ) is an explicit Stretch-level ownership reservation.</t>
        </is>
      </c>
      <c r="P21" s="11" t="inlineStr">
        <is>
          <t>Global agri-trading network scale — 'feeding the world, powering global trade' — commodities-trading category open on the grid; the ADQ relationship could double as a Gulf-market activation angle if the minority stake clears compliance.</t>
        </is>
      </c>
      <c r="Q21" s="11" t="inlineStr">
        <is>
          <t>ADQ (Abu Dhabi sovereign wealth fund) holds ~45% minority equity stake since 2022/2025 — minority state stake, flagged</t>
        </is>
      </c>
      <c r="R21" s="11" t="inlineStr">
        <is>
          <t>verified-existing</t>
        </is>
      </c>
      <c r="S21" s="11" t="inlineStr">
        <is>
          <t>2026-09-28</t>
        </is>
      </c>
    </row>
    <row r="22">
      <c r="A22" s="11" t="n">
        <v>19</v>
      </c>
      <c r="B22" s="11" t="n">
        <v>58</v>
      </c>
      <c r="C22" s="11" t="inlineStr">
        <is>
          <t>Albaugh LLC</t>
        </is>
      </c>
      <c r="D22" s="11" t="inlineStr">
        <is>
          <t>albaugh.com</t>
        </is>
      </c>
      <c r="E22" s="11" t="inlineStr">
        <is>
          <t>Ankeny, Iowa, USA</t>
        </is>
      </c>
      <c r="F22" s="11" t="inlineStr">
        <is>
          <t>Private, family-owned (Dennis Albaugh family), no state/PE control</t>
        </is>
      </c>
      <c r="G22" s="11" t="inlineStr">
        <is>
          <t>Generic/post-patent crop protection manufacturing (herbicides, fungicides, insecticides, seed treatment)</t>
        </is>
      </c>
      <c r="H22" s="11" t="inlineStr">
        <is>
          <t>1k-5k</t>
        </is>
      </c>
      <c r="I22" s="11" t="inlineStr">
        <is>
          <t>Reported figures vary by source/scope: ~$1.2B to &gt;$2B (est, post-Rotam-acquisition, sold in 80+ countries) - no single audited public figure found</t>
        </is>
      </c>
      <c r="J22" s="11" t="inlineStr">
        <is>
          <t>Not published (family-owned)</t>
        </is>
      </c>
      <c r="K22" s="11" t="inlineStr">
        <is>
          <t>n/a - private, no external raise; grew via 2022 Rotam acquisition</t>
        </is>
      </c>
      <c r="L22" s="11" t="inlineStr">
        <is>
          <t>meets parameters</t>
        </is>
      </c>
      <c r="M22" s="11" t="n">
        <v>3</v>
      </c>
      <c r="N22" s="11" t="inlineStr">
        <is>
          <t>Stretch</t>
        </is>
      </c>
      <c r="O22" s="11" t="inlineStr">
        <is>
          <t>No F1 conflict found; family-owned with no published valuation passes on revenue alone per policy, and revenue clears $100M under every reported figure; but the wide inconsistency across reported revenue figures is a genuine data-quality reservation.</t>
        </is>
      </c>
      <c r="P22" s="11" t="inlineStr">
        <is>
          <t>Global post-patent crop-protection leader across 80+ countries; precision-agriculture/feeding-the-world narrative, open agrochemicals category on the 2026 grid.</t>
        </is>
      </c>
      <c r="Q22" s="11" t="inlineStr">
        <is>
          <t>family-owned, no published valuation; revenue figures inconsistent across sources ($250M-$2B+ depending on scope/subsidiary reporting) - uncertain figure</t>
        </is>
      </c>
      <c r="R22" s="11" t="inlineStr">
        <is>
          <t>verified-existing</t>
        </is>
      </c>
      <c r="S22" s="11" t="inlineStr">
        <is>
          <t>2026-09-28</t>
        </is>
      </c>
    </row>
    <row r="23">
      <c r="A23" s="11" t="n">
        <v>20</v>
      </c>
      <c r="B23" s="11" t="n">
        <v>58</v>
      </c>
      <c r="C23" s="11" t="inlineStr">
        <is>
          <t>DLF Seeds</t>
        </is>
      </c>
      <c r="D23" s="11" t="inlineStr">
        <is>
          <t>dlf.com</t>
        </is>
      </c>
      <c r="E23" s="11" t="inlineStr">
        <is>
          <t>Denmark</t>
        </is>
      </c>
      <c r="F23" s="11" t="inlineStr">
        <is>
          <t>Private, owned by Danish seed-growing farmers via a cooperative structure; no public valuation (dlf.com news release, Oct 2025; Wikipedia).</t>
        </is>
      </c>
      <c r="G23" s="11" t="inlineStr">
        <is>
          <t>Grass, forage, clover &amp; turf seed breeding, sold to 100+ countries</t>
        </is>
      </c>
      <c r="H23" s="11" t="inlineStr">
        <is>
          <t>1k-5k</t>
        </is>
      </c>
      <c r="I23" s="11" t="inlineStr">
        <is>
          <t>DKK 7.6B in FY2024/25 (~$1.05-1.1B USD), EBIT up 10% to DKK 474M (dlf.com, 'DLF Strengthens Its Core Business...', Oct 2025). 2,145 employees in 22 countries. Passes &gt;$100M bar comfortably.</t>
        </is>
      </c>
      <c r="J23" s="11" t="inlineStr">
        <is>
          <t>Not published - farmer/cooperative-owned, no market listing (confirmed via search, Sept 2026).</t>
        </is>
      </c>
      <c r="K23" s="11" t="inlineStr">
        <is>
          <t>N/A - cooperative-owned, no external funding raise.</t>
        </is>
      </c>
      <c r="L23" s="11" t="inlineStr">
        <is>
          <t>meets parameters</t>
        </is>
      </c>
      <c r="M23" s="11" t="n">
        <v>3</v>
      </c>
      <c r="N23" s="11" t="inlineStr">
        <is>
          <t>Stretch</t>
        </is>
      </c>
      <c r="O23" s="11" t="inlineStr">
        <is>
          <t>Hard filters pass on revenue alone (cooperative-owned, no published valuation, DKK 7.6B FY24/25 revenue) - per Track A rule this ownership type is explicitly capped at Stretch even with a solid fit_score of 3.</t>
        </is>
      </c>
      <c r="P23" s="11" t="inlineStr">
        <is>
          <t>Global food-security / plant-genetics innovation story tied to sustainable farming; seed-breeding is an open category on the 2026 grid (est).</t>
        </is>
      </c>
      <c r="Q23" s="11" t="inlineStr">
        <is>
          <t>no published valuation (cooperative-owned); cooperative-owned - per Track A rule, capped at Stretch regardless of fit score</t>
        </is>
      </c>
      <c r="R23" s="11" t="inlineStr">
        <is>
          <t>verified-existing</t>
        </is>
      </c>
      <c r="S23" s="11" t="inlineStr">
        <is>
          <t>2026-09-28</t>
        </is>
      </c>
    </row>
    <row r="24">
      <c r="A24" s="11" t="n">
        <v>21</v>
      </c>
      <c r="B24" s="11" t="n">
        <v>58</v>
      </c>
      <c r="C24" s="11" t="inlineStr">
        <is>
          <t>Rijk Zwaan</t>
        </is>
      </c>
      <c r="D24" s="11" t="inlineStr">
        <is>
          <t>rijkzwaan.com</t>
        </is>
      </c>
      <c r="E24" s="11" t="inlineStr">
        <is>
          <t>De Lier, Netherlands</t>
        </is>
      </c>
      <c r="F24" s="11" t="inlineStr">
        <is>
          <t>Private, family- and employee-owned (cooperative-style structure); not state-owned, not PE-owned</t>
        </is>
      </c>
      <c r="G24" s="11" t="inlineStr">
        <is>
          <t>Vegetable seed breeding (global R&amp;D-driven seed genetics for professional growers)</t>
        </is>
      </c>
      <c r="H24" s="11" t="inlineStr">
        <is>
          <t>1k-5k</t>
        </is>
      </c>
      <c r="I24" s="11" t="inlineStr">
        <is>
          <t>€684M in FY2024/25 (+9% YoY, net profit €68M, down 15% YoY), reported Apr 2026 (Tridge/Fruitnet coverage of Rijk Zwaan's own results) (est conversion ~$740M)</t>
        </is>
      </c>
      <c r="J24" s="11" t="inlineStr">
        <is>
          <t>Not published — privately held, family and employee co-ownership structure; no market cap or funding valuation exists (checked Sep 2026)</t>
        </is>
      </c>
      <c r="K24" s="11" t="inlineStr">
        <is>
          <t>N/A — privately held, no reported external funding round</t>
        </is>
      </c>
      <c r="L24" s="11" t="inlineStr">
        <is>
          <t>meets parameters</t>
        </is>
      </c>
      <c r="M24" s="11" t="n">
        <v>3</v>
      </c>
      <c r="N24" s="11" t="inlineStr">
        <is>
          <t>Stretch</t>
        </is>
      </c>
      <c r="O24" s="11" t="inlineStr">
        <is>
          <t>All hard filters pass (revenue €684M &gt;&gt; $100M bar; headcount 1k-5k; profitable and growing, no distress; global grower customer base, not concentrated; no F1/team/series conflict found; ownership is private family/employee co-ownership, not state or sanctioned). Capped at Stretch per Track A rule for employee-owned/cooperative firms with no published valuation.</t>
        </is>
      </c>
      <c r="P24" s="11" t="inlineStr">
        <is>
          <t>Open 'agtech/seed-genetics' category — position Rijk Zwaan's R&amp;D-heavy breeding science ('engineering the future of food') alongside F1's performance-engineering narrative; first-of-category deal since no current grid sponsor holds this space (est).</t>
        </is>
      </c>
      <c r="Q24" s="11" t="inlineStr">
        <is>
          <t>no published valuation (employee-owned); net profit down 15% YoY in FY2024/25 despite revenue growth (est)</t>
        </is>
      </c>
      <c r="R24" s="11" t="inlineStr">
        <is>
          <t>verified-existing</t>
        </is>
      </c>
      <c r="S24" s="11" t="inlineStr">
        <is>
          <t>2026-09-28</t>
        </is>
      </c>
    </row>
    <row r="25">
      <c r="A25" s="11" t="n">
        <v>22</v>
      </c>
      <c r="B25" s="11" t="n">
        <v>58</v>
      </c>
      <c r="C25" s="11" t="inlineStr">
        <is>
          <t>Skretting (Nutreco)</t>
        </is>
      </c>
      <c r="D25" s="11" t="inlineStr">
        <is>
          <t>skretting.com</t>
        </is>
      </c>
      <c r="E25" s="11" t="inlineStr">
        <is>
          <t>Stavanger, Norway / Amersfoort, Netherlands (Nutreco HQ)</t>
        </is>
      </c>
      <c r="F25" s="11" t="inlineStr">
        <is>
          <t>Wholly-owned subsidiary of Nutreco, itself wholly owned by SHV Holdings (private, family-owned Dutch conglomerate — Fentener van Vlissingen family); not state-owned</t>
        </is>
      </c>
      <c r="G25" s="11" t="inlineStr">
        <is>
          <t>Aquaculture (fish/shrimp) feed formulation and nutrition science</t>
        </is>
      </c>
      <c r="H25" s="11" t="inlineStr">
        <is>
          <t>1k-5k</t>
        </is>
      </c>
      <c r="I25" s="11" t="inlineStr">
        <is>
          <t>Skretting/Nutreco-specific revenue not broken out publicly; parent SHV Holdings reported group revenue of ~€21B (Operational Groups revenue €18.2B) in FY2025, per SHV Annual Report 2025 (published ~Apr 2026); Nutreco itself had 'lower reported revenues' YoY due to commodity price swings and a divestiture, though volumes grew, notably in salmon feed</t>
        </is>
      </c>
      <c r="J25" s="11" t="inlineStr">
        <is>
          <t>Not published — SHV Holdings and Nutreco are both privately held with no market cap or disclosed valuation (checked Sep 2026)</t>
        </is>
      </c>
      <c r="K25" s="11" t="inlineStr">
        <is>
          <t>N/A — wholly-owned subsidiary of a private family holding company, no reported funding round</t>
        </is>
      </c>
      <c r="L25" s="11" t="inlineStr">
        <is>
          <t>meets parameters</t>
        </is>
      </c>
      <c r="M25" s="11" t="n">
        <v>3</v>
      </c>
      <c r="N25" s="11" t="inlineStr">
        <is>
          <t>Stretch</t>
        </is>
      </c>
      <c r="O25" s="11" t="inlineStr">
        <is>
          <t>Hard filters pass on a proxy basis: parent-group revenue (~€18-21B) is far above the $100M bar and family ownership waives the valuation bar, but Skretting's own standalone revenue is not published, which is a genuine figure-confidence reservation. Headcount 1k-5k (division); parent reports improving operational performance, not distress; large multi-farm customer base; no F1 conflict found; parent (SHV/Nutreco) has no F1 ties per Track A subsidiary rule, so kept rather than excluded.</t>
        </is>
      </c>
      <c r="P25" s="11" t="inlineStr">
        <is>
          <t>Open 'performance nutrition' category — draw a parallel between Skretting's gram-level feed-formulation precision and F1's margin-of-a-gram engineering culture, backed by SHV's broader Dutch industrial-engineering heritage as a group story (est).</t>
        </is>
      </c>
      <c r="Q25" s="11" t="inlineStr">
        <is>
          <t>parent: SHV Holdings (family-owned, no published valuation); division-level revenue not broken out — relied on parent group figures as proxy (est); same corporate family as Trouw Nutrition (per input triage note)</t>
        </is>
      </c>
      <c r="R25" s="11" t="inlineStr">
        <is>
          <t>verified-existing</t>
        </is>
      </c>
      <c r="S25" s="11" t="inlineStr">
        <is>
          <t>2026-09-28</t>
        </is>
      </c>
    </row>
    <row r="26">
      <c r="A26" s="11" t="n">
        <v>23</v>
      </c>
      <c r="B26" s="11" t="n">
        <v>58</v>
      </c>
      <c r="C26" s="11" t="inlineStr">
        <is>
          <t>Dairy Farmers of America</t>
        </is>
      </c>
      <c r="D26" s="11" t="inlineStr">
        <is>
          <t>dfamilk.com</t>
        </is>
      </c>
      <c r="E26" s="11" t="inlineStr">
        <is>
          <t>United States</t>
        </is>
      </c>
      <c r="F26" s="11" t="inlineStr">
        <is>
          <t>Private, farmer-owned cooperative</t>
        </is>
      </c>
      <c r="G26" s="11" t="inlineStr">
        <is>
          <t>Dairy cooperative &amp; processing</t>
        </is>
      </c>
      <c r="H26" s="11" t="inlineStr">
        <is>
          <t>10k+</t>
        </is>
      </c>
      <c r="I26" s="11" t="inlineStr">
        <is>
          <t>$23.1B (2024, #1 on NCB Co-op 100 report, +$100M YoY) — Dairy Foods, 2025</t>
        </is>
      </c>
      <c r="J26" s="11" t="inlineStr">
        <is>
          <t>Not published; farmer-owned cooperative — passes on revenue alone</t>
        </is>
      </c>
      <c r="K26" s="11" t="inlineStr">
        <is>
          <t>N/A (cooperative, no external capital raise)</t>
        </is>
      </c>
      <c r="L26" s="11" t="inlineStr">
        <is>
          <t>meets parameters</t>
        </is>
      </c>
      <c r="M26" s="11" t="n">
        <v>3</v>
      </c>
      <c r="N26" s="11" t="inlineStr">
        <is>
          <t>Stretch</t>
        </is>
      </c>
      <c r="O26" s="11" t="inlineStr">
        <is>
          <t>Hard filters pass (revenue $23.1B, #1 US dairy co-op, no F1 ties found, headcount 17,000+ / 10k+ band, broad customer base) but Track A rule caps cooperative-owned companies with no published valuation at Stretch.</t>
        </is>
      </c>
      <c r="P26" s="11" t="inlineStr">
        <is>
          <t>Largest US dairy cooperative — heartland/farm-to-table authenticity story; dairy category open on the grid, though the brand narrative skews more consumer-staple than performance/technology.</t>
        </is>
      </c>
      <c r="Q26" s="11" t="inlineStr">
        <is>
          <t>farmer-owned cooperative — no published valuation (caps verdict at Stretch)</t>
        </is>
      </c>
      <c r="R26" s="11" t="inlineStr">
        <is>
          <t>verified-existing</t>
        </is>
      </c>
      <c r="S26" s="11" t="inlineStr">
        <is>
          <t>2026-09-28</t>
        </is>
      </c>
    </row>
    <row r="27">
      <c r="A27" s="11" t="n">
        <v>24</v>
      </c>
      <c r="B27" s="11" t="n">
        <v>58</v>
      </c>
      <c r="C27" s="11" t="inlineStr">
        <is>
          <t>Sakata Seed Corporation</t>
        </is>
      </c>
      <c r="D27" s="11" t="inlineStr">
        <is>
          <t>sakataseed.com</t>
        </is>
      </c>
      <c r="E27" s="11" t="inlineStr">
        <is>
          <t>Japan (Yokohama)</t>
        </is>
      </c>
      <c r="F27" s="11" t="inlineStr">
        <is>
          <t>Public (TSE: 1377), Sakata family association but publicly traded with a published market cap</t>
        </is>
      </c>
      <c r="G27" s="11" t="inlineStr">
        <is>
          <t>Flower &amp; vegetable seed breeding, global wholesale/retail</t>
        </is>
      </c>
      <c r="H27" s="11" t="inlineStr">
        <is>
          <t>1k-5k</t>
        </is>
      </c>
      <c r="I27" s="11" t="inlineStr">
        <is>
          <t>FY2026 (ended May 2026) revenue JPY104.3B (~US$660M at ~157.7 JPY/USD, Sept 28 2026 rate), up 12% YoY; net income JPY12.2B, up 25% YoY (TradingView/Quartr/TipRanks FY2026 results)</t>
        </is>
      </c>
      <c r="J27" s="11" t="inlineStr">
        <is>
          <t>JPY185.10B market cap (~US$1.17B at ~157.7 JPY/USD, Sept 2026) (TradingView TSE:1377 data)</t>
        </is>
      </c>
      <c r="K27" s="11" t="inlineStr">
        <is>
          <t>n/a (public company)</t>
        </is>
      </c>
      <c r="L27" s="11" t="inlineStr">
        <is>
          <t>meets parameters</t>
        </is>
      </c>
      <c r="M27" s="11" t="n">
        <v>3</v>
      </c>
      <c r="N27" s="11" t="inlineStr">
        <is>
          <t>Stretch</t>
        </is>
      </c>
      <c r="O27" s="11" t="inlineStr">
        <is>
          <t>Passes hard filters (revenue ~$660M; market cap ~US$1.17-1.2B) but with a real reservation: the valuation clears the $1B bar only marginally and would dip under it with modest yen weakness, and next-FY profit guidance is declining despite top-line growth.</t>
        </is>
      </c>
      <c r="P27" s="11" t="inlineStr">
        <is>
          <t>155-year-old global seed-breeding innovator with a public 10-year growth plan (PASSION2035) targeting global expansion - genetics/precision-engineering story fits an open agri-tech category on the grid.</t>
        </is>
      </c>
      <c r="Q27" s="11" t="inlineStr">
        <is>
          <t>valuation is only marginally above the $1B bar (~US$1.17-1.2B) and is sensitive to JPY/USD moves - thin margin; FY2027 (ending May 2027) guidance shows profit attributable to owners down 17.8% YoY even as sales/operating profit keep growing</t>
        </is>
      </c>
      <c r="R27" s="11" t="inlineStr">
        <is>
          <t>verified-existing</t>
        </is>
      </c>
      <c r="S27" s="11" t="inlineStr">
        <is>
          <t>2026-09-28</t>
        </is>
      </c>
    </row>
    <row r="28">
      <c r="A28" s="11" t="n">
        <v>25</v>
      </c>
      <c r="B28" s="11" t="n">
        <v>58</v>
      </c>
      <c r="C28" s="11" t="inlineStr">
        <is>
          <t>Inari Agriculture</t>
        </is>
      </c>
      <c r="D28" s="11" t="inlineStr">
        <is>
          <t>inari.com</t>
        </is>
      </c>
      <c r="E28" s="11" t="inlineStr">
        <is>
          <t>United States (Cambridge, MA)</t>
        </is>
      </c>
      <c r="F28" s="11" t="inlineStr">
        <is>
          <t>Private, VC-backed; Series G investors include a minority stake from a wholly-owned unit of the Abu Dhabi Investment Authority (ADIA - sovereign wealth fund), alongside Hanwha Impact, NGS Super, State of Michigan Retirement System, Flagship Pioneering</t>
        </is>
      </c>
      <c r="G28" s="11" t="inlineStr">
        <is>
          <t>Gene-edited seed design platform (SEEDesign), licensed to independent seed companies for corn/soy/wheat</t>
        </is>
      </c>
      <c r="H28" s="11" t="inlineStr">
        <is>
          <t>201-1k</t>
        </is>
      </c>
      <c r="I28" s="11" t="inlineStr">
        <is>
          <t>~$144.5M (2024, Latka database estimate) (est, unverified - company does not publicly disclose revenue and this figure is not corroborated by a primary source; some risk it is conflated with the similarly-sized $144M funding round)</t>
        </is>
      </c>
      <c r="J28" s="11" t="inlineStr">
        <is>
          <t>$2.17B post-money, Series G, Jan 7 2025 (Bloomberg, Jan 2025) - up from $1.65B in Jan 2024 Series F</t>
        </is>
      </c>
      <c r="K28" s="11" t="inlineStr">
        <is>
          <t>$144M Series G, closed Jan 7 2025 (Bloomberg; Inari press release) - ~20 months before this review (Sept 2026), just outside the 18-month freshness window</t>
        </is>
      </c>
      <c r="L28" s="11" t="inlineStr">
        <is>
          <t>meets parameters</t>
        </is>
      </c>
      <c r="M28" s="11" t="n">
        <v>3</v>
      </c>
      <c r="N28" s="11" t="inlineStr">
        <is>
          <t>Stretch</t>
        </is>
      </c>
      <c r="O28" s="11" t="inlineStr">
        <is>
          <t>Valuation clears the hard bar cleanly ($2.17B). Real reservations keep this off a clean Yes: revenue (~$144.5M) is an unverified third-party estimate with no primary-source confirmation, the most recent raise (Jan 2025) is just past the 18-month capacity-to-spend window, and there is a minority sovereign stake (ADIA) to flag.</t>
        </is>
      </c>
      <c r="P28" s="11" t="inlineStr">
        <is>
          <t>Gene-editing/AI-designed seed platform (unicorn, $2.17B) - 'engineering precision' story pairs naturally with F1's performance-engineering narrative, in a still-open agtech/biotech category on the grid.</t>
        </is>
      </c>
      <c r="Q28" s="11" t="inlineStr">
        <is>
          <t>minority state/sovereign stake via ADIA (Abu Dhabi Investment Authority) in the Jan 2025 round - not majority/controlling, flagged per protocol; revenue figure is a third-party estimate, not company-disclosed - genuine uncertainty; business model licenses to a relatively small number of independent seed-company partners rather than thousands of direct customers - possible customer-concentration risk worth diligencing further; last equity raise (Jan 2025) is ~20 months old, just past the 18-month freshness guideline</t>
        </is>
      </c>
      <c r="R28" s="11" t="inlineStr">
        <is>
          <t>verified-existing</t>
        </is>
      </c>
      <c r="S28" s="11" t="inlineStr">
        <is>
          <t>2026-09-28</t>
        </is>
      </c>
    </row>
    <row r="29">
      <c r="A29" s="11" t="n">
        <v>26</v>
      </c>
      <c r="B29" s="11" t="n">
        <v>58</v>
      </c>
      <c r="C29" s="11" t="inlineStr">
        <is>
          <t>Salford Group</t>
        </is>
      </c>
      <c r="D29" s="11" t="inlineStr">
        <is>
          <t>salfordgroup.com</t>
        </is>
      </c>
      <c r="E29" s="11" t="inlineStr">
        <is>
          <t>Canada (Salford, Ontario)</t>
        </is>
      </c>
      <c r="F29" s="11" t="inlineStr">
        <is>
          <t>Wholly-owned subsidiary of Linamar Corporation (public, TSX: LNR) since Jun 3 2022 (acquired for C$260M from PE owner GenNx360 Capital Partners); Linamar also owns MacDon Industries</t>
        </is>
      </c>
      <c r="G29" s="11" t="inlineStr">
        <is>
          <t>Tillage &amp; fertilizer application equipment</t>
        </is>
      </c>
      <c r="H29" s="11" t="inlineStr">
        <is>
          <t>201-1k (Salford standalone, ~500 employees); parent Linamar is 10k+ (~36,000 employees)</t>
        </is>
      </c>
      <c r="I29" s="11" t="inlineStr">
        <is>
          <t>Salford standalone revenue not separately disclosed post-acquisition. Parent Linamar: CAD $10.64B TTM revenue (stockanalysis.com, reporting through Q2 2026) — clears the bar via parent</t>
        </is>
      </c>
      <c r="J29" s="11" t="inlineStr">
        <is>
          <t>Salford acquired for C$260M (2022, McCarthy Tétrault/RealAgriculture). Parent Linamar market cap ~CAD $6.17B (~US$4.5B), Sep 2026 (stockanalysis.com) — clears the &gt;$1B bar via parent</t>
        </is>
      </c>
      <c r="K29" s="11" t="inlineStr">
        <is>
          <t>N/A — wholly-owned subsidiary of publicly traded Linamar; no separate funding rounds</t>
        </is>
      </c>
      <c r="L29" s="11" t="inlineStr">
        <is>
          <t>exceeds - mega-brand</t>
        </is>
      </c>
      <c r="M29" s="11" t="n">
        <v>3</v>
      </c>
      <c r="N29" s="11" t="inlineStr">
        <is>
          <t>Stretch</t>
        </is>
      </c>
      <c r="O29" s="11" t="inlineStr">
        <is>
          <t>Hard bars pass only via parent Linamar (CAD $10.64B revenue, ~CAD $6.17B market cap) since Salford's standalone financials are undisclosed post-acquisition — real reservation on whether a niche subsidiary brand would carry its own F1 sponsorship budget vs. a parent-level decision. No F1 conflicts found for Salford or Linamar; ownership and headcount are clean.</t>
        </is>
      </c>
      <c r="P29" s="11" t="inlineStr">
        <is>
          <t>Pitch Salford/Linamar's own 'precision manufacturing, power and performance' language — a global ag-equipment leader in a category the grid doesn't yet have, backed by a multi-billion-dollar public parent.</t>
        </is>
      </c>
      <c r="Q29" s="11" t="inlineStr">
        <is>
          <t>parent: Linamar Corporation (public, no F1 ties found) — financials verified at parent level since Salford's segment revenue isn't separately disclosed; Was PE-owned (GenNx360 Capital Partners) before the 2022 Linamar acquisition</t>
        </is>
      </c>
      <c r="R29" s="11" t="inlineStr">
        <is>
          <t>verified-existing</t>
        </is>
      </c>
      <c r="S29" s="11" t="inlineStr">
        <is>
          <t>2026-09-28</t>
        </is>
      </c>
    </row>
    <row r="30">
      <c r="A30" s="11" t="n">
        <v>27</v>
      </c>
      <c r="B30" s="11" t="n">
        <v>52</v>
      </c>
      <c r="C30" s="11" t="inlineStr">
        <is>
          <t>Cermaq Group</t>
        </is>
      </c>
      <c r="D30" s="11" t="inlineStr">
        <is>
          <t>cermaq.com</t>
        </is>
      </c>
      <c r="E30" s="11" t="inlineStr">
        <is>
          <t>Norway</t>
        </is>
      </c>
      <c r="F30" s="11" t="inlineStr">
        <is>
          <t>Wholly-owned subsidiary of Mitsubishi Corporation (public, Tokyo Stock Exchange: 8058), Japan. Does not publish standalone financials; reports through parent (SeafoodSource, 2026; Wikipedia).</t>
        </is>
      </c>
      <c r="G30" s="11" t="inlineStr">
        <is>
          <t>Salmon aquaculture (farming, harvesting, processing) in Norway, Chile, Canada</t>
        </is>
      </c>
      <c r="H30" s="11" t="inlineStr">
        <is>
          <t>1k-5k</t>
        </is>
      </c>
      <c r="I30" s="11" t="inlineStr">
        <is>
          <t>~$1.3B/yr (Owler company-profile estimate, checked Sept 2026); Cermaq reports through parent Mitsubishi Corp rather than standalone filings (SeafoodSource, 2026). Passes &gt;$100M bar.</t>
        </is>
      </c>
      <c r="J30" s="11" t="inlineStr">
        <is>
          <t>No standalone valuation; parent Mitsubishi Corporation market cap ~$115.05B USD as of Sept 4, 2026 (companiesmarketcap.com / stockanalysis.com). Passes &gt;$1B bar via parent.</t>
        </is>
      </c>
      <c r="K30" s="11" t="inlineStr">
        <is>
          <t>N/A - wholly-owned subsidiary, no independent funding history.</t>
        </is>
      </c>
      <c r="L30" s="11" t="inlineStr">
        <is>
          <t>meets parameters</t>
        </is>
      </c>
      <c r="M30" s="11" t="n">
        <v>2</v>
      </c>
      <c r="N30" s="11" t="inlineStr">
        <is>
          <t>Stretch</t>
        </is>
      </c>
      <c r="O30" s="11" t="inlineStr">
        <is>
          <t>All hard filters pass (revenue and valuation via parent, headcount 1,900+, capacity via profitable parent, broad distributor audience, no F1 conflict found, ownership clean) but fit_score=2 with a weak, commodity B2B brand story.</t>
        </is>
      </c>
      <c r="P30" s="11" t="inlineStr">
        <is>
          <t>Precision-aquaculture / biomass-monitoring technology narrative paired with a global food-security ambition story; seafood/aquaculture is an open category on the 2026 grid (est).</t>
        </is>
      </c>
      <c r="Q30" s="11" t="inlineStr">
        <is>
          <t>parent: Mitsubishi Corporation (large group, no F1 ties found in search, Sept 2026)</t>
        </is>
      </c>
      <c r="R30" s="11" t="inlineStr">
        <is>
          <t>verified-existing</t>
        </is>
      </c>
      <c r="S30" s="11" t="inlineStr">
        <is>
          <t>2026-09-28</t>
        </is>
      </c>
    </row>
    <row r="31">
      <c r="A31" s="11" t="n">
        <v>28</v>
      </c>
      <c r="B31" s="11" t="n">
        <v>52</v>
      </c>
      <c r="C31" s="11" t="inlineStr">
        <is>
          <t>Koch Fertilizer (Koch Ag &amp; Energy Solutions)</t>
        </is>
      </c>
      <c r="D31" s="11" t="inlineStr">
        <is>
          <t>kochfertilizer.com</t>
        </is>
      </c>
      <c r="E31" s="11" t="inlineStr">
        <is>
          <t>United States</t>
        </is>
      </c>
      <c r="F31" s="11" t="inlineStr">
        <is>
          <t>Division of Koch Industries, Inc. (private, family-owned by the Koch family); no published valuation (Wikipedia; kochagenergy.com, checked Sept 2026).</t>
        </is>
      </c>
      <c r="G31" s="11" t="inlineStr">
        <is>
          <t>Nitrogen fertilizer production &amp; distribution; also energy and methanol solutions</t>
        </is>
      </c>
      <c r="H31" s="11" t="inlineStr">
        <is>
          <t>1k-5k</t>
        </is>
      </c>
      <c r="I31" s="11" t="inlineStr">
        <is>
          <t>Koch Ag &amp; Energy Solutions (KAES) estimated annual revenue $1B-$10B (ZoomInfo, as of July 2026). Division not separately broken out but comfortably passes &gt;$100M bar; KAES completed a $3.6B fertilizer-plant acquisition from OCI Global in Wever, Iowa (Dec 2023).</t>
        </is>
      </c>
      <c r="J31" s="11" t="inlineStr">
        <is>
          <t>Not published - Koch Industries is privately, family-owned; passes on revenue alone per protocol rule for family-owned firms.</t>
        </is>
      </c>
      <c r="K31" s="11" t="inlineStr">
        <is>
          <t>N/A - privately held; funds major acquisitions from internal capital (e.g. $3.6B OCI Wever plant purchase, Dec 2023).</t>
        </is>
      </c>
      <c r="L31" s="11" t="inlineStr">
        <is>
          <t>meets parameters</t>
        </is>
      </c>
      <c r="M31" s="11" t="n">
        <v>2</v>
      </c>
      <c r="N31" s="11" t="inlineStr">
        <is>
          <t>Stretch</t>
        </is>
      </c>
      <c r="O31" s="11" t="inlineStr">
        <is>
          <t>Hard filters pass (division revenue estimate $1B-$10B, family-owned valuation pass, headcount 3,000+, clear capacity via ongoing multi-billion-dollar acquisitions, no F1 conflict) but fit_score=2 with a weak, commodity B2B brand story.</t>
        </is>
      </c>
      <c r="P31" s="11" t="inlineStr">
        <is>
          <t>Nutrient-efficiency / precision-agronomy technology narrative (Koch Agronomic Services) tied to the global engineering scale of Koch Industries; agri-input category open on the grid (est).</t>
        </is>
      </c>
      <c r="Q31" s="11" t="inlineStr">
        <is>
          <t>family-owned (Koch Industries), no published valuation; Koch Industries confirmed NASCAR sponsor (RFK Racing/Ryan Newman) - not F1, no conflict</t>
        </is>
      </c>
      <c r="R31" s="11" t="inlineStr">
        <is>
          <t>verified-existing</t>
        </is>
      </c>
      <c r="S31" s="11" t="inlineStr">
        <is>
          <t>2026-09-28</t>
        </is>
      </c>
    </row>
    <row r="32">
      <c r="A32" s="11" t="n">
        <v>29</v>
      </c>
      <c r="B32" s="11" t="n">
        <v>52</v>
      </c>
      <c r="C32" s="11" t="inlineStr">
        <is>
          <t>Leroy Seafood Group</t>
        </is>
      </c>
      <c r="D32" s="11" t="inlineStr">
        <is>
          <t>leroyseafood.com</t>
        </is>
      </c>
      <c r="E32" s="11" t="inlineStr">
        <is>
          <t>Norway</t>
        </is>
      </c>
      <c r="F32" s="11" t="inlineStr">
        <is>
          <t>Public (Oslo Bors: LSG); majority owned by Austevoll Seafood (~43%) and the Leroy family, but a real market valuation exists (confirmed Sept 2026).</t>
        </is>
      </c>
      <c r="G32" s="11" t="inlineStr">
        <is>
          <t>Seafood &amp; salmon aquaculture - wildcatch, farming, value-added processing/distribution</t>
        </is>
      </c>
      <c r="H32" s="11" t="inlineStr">
        <is>
          <t>5k-10k</t>
        </is>
      </c>
      <c r="I32" s="11" t="inlineStr">
        <is>
          <t>TTM revenue ~$2.97B USD as of June 2025 (companiesmarketcap.com / tipranks.com). Passes &gt;$100M bar comfortably.</t>
        </is>
      </c>
      <c r="J32" s="11" t="inlineStr">
        <is>
          <t>Market cap ~$2.79B USD as of May 2026 (companiesmarketcap.com). Passes &gt;$1B bar.</t>
        </is>
      </c>
      <c r="K32" s="11" t="inlineStr">
        <is>
          <t>N/A - public company, no VC raise.</t>
        </is>
      </c>
      <c r="L32" s="11" t="inlineStr">
        <is>
          <t>meets parameters</t>
        </is>
      </c>
      <c r="M32" s="11" t="n">
        <v>2</v>
      </c>
      <c r="N32" s="11" t="inlineStr">
        <is>
          <t>Stretch</t>
        </is>
      </c>
      <c r="O32" s="11" t="inlineStr">
        <is>
          <t>Hard filters pass with strong margin (revenue ~$3B, market cap ~$2.8B, headcount 6,190, no F1 conflict found) but fit_score=2 with a weak, commodity B2B brand story, similar in kind to Cermaq.</t>
        </is>
      </c>
      <c r="P32" s="11" t="inlineStr">
        <is>
          <t>Norwegian provenance / sustainable 'blue economy' seafood story with a technology-driven aquaculture angle; open seafood category on the 2026 grid, though it shares sector overlap with Cermaq/Austevoll elsewhere in this candidate list.</t>
        </is>
      </c>
      <c r="Q32" s="11" t="inlineStr">
        <is>
          <t>majority owner Austevoll Seafood is also a candidate in this same book - portfolio-overlap note (carried from input flags)</t>
        </is>
      </c>
      <c r="R32" s="11" t="inlineStr">
        <is>
          <t>verified-existing</t>
        </is>
      </c>
      <c r="S32" s="11" t="inlineStr">
        <is>
          <t>2026-09-28</t>
        </is>
      </c>
    </row>
  </sheetData>
  <autoFilter ref="A3:S3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S61"/>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Retail &amp; E-commerce — existing New-Sectors book, now verified — 58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"06 Retail &amp; E-commerce".</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0" t="n">
        <v>1</v>
      </c>
      <c r="B4" s="10" t="n">
        <v>92</v>
      </c>
      <c r="C4" s="10" t="inlineStr">
        <is>
          <t>Global-e Online</t>
        </is>
      </c>
      <c r="D4" s="10" t="inlineStr">
        <is>
          <t>global-e.com</t>
        </is>
      </c>
      <c r="E4" s="10" t="inlineStr">
        <is>
          <t>Israel</t>
        </is>
      </c>
      <c r="F4" s="10" t="inlineStr">
        <is>
          <t>Publicly traded (Nasdaq: GLBE); no state ownership</t>
        </is>
      </c>
      <c r="G4" s="10" t="inlineStr">
        <is>
          <t>Cross-border e-commerce SaaS enablement platform</t>
        </is>
      </c>
      <c r="H4" s="10" t="inlineStr">
        <is>
          <t>1k-5k</t>
        </is>
      </c>
      <c r="I4" s="10" t="inlineStr">
        <is>
          <t>$962.2M FY2025 (+27.8% YoY) — stockanalysis.com/company filings, reported 2026</t>
        </is>
      </c>
      <c r="J4" s="10" t="inlineStr">
        <is>
          <t>Market cap ~$5.2-5.4B as of April 2026 — stockanalysis.com/macrotrends</t>
        </is>
      </c>
      <c r="K4" s="10" t="inlineStr">
        <is>
          <t>N/A (public company); cash-generative — record FCF $281M FY2025 (29% margin), no recent capital raise needed</t>
        </is>
      </c>
      <c r="L4" s="10" t="inlineStr">
        <is>
          <t>meets parameters</t>
        </is>
      </c>
      <c r="M4" s="10" t="n">
        <v>4</v>
      </c>
      <c r="N4" s="10" t="inlineStr">
        <is>
          <t>Yes</t>
        </is>
      </c>
      <c r="O4" s="10" t="inlineStr">
        <is>
          <t>All hard filters pass: revenue $962M FY2025 (&gt;$100M bar, also +27.8% YoY growth), market cap ~$5.3B (&gt;$1B bar), profitable and cash-generative, headcount 1k-5k, global B2B client base, no F1 conflict found. Fit score 4/4 — strong candidate.</t>
        </is>
      </c>
      <c r="P4" s="10" t="inlineStr">
        <is>
          <t>Global expansion / 'borderless commerce' story mapped directly to F1's international race calendar and cross-border fan base, in an open enablement-tech category (est).</t>
        </is>
      </c>
      <c r="Q4" s="10" t="n"/>
      <c r="R4" s="10" t="inlineStr">
        <is>
          <t>verified-existing</t>
        </is>
      </c>
      <c r="S4" s="10" t="inlineStr">
        <is>
          <t>2026-09-28</t>
        </is>
      </c>
    </row>
    <row r="5">
      <c r="A5" s="10" t="n">
        <v>2</v>
      </c>
      <c r="B5" s="10" t="n">
        <v>92</v>
      </c>
      <c r="C5" s="10" t="inlineStr">
        <is>
          <t>Inditex (Zara)</t>
        </is>
      </c>
      <c r="D5" s="10" t="inlineStr">
        <is>
          <t>inditex.com</t>
        </is>
      </c>
      <c r="E5" s="10" t="inlineStr">
        <is>
          <t>Arteixo, Spain</t>
        </is>
      </c>
      <c r="F5" s="10" t="inlineStr">
        <is>
          <t>Publicly traded (Bolsa de Madrid: ITX); Amancio Ortega / Pontegadea holds a large (~59%) stake, market cap is public</t>
        </is>
      </c>
      <c r="G5" s="10" t="inlineStr">
        <is>
          <t>Fashion retail (Zara, Massimo Dutti, Bershka, Pull&amp;Bear, Stradivarius, Zara Home)</t>
        </is>
      </c>
      <c r="H5" s="10" t="inlineStr">
        <is>
          <t>10k+</t>
        </is>
      </c>
      <c r="I5" s="10" t="inlineStr">
        <is>
          <t>€39.9B revenue, FY2025 (ended Jan 2026, +3.2% reported / +7.0% constant currency) — Inditex FY2025 results release</t>
        </is>
      </c>
      <c r="J5" s="10" t="inlineStr">
        <is>
          <t>$189.04B market cap, Sept 2026 — companiesmarketcap.com</t>
        </is>
      </c>
      <c r="K5" s="10" t="inlineStr">
        <is>
          <t>N/A — established public company</t>
        </is>
      </c>
      <c r="L5" s="10" t="inlineStr">
        <is>
          <t>exceeds - mega-brand</t>
        </is>
      </c>
      <c r="M5" s="10" t="n">
        <v>4</v>
      </c>
      <c r="N5" s="10" t="inlineStr">
        <is>
          <t>Yes</t>
        </is>
      </c>
      <c r="O5" s="10" t="inlineStr">
        <is>
          <t>All hard filters pass with wide headroom (revenue, valuation, headcount, profitability, global audience, no F1 ties); fit score 4 — the strongest candidate in this batch.</t>
        </is>
      </c>
      <c r="P5" s="10" t="inlineStr">
        <is>
          <t>Position Inditex's design-to-shelf speed and global 214-market footprint as a 'precision at scale' story, distinct from LVMH's luxury F1 tie-up, opening the fast-fashion category on the grid.</t>
        </is>
      </c>
      <c r="Q5" s="10" t="n"/>
      <c r="R5" s="10" t="inlineStr">
        <is>
          <t>verified-existing</t>
        </is>
      </c>
      <c r="S5" s="10" t="inlineStr">
        <is>
          <t>2026-09-28</t>
        </is>
      </c>
    </row>
    <row r="6">
      <c r="A6" s="10" t="n">
        <v>3</v>
      </c>
      <c r="B6" s="10" t="n">
        <v>92</v>
      </c>
      <c r="C6" s="10" t="inlineStr">
        <is>
          <t>Ceconomy (MediaMarktSaturn)</t>
        </is>
      </c>
      <c r="D6" s="10" t="inlineStr">
        <is>
          <t>ceconomy.de</t>
        </is>
      </c>
      <c r="E6" s="10" t="inlineStr">
        <is>
          <t>Germany</t>
        </is>
      </c>
      <c r="F6" s="10" t="inlineStr">
        <is>
          <t>Publicly traded (Frankfurt: CEC); Haniel/Meridian and other family-linked shareholders, no state ties</t>
        </is>
      </c>
      <c r="G6" s="10" t="inlineStr">
        <is>
          <t>consumer electronics retail</t>
        </is>
      </c>
      <c r="H6" s="10" t="inlineStr">
        <is>
          <t>10k+</t>
        </is>
      </c>
      <c r="I6" s="10" t="inlineStr">
        <is>
          <t>€21.50B TTM as of Dec 2025 (companiesmarketcap.com/Alpha Spread); FY2024 revenue €23.02B</t>
        </is>
      </c>
      <c r="J6" s="10" t="inlineStr">
        <is>
          <t>Market cap €1.917B as of late 2025/2026 (companiesmarketcap.com) - clears the $1B hard bar</t>
        </is>
      </c>
      <c r="K6" s="10" t="inlineStr">
        <is>
          <t>N/A - publicly traded; FY24/25 adjusted EBIT +24% to €378M, free cash flow +180% to €337M, targeting €500M adjusted EBIT for FY25/26 (Q4 2025 earnings call, Investing.com)</t>
        </is>
      </c>
      <c r="L6" s="10" t="inlineStr">
        <is>
          <t>exceeds - mega-brand</t>
        </is>
      </c>
      <c r="M6" s="10" t="n">
        <v>4</v>
      </c>
      <c r="N6" s="10" t="inlineStr">
        <is>
          <t>Yes</t>
        </is>
      </c>
      <c r="O6" s="10" t="inlineStr">
        <is>
          <t>All hard filters pass with room to spare: revenue €21.5B TTM and market cap €1.92B, both well above bars; no F1 conflict found in searches; ownership is standard public/family with no compliance issues; headcount 45,000+ (mega scale); profitability clearly improving (adjusted EBIT +24%, FCF +180%). Fit score is a maximum 4/4 - a strong pan-European consumer-tech retailer with an open sponsorship category.</t>
        </is>
      </c>
      <c r="P6" s="10" t="inlineStr">
        <is>
          <t>Consumer electronics/tech retail category open on the F1 grid - MediaMarktSaturn as official consumer-tech and gadgets retail partner across its European footprint, tying into F1's technology/performance narrative and the German/Austrian fan base.</t>
        </is>
      </c>
      <c r="Q6" s="10" t="n"/>
      <c r="R6" s="10" t="inlineStr">
        <is>
          <t>verified-existing</t>
        </is>
      </c>
      <c r="S6" s="10" t="inlineStr">
        <is>
          <t>2026-09-28</t>
        </is>
      </c>
    </row>
    <row r="7">
      <c r="A7" s="10" t="n">
        <v>4</v>
      </c>
      <c r="B7" s="10" t="n">
        <v>84</v>
      </c>
      <c r="C7" s="10" t="inlineStr">
        <is>
          <t>Etsy</t>
        </is>
      </c>
      <c r="D7" s="10" t="inlineStr">
        <is>
          <t>etsy.com</t>
        </is>
      </c>
      <c r="E7" s="10" t="inlineStr">
        <is>
          <t>USA</t>
        </is>
      </c>
      <c r="F7" s="10" t="inlineStr">
        <is>
          <t>Publicly traded (Nasdaq: ETSY); no state ownership</t>
        </is>
      </c>
      <c r="G7" s="10" t="inlineStr">
        <is>
          <t>Handmade/vintage marketplace</t>
        </is>
      </c>
      <c r="H7" s="10" t="inlineStr">
        <is>
          <t>1k-5k</t>
        </is>
      </c>
      <c r="I7" s="10" t="inlineStr">
        <is>
          <t>$2,883.5M FY2025 (+2.7% YoY), net income $163.0M — SEC filings via stockanalysis.com, reported early 2026</t>
        </is>
      </c>
      <c r="J7" s="10" t="inlineStr">
        <is>
          <t>Market cap $6.74B as of Sept 15, 2026 — stockanalysis.com</t>
        </is>
      </c>
      <c r="K7" s="10" t="inlineStr">
        <is>
          <t>N/A (public company); no recent capital raise</t>
        </is>
      </c>
      <c r="L7" s="10" t="inlineStr">
        <is>
          <t>meets parameters</t>
        </is>
      </c>
      <c r="M7" s="10" t="n">
        <v>3</v>
      </c>
      <c r="N7" s="10" t="inlineStr">
        <is>
          <t>Yes</t>
        </is>
      </c>
      <c r="O7" s="10" t="inlineStr">
        <is>
          <t>Hard filters pass: revenue $2.88B (&gt;$100M bar), market cap $6.74B (&gt;$1B bar), profitable, headcount 1k-5k, global consumer reach, no F1 conflict found, no ownership issue. Fit score 3/4.</t>
        </is>
      </c>
      <c r="P7" s="10" t="inlineStr">
        <is>
          <t>Craft/creator-economy meets global fanbase — 'independent makers going global' story paired with F1's international audience (est).</t>
        </is>
      </c>
      <c r="Q7" s="10" t="n"/>
      <c r="R7" s="10" t="inlineStr">
        <is>
          <t>verified-existing</t>
        </is>
      </c>
      <c r="S7" s="10" t="inlineStr">
        <is>
          <t>2026-09-28</t>
        </is>
      </c>
    </row>
    <row r="8">
      <c r="A8" s="10" t="n">
        <v>5</v>
      </c>
      <c r="B8" s="10" t="n">
        <v>84</v>
      </c>
      <c r="C8" s="10" t="inlineStr">
        <is>
          <t>Rappi</t>
        </is>
      </c>
      <c r="D8" s="10" t="inlineStr">
        <is>
          <t>rappi.com</t>
        </is>
      </c>
      <c r="E8" s="10" t="inlineStr">
        <is>
          <t>Colombia</t>
        </is>
      </c>
      <c r="F8" s="10" t="inlineStr">
        <is>
          <t>VC-backed (SoftBank Vision Fund and others); confidentially preparing a 2026 IPO; no state ownership</t>
        </is>
      </c>
      <c r="G8" s="10" t="inlineStr">
        <is>
          <t>Delivery / superapp (food, grocery, fintech)</t>
        </is>
      </c>
      <c r="H8" s="10" t="inlineStr">
        <is>
          <t>10k+</t>
        </is>
      </c>
      <c r="I8" s="10" t="inlineStr">
        <is>
          <t>$1.3B FY2024 (getlatka.com); GMV &gt;$7.5B; profitable for 4 consecutive quarters with positive EBITDA as of mid-2025 (Bloomberg Línea, July 2025)</t>
        </is>
      </c>
      <c r="J8" s="10" t="inlineStr">
        <is>
          <t>~35.5B yuan (~$5B) — 2026 Hurun Global Unicorn List, June 2026</t>
        </is>
      </c>
      <c r="K8" s="10" t="inlineStr">
        <is>
          <t>$25M round Sep 8, 2025 (small, non-material) plus a $100M loan facility (Santander et al.) in 2025; company is now self-funding via profitability ahead of a planned 2026 NY IPO — Crunchbase/Tracxn</t>
        </is>
      </c>
      <c r="L8" s="10" t="inlineStr">
        <is>
          <t>meets parameters</t>
        </is>
      </c>
      <c r="M8" s="10" t="n">
        <v>3</v>
      </c>
      <c r="N8" s="10" t="inlineStr">
        <is>
          <t>Yes</t>
        </is>
      </c>
      <c r="O8" s="10" t="inlineStr">
        <is>
          <t>Hard filters pass: revenue $1.3B FY2024 (&gt;$100M bar), valuation ~$5B (&gt;$1B bar), profitable for 4 consecutive quarters (satisfies capacity-to-spend despite no very recent equity round), headcount 10k+, broad LatAm consumer base, no CURRENT F1 conflict (the 2021 one-race McLaren tie has expired). Fit score 3/4.</t>
        </is>
      </c>
      <c r="P8" s="10" t="inlineStr">
        <is>
          <t>Reactivate its own history as the first Latin American brand with F1 exposure (2021 McLaren/Brazilian GP one-race deal) into a fintech/delivery-speed narrative timed to the Mexico City and São Paulo GPs (est).</t>
        </is>
      </c>
      <c r="Q8" s="10" t="inlineStr">
        <is>
          <t>one-off McLaren F1 sponsorship for the 2021 Brazilian GP (expired, not current) — prior F1 marketing experience, not a current conflict; no major new equity round since ~2022; now self-funding via profitability rather than fresh VC capital</t>
        </is>
      </c>
      <c r="R8" s="10" t="inlineStr">
        <is>
          <t>verified-existing</t>
        </is>
      </c>
      <c r="S8" s="10" t="inlineStr">
        <is>
          <t>2026-09-28</t>
        </is>
      </c>
    </row>
    <row r="9">
      <c r="A9" s="10" t="n">
        <v>6</v>
      </c>
      <c r="B9" s="10" t="n">
        <v>84</v>
      </c>
      <c r="C9" s="10" t="inlineStr">
        <is>
          <t>Best Buy</t>
        </is>
      </c>
      <c r="D9" s="10" t="inlineStr">
        <is>
          <t>bestbuy.com</t>
        </is>
      </c>
      <c r="E9" s="10" t="inlineStr">
        <is>
          <t>Richfield, Minnesota, USA</t>
        </is>
      </c>
      <c r="F9" s="10" t="inlineStr">
        <is>
          <t>Publicly traded (NYSE: BBY); no state or controlling family stake</t>
        </is>
      </c>
      <c r="G9" s="10" t="inlineStr">
        <is>
          <t>Consumer electronics retail</t>
        </is>
      </c>
      <c r="H9" s="10" t="inlineStr">
        <is>
          <t>10k+</t>
        </is>
      </c>
      <c r="I9" s="10" t="inlineStr">
        <is>
          <t>$41.7B revenue, FY2026 (fiscal year ended ~Jan/Feb 2026) — SEC 10-K / stockanalysis.com</t>
        </is>
      </c>
      <c r="J9" s="10" t="inlineStr">
        <is>
          <t>$17.5B market cap, 2026 — bullfincher.io</t>
        </is>
      </c>
      <c r="K9" s="10" t="inlineStr">
        <is>
          <t>N/A — established public company</t>
        </is>
      </c>
      <c r="L9" s="10" t="inlineStr">
        <is>
          <t>meets parameters</t>
        </is>
      </c>
      <c r="M9" s="10" t="n">
        <v>3</v>
      </c>
      <c r="N9" s="10" t="inlineStr">
        <is>
          <t>Yes</t>
        </is>
      </c>
      <c r="O9" s="10" t="inlineStr">
        <is>
          <t>All hard filters pass comfortably (revenue, valuation, headcount, comps returning to growth and stabilized share, millions of customers, no F1 ties, clean ownership); fit score 3 driven by a strong technology narrative outweighs the single-market-footprint weakness.</t>
        </is>
      </c>
      <c r="P9" s="10" t="inlineStr">
        <is>
          <t>Consumer-technology 'innovation on the track' tie-in — in-store activations around new tech launches timed to North American race weekends (Austin, Montreal), leveraging Best Buy's tech-enthusiast customer base.</t>
        </is>
      </c>
      <c r="Q9" s="10" t="n"/>
      <c r="R9" s="10" t="inlineStr">
        <is>
          <t>verified-existing</t>
        </is>
      </c>
      <c r="S9" s="10" t="inlineStr">
        <is>
          <t>2026-09-28</t>
        </is>
      </c>
    </row>
    <row r="10">
      <c r="A10" s="10" t="n">
        <v>7</v>
      </c>
      <c r="B10" s="10" t="n">
        <v>84</v>
      </c>
      <c r="C10" s="10" t="inlineStr">
        <is>
          <t>Costco Wholesale</t>
        </is>
      </c>
      <c r="D10" s="10" t="inlineStr">
        <is>
          <t>costco.com</t>
        </is>
      </c>
      <c r="E10" s="10" t="inlineStr">
        <is>
          <t>Issaquah, Washington, USA</t>
        </is>
      </c>
      <c r="F10" s="10" t="inlineStr">
        <is>
          <t>Publicly traded (Nasdaq: COST); no state or controlling family stake</t>
        </is>
      </c>
      <c r="G10" s="10" t="inlineStr">
        <is>
          <t>Membership warehouse retail</t>
        </is>
      </c>
      <c r="H10" s="10" t="inlineStr">
        <is>
          <t>10k+</t>
        </is>
      </c>
      <c r="I10" s="10" t="inlineStr">
        <is>
          <t>$269.9B net sales ($275.24B total revenue), FY2025 (ended Aug 2025) — SEC 8-K filings / stockanalysis.com</t>
        </is>
      </c>
      <c r="J10" s="10" t="inlineStr">
        <is>
          <t>~$400B market cap, Sept 2026 — tradingeconomics.com / companiesmarketcap.com</t>
        </is>
      </c>
      <c r="K10" s="10" t="inlineStr">
        <is>
          <t>N/A — established public company</t>
        </is>
      </c>
      <c r="L10" s="10" t="inlineStr">
        <is>
          <t>exceeds - mega-brand</t>
        </is>
      </c>
      <c r="M10" s="10" t="n">
        <v>3</v>
      </c>
      <c r="N10" s="10" t="inlineStr">
        <is>
          <t>Yes</t>
        </is>
      </c>
      <c r="O10" s="10" t="inlineStr">
        <is>
          <t>All hard filters pass with enormous headroom (revenue and valuation far exceed the bars, no distress, huge audience); fit score 3; Costco already resells F1 merchandise and GP tickets to members (retail activity, not a sponsorship) with no conflicting team, series, driver, or GP tie.</t>
        </is>
      </c>
      <c r="P10" s="10" t="inlineStr">
        <is>
          <t>Extend Costco's existing F1 merchandise and race-ticket retailing into a formal fan-engagement partnership, leveraging its 130M+ member base across multiple F1 host countries.</t>
        </is>
      </c>
      <c r="Q10" s="10" t="n"/>
      <c r="R10" s="10" t="inlineStr">
        <is>
          <t>verified-existing</t>
        </is>
      </c>
      <c r="S10" s="10" t="inlineStr">
        <is>
          <t>2026-09-28</t>
        </is>
      </c>
    </row>
    <row r="11">
      <c r="A11" s="10" t="n">
        <v>8</v>
      </c>
      <c r="B11" s="10" t="n">
        <v>84</v>
      </c>
      <c r="C11" s="10" t="inlineStr">
        <is>
          <t>Falabella</t>
        </is>
      </c>
      <c r="D11" s="10" t="inlineStr">
        <is>
          <t>falabella.com</t>
        </is>
      </c>
      <c r="E11" s="10" t="inlineStr">
        <is>
          <t>Santiago, Chile</t>
        </is>
      </c>
      <c r="F11" s="10" t="inlineStr">
        <is>
          <t>Publicly traded (Bolsa de Santiago / NYSE ADR); Solari/Del Río families hold significant but non-majority stakes, market cap is public</t>
        </is>
      </c>
      <c r="G11" s="10" t="inlineStr">
        <is>
          <t>Department stores, home improvement (Sodimac), financial services (CMR), marketplace/e-commerce</t>
        </is>
      </c>
      <c r="H11" s="10" t="inlineStr">
        <is>
          <t>10k+</t>
        </is>
      </c>
      <c r="I11" s="10" t="inlineStr">
        <is>
          <t>$13.45B TTM revenue, as of Aug 2025 — companiesmarketcap.com / ecdb.com</t>
        </is>
      </c>
      <c r="J11" s="10" t="inlineStr">
        <is>
          <t>€14.60B (~$15.7B) market cap, Sept 2026 — companiesmarketcap.com</t>
        </is>
      </c>
      <c r="K11" s="10" t="inlineStr">
        <is>
          <t>N/A — established public company</t>
        </is>
      </c>
      <c r="L11" s="10" t="inlineStr">
        <is>
          <t>meets parameters</t>
        </is>
      </c>
      <c r="M11" s="10" t="n">
        <v>3</v>
      </c>
      <c r="N11" s="10" t="inlineStr">
        <is>
          <t>Yes</t>
        </is>
      </c>
      <c r="O11" s="10" t="inlineStr">
        <is>
          <t>All hard filters pass — revenue and valuation clear the bars, earnings up sharply YoY ($3.19B vs $1.26B), millions of customers, no F1 ties, clean ownership; fit score 3.</t>
        </is>
      </c>
      <c r="P11" s="10" t="inlineStr">
        <is>
          <t>Cross-promote Falabella's CMR financial-services arm and home-improvement (Sodimac) banners with F1 fan activations across its LatAm footprint, anchored on the Brazil GP.</t>
        </is>
      </c>
      <c r="Q11" s="10" t="n"/>
      <c r="R11" s="10" t="inlineStr">
        <is>
          <t>verified-existing</t>
        </is>
      </c>
      <c r="S11" s="10" t="inlineStr">
        <is>
          <t>2026-09-28</t>
        </is>
      </c>
    </row>
    <row r="12">
      <c r="A12" s="10" t="n">
        <v>9</v>
      </c>
      <c r="B12" s="10" t="n">
        <v>84</v>
      </c>
      <c r="C12" s="10" t="inlineStr">
        <is>
          <t>Williams-Sonoma</t>
        </is>
      </c>
      <c r="D12" s="10" t="inlineStr">
        <is>
          <t>williams-sonoma.com</t>
        </is>
      </c>
      <c r="E12" s="10" t="inlineStr">
        <is>
          <t>USA</t>
        </is>
      </c>
      <c r="F12" s="10" t="inlineStr">
        <is>
          <t>Publicly traded (NYSE: WSM)</t>
        </is>
      </c>
      <c r="G12" s="10" t="inlineStr">
        <is>
          <t>Premium home goods/furniture retail (Williams Sonoma, Pottery Barn, West Elm brands)</t>
        </is>
      </c>
      <c r="H12" s="10" t="inlineStr">
        <is>
          <t>10k+</t>
        </is>
      </c>
      <c r="I12" s="10" t="inlineStr">
        <is>
          <t>$7.81B FY2025 revenue, +1.2% YoY, record EPS $8.84 (Williams-Sonoma FY2025 full-year results, ~Mar 2026)</t>
        </is>
      </c>
      <c r="J12" s="10" t="inlineStr">
        <is>
          <t>~$27.4B market cap (Sept 22, 2026, stockanalysis.com)</t>
        </is>
      </c>
      <c r="K12" s="10" t="inlineStr">
        <is>
          <t>N/A - public company; stock has surged through 2026 (CNBC, Sept 20, 2026) on strong performance despite a sluggish housing market</t>
        </is>
      </c>
      <c r="L12" s="10" t="inlineStr">
        <is>
          <t>meets parameters</t>
        </is>
      </c>
      <c r="M12" s="10" t="n">
        <v>3</v>
      </c>
      <c r="N12" s="10" t="inlineStr">
        <is>
          <t>Yes</t>
        </is>
      </c>
      <c r="O12" s="10" t="inlineStr">
        <is>
          <t>All hard filters pass: revenue $7.81B (&gt;$100M), market cap ~$27.4B (&gt;$1B), no F1 conflict found (the Williams F1 team name is coincidental, no actual tie), public ownership, 20,000+ headcount, clearly profitable and growing (record EPS, stock near highs), broad affluent consumer base not concentrated. Fit score 3/4 with a genuine open-category opportunity.</t>
        </is>
      </c>
      <c r="P12" s="10" t="inlineStr">
        <is>
          <t>Open 'home &amp; lifestyle' category on the grid; pitch an affluent, design-conscious global customer base and a craftsmanship/precision brand story that maps naturally to F1 engineering culture (est).</t>
        </is>
      </c>
      <c r="Q12" s="10" t="n"/>
      <c r="R12" s="10" t="inlineStr">
        <is>
          <t>verified-existing</t>
        </is>
      </c>
      <c r="S12" s="10" t="inlineStr">
        <is>
          <t>2026-09-28</t>
        </is>
      </c>
    </row>
    <row r="13">
      <c r="A13" s="10" t="n">
        <v>10</v>
      </c>
      <c r="B13" s="10" t="n">
        <v>84</v>
      </c>
      <c r="C13" s="10" t="inlineStr">
        <is>
          <t>Kaspi.kz</t>
        </is>
      </c>
      <c r="D13" s="10" t="inlineStr">
        <is>
          <t>kaspi.kz</t>
        </is>
      </c>
      <c r="E13" s="10" t="inlineStr">
        <is>
          <t>Kazakhstan</t>
        </is>
      </c>
      <c r="F13" s="10" t="inlineStr">
        <is>
          <t>Publicly traded (Nasdaq: KSPI), Kazakh-founded, private-sector</t>
        </is>
      </c>
      <c r="G13" s="10" t="inlineStr">
        <is>
          <t>Fintech/e-commerce super-app (payments, marketplace, fintech; plus Turkish e-commerce via Hepsiburada)</t>
        </is>
      </c>
      <c r="H13" s="10" t="inlineStr">
        <is>
          <t>10k+</t>
        </is>
      </c>
      <c r="I13" s="10" t="inlineStr">
        <is>
          <t>KZT 4.04 trillion FY2025 revenue (~$7.7-8B est), +58.9% YoY (Kaspi.kz 4Q &amp; FY2025 results, Mar 2, 2026, Nasdaq/GlobeNewswire)</t>
        </is>
      </c>
      <c r="J13" s="10" t="inlineStr">
        <is>
          <t>~$14.0B market cap (Sept 2026, market data aggregators)</t>
        </is>
      </c>
      <c r="K13" s="10" t="inlineStr">
        <is>
          <t>IPO'd on Nasdaq Jan 2024; no recent capital raise needed, strongly profitable</t>
        </is>
      </c>
      <c r="L13" s="10" t="inlineStr">
        <is>
          <t>meets parameters</t>
        </is>
      </c>
      <c r="M13" s="10" t="n">
        <v>3</v>
      </c>
      <c r="N13" s="10" t="inlineStr">
        <is>
          <t>Yes</t>
        </is>
      </c>
      <c r="O13" s="10" t="inlineStr">
        <is>
          <t>All hard filters pass: revenue ~$7.7-8B (est, &gt;$100M) and +59% YoY growth, market cap ~$14.0B (&gt;$1B), no F1 conflict found, public Nasdaq ownership with no state/compliance issues, 15,000+ headcount, strongly profitable and growing, broad consumer/merchant base not concentrated. Fit score 3/4 with a genuine tech-growth narrative.</t>
        </is>
      </c>
      <c r="P13" s="10" t="inlineStr">
        <is>
          <t>Position as the fast-growing fintech/super-app story bridging Central Asia and Turkey - 'powering payments at the speed of commerce' - an open fintech-adjacent category, timed to Kaspi's Hepsiburada-driven international expansion (est).</t>
        </is>
      </c>
      <c r="Q13" s="10" t="inlineStr">
        <is>
          <t>emerging-market (Central Asia) HQ may affect sponsor-mix optics; revenue figure converted from KZT at approximate exchange rate (est)</t>
        </is>
      </c>
      <c r="R13" s="10" t="inlineStr">
        <is>
          <t>verified-existing</t>
        </is>
      </c>
      <c r="S13" s="10" t="inlineStr">
        <is>
          <t>2026-09-28</t>
        </is>
      </c>
    </row>
    <row r="14">
      <c r="A14" s="10" t="n">
        <v>11</v>
      </c>
      <c r="B14" s="10" t="n">
        <v>84</v>
      </c>
      <c r="C14" s="10" t="inlineStr">
        <is>
          <t>PriceSmart</t>
        </is>
      </c>
      <c r="D14" s="10" t="inlineStr">
        <is>
          <t>pricesmart.com</t>
        </is>
      </c>
      <c r="E14" s="10" t="inlineStr">
        <is>
          <t>USA</t>
        </is>
      </c>
      <c r="F14" s="10" t="inlineStr">
        <is>
          <t>publicly traded (Nasdaq: PSMT)</t>
        </is>
      </c>
      <c r="G14" s="10" t="inlineStr">
        <is>
          <t>warehouse club retail (Latin America &amp; Caribbean)</t>
        </is>
      </c>
      <c r="H14" s="10" t="inlineStr">
        <is>
          <t>10k+</t>
        </is>
      </c>
      <c r="I14" s="10" t="inlineStr">
        <is>
          <t>$5.27B, FY2025 (ended 31 Aug 2025), +7.25% YoY (SEC 10-K; stockanalysis.com)</t>
        </is>
      </c>
      <c r="J14" s="10" t="inlineStr">
        <is>
          <t>~$5.6B market cap, Nasdaq: PSMT, as of Jul 2026 (stockanalysis.com)</t>
        </is>
      </c>
      <c r="K14" s="10" t="inlineStr">
        <is>
          <t>n/a (established public company)</t>
        </is>
      </c>
      <c r="L14" s="10" t="inlineStr">
        <is>
          <t>meets parameters</t>
        </is>
      </c>
      <c r="M14" s="10" t="n">
        <v>3</v>
      </c>
      <c r="N14" s="10" t="inlineStr">
        <is>
          <t>Yes</t>
        </is>
      </c>
      <c r="O14" s="10" t="inlineStr">
        <is>
          <t>All hard filters pass: revenue $5.27B FY2025, market cap ~$5.6B, no F1 conflicts found, public company with no ownership/compliance issues, profitable with growing earnings (+5.7%), millions of members across 12 countries; fit is solid (3/4) via a multi-market Latin American footprint and an open category.</t>
        </is>
      </c>
      <c r="P14" s="10" t="inlineStr">
        <is>
          <t>(est) Mexican GP or broader LatAm activation tying PriceSmart's membership base across Mexico, Colombia and Central America to F1's fast-growing Latin American fan base.</t>
        </is>
      </c>
      <c r="Q14" s="10" t="n"/>
      <c r="R14" s="10" t="inlineStr">
        <is>
          <t>verified-existing</t>
        </is>
      </c>
      <c r="S14" s="10" t="inlineStr">
        <is>
          <t>2026-09-28</t>
        </is>
      </c>
    </row>
    <row r="15">
      <c r="A15" s="10" t="n">
        <v>12</v>
      </c>
      <c r="B15" s="10" t="n">
        <v>84</v>
      </c>
      <c r="C15" s="10" t="inlineStr">
        <is>
          <t>Aldi Group</t>
        </is>
      </c>
      <c r="D15" s="10" t="inlineStr">
        <is>
          <t>aldi.com</t>
        </is>
      </c>
      <c r="E15" s="10" t="inlineStr">
        <is>
          <t>Germany</t>
        </is>
      </c>
      <c r="F15" s="10" t="inlineStr">
        <is>
          <t>family-owned (Albrecht family), private (Aldi Nord / Aldi Süd)</t>
        </is>
      </c>
      <c r="G15" s="10" t="inlineStr">
        <is>
          <t>discount grocery retail (global)</t>
        </is>
      </c>
      <c r="H15" s="10" t="inlineStr">
        <is>
          <t>10k+</t>
        </is>
      </c>
      <c r="I15" s="10" t="inlineStr">
        <is>
          <t>Aldi Süd ~€89B (FY2024) + Aldi Nord ~€31B (FY2025), combined 120B+ (Statista/company reporting, 2024-2025)</t>
        </is>
      </c>
      <c r="J15" s="10" t="inlineStr">
        <is>
          <t>n/a (private, family-owned, no published valuation)</t>
        </is>
      </c>
      <c r="K15" s="10" t="inlineStr">
        <is>
          <t>n/a</t>
        </is>
      </c>
      <c r="L15" s="10" t="inlineStr">
        <is>
          <t>exceeds - mega-brand</t>
        </is>
      </c>
      <c r="M15" s="10" t="n">
        <v>3</v>
      </c>
      <c r="N15" s="10" t="inlineStr">
        <is>
          <t>Yes</t>
        </is>
      </c>
      <c r="O15" s="10" t="inlineStr">
        <is>
          <t>All hard filters pass with room to spare: combined group revenue over €120B, no F1 conflicts found, family ownership flagged per the family-owned exception, profitable global operator with an active international expansion program and a massive customer base; fit is solid (3/4) on multi-market reach, an open category, and a genuine global-ambition narrative. Scale is mega-brand tier, which never counts against the verdict.</t>
        </is>
      </c>
      <c r="P15" s="10" t="inlineStr">
        <is>
          <t>(est) Global discount-to-quality repositioning story: pair Aldi's aggressive international expansion (US, Australia, China) with F1's own global-growth narrative via presence across UK, German, US and Australian race weekends.</t>
        </is>
      </c>
      <c r="Q15" s="10" t="inlineStr">
        <is>
          <t>family-owned, no published valuation</t>
        </is>
      </c>
      <c r="R15" s="10" t="inlineStr">
        <is>
          <t>verified-existing</t>
        </is>
      </c>
      <c r="S15" s="10" t="inlineStr">
        <is>
          <t>2026-09-28</t>
        </is>
      </c>
    </row>
    <row r="16">
      <c r="A16" s="10" t="n">
        <v>13</v>
      </c>
      <c r="B16" s="10" t="n">
        <v>84</v>
      </c>
      <c r="C16" s="10" t="inlineStr">
        <is>
          <t>Temu (PDD Holdings)</t>
        </is>
      </c>
      <c r="D16" s="10" t="inlineStr">
        <is>
          <t>temu.com</t>
        </is>
      </c>
      <c r="E16" s="10" t="inlineStr">
        <is>
          <t>Ireland/China (Temu operations; PDD Holdings Inc. incorporated in Cayman Islands)</t>
        </is>
      </c>
      <c r="F16" s="10" t="inlineStr">
        <is>
          <t>brand/division of PDD Holdings Inc. (Nasdaq: PDD), publicly traded; no state ownership identified</t>
        </is>
      </c>
      <c r="G16" s="10" t="inlineStr">
        <is>
          <t>online marketplace (discount general merchandise)</t>
        </is>
      </c>
      <c r="H16" s="10" t="inlineStr">
        <is>
          <t>10k+</t>
        </is>
      </c>
      <c r="I16" s="10" t="inlineStr">
        <is>
          <t>PDD Holdings FY2025 total revenue RMB431.85bn (~$61.75bn), up from RMB393.8bn in 2024; Q4 2025 revenue up 12% YoY, Q3 2025 up 9% YoY (PDD Holdings SEC 20-F/6-K filings, FY2025)</t>
        </is>
      </c>
      <c r="J16" s="10" t="inlineStr">
        <is>
          <t>PDD Holdings market cap ~$117.07bn as of Sep 3, 2026 (macrotrends.net), having ranged ~$117-129bn through mid/late 2026</t>
        </is>
      </c>
      <c r="K16" s="10" t="inlineStr">
        <is>
          <t>n/a (public company, not VC-backed)</t>
        </is>
      </c>
      <c r="L16" s="10" t="inlineStr">
        <is>
          <t>exceeds - mega-brand</t>
        </is>
      </c>
      <c r="M16" s="10" t="n">
        <v>3</v>
      </c>
      <c r="N16" s="10" t="inlineStr">
        <is>
          <t>Yes</t>
        </is>
      </c>
      <c r="O16" s="10" t="inlineStr">
        <is>
          <t>All hard filters pass: PDD Holdings FY2025 revenue $61.75bn (SEC 20-F/6-K); market cap ~$117bn (Sep 2026); no F1 conflicts found; large global workforce; hundreds of millions of marketplace buyers, not customer-concentrated; profitable and growing 9-12% YoY, no distress. Fit=3 (multi-market reach, global-ambition brand story, open marketplace category).</t>
        </is>
      </c>
      <c r="P16" s="10" t="inlineStr">
        <is>
          <t>Global marketplace disruptor building trust in Western markets -- align with F1's international calendar and digital-native, price-aware younger audience; open e-commerce/marketplace category on the grid.</t>
        </is>
      </c>
      <c r="Q16" s="10" t="inlineStr">
        <is>
          <t>division of PDD Holdings -- any sponsorship decision likely made at the parent level, not the Temu brand alone; China-linked parent -- ongoing trade/tariff and regulatory scrutiny in US/EU markets (not a listed compliance hard-No under this brief's rules, but worth diligence)</t>
        </is>
      </c>
      <c r="R16" s="10" t="inlineStr">
        <is>
          <t>verified-existing</t>
        </is>
      </c>
      <c r="S16" s="10" t="inlineStr">
        <is>
          <t>2026-09-28</t>
        </is>
      </c>
    </row>
    <row r="17">
      <c r="A17" s="10" t="n">
        <v>14</v>
      </c>
      <c r="B17" s="10" t="n">
        <v>84</v>
      </c>
      <c r="C17" s="10" t="inlineStr">
        <is>
          <t>Currys</t>
        </is>
      </c>
      <c r="D17" s="10" t="inlineStr">
        <is>
          <t>currys.co.uk</t>
        </is>
      </c>
      <c r="E17" s="10" t="inlineStr">
        <is>
          <t>United Kingdom</t>
        </is>
      </c>
      <c r="F17" s="10" t="inlineStr">
        <is>
          <t>Publicly traded (LSE: CURY), no controlling shareholder</t>
        </is>
      </c>
      <c r="G17" s="10" t="inlineStr">
        <is>
          <t>electronics retail</t>
        </is>
      </c>
      <c r="H17" s="10" t="inlineStr">
        <is>
          <t>10k+</t>
        </is>
      </c>
      <c r="I17" s="10" t="inlineStr">
        <is>
          <t>FY2025/26 group revenue £9,254M (~$12.4B TTM), LFL +4% — reported ~June 2026 (Currys plc FY2025/26 Full Year Results, currysplc.com)</t>
        </is>
      </c>
      <c r="J17" s="10" t="inlineStr">
        <is>
          <t>Market cap ~£1.57B (~$2.19B) as of June 2026 (companiesmarketcap.com) — passes the &gt;$1B hard bar</t>
        </is>
      </c>
      <c r="K17" s="10" t="inlineStr">
        <is>
          <t>N/A (public company)</t>
        </is>
      </c>
      <c r="L17" s="10" t="inlineStr">
        <is>
          <t>meets parameters</t>
        </is>
      </c>
      <c r="M17" s="10" t="n">
        <v>3</v>
      </c>
      <c r="N17" s="10" t="inlineStr">
        <is>
          <t>Yes</t>
        </is>
      </c>
      <c r="O17" s="10" t="inlineStr">
        <is>
          <t>All hard filters pass: revenue $12.4B, market cap $2.19B, 20,000+ employees (10k+ band), profit and EPS both growing double digits (not distress), mass consumer audience across multiple markets, no F1 conflicts found (team/series/driver/GP), no ownership issues. Fit score 3.</t>
        </is>
      </c>
      <c r="P17" s="10" t="inlineStr">
        <is>
          <t>A 'technology for everyone' angle tying everyday consumer electronics to F1's performance-engineering story, timed to Currys' UK/Nordic turnaround narrative.</t>
        </is>
      </c>
      <c r="Q17" s="10" t="inlineStr">
        <is>
          <t>history of thin margins/losses; turnaround still maturing (adjusted PBT +18%, EPS +19% FY25/26)</t>
        </is>
      </c>
      <c r="R17" s="10" t="inlineStr">
        <is>
          <t>verified-existing</t>
        </is>
      </c>
      <c r="S17" s="10" t="inlineStr">
        <is>
          <t>2026-09-28</t>
        </is>
      </c>
    </row>
    <row r="18">
      <c r="A18" s="10" t="n">
        <v>15</v>
      </c>
      <c r="B18" s="10" t="n">
        <v>84</v>
      </c>
      <c r="C18" s="10" t="inlineStr">
        <is>
          <t>Victoria's Secret &amp; Co</t>
        </is>
      </c>
      <c r="D18" s="10" t="inlineStr">
        <is>
          <t>victoriassecret.com</t>
        </is>
      </c>
      <c r="E18" s="10" t="inlineStr">
        <is>
          <t>USA</t>
        </is>
      </c>
      <c r="F18" s="10" t="inlineStr">
        <is>
          <t>Publicly traded (NYSE: VSCO), spun off from L Brands in 2021, no controlling shareholder</t>
        </is>
      </c>
      <c r="G18" s="10" t="inlineStr">
        <is>
          <t>specialty retail</t>
        </is>
      </c>
      <c r="H18" s="10" t="inlineStr">
        <is>
          <t>10k+</t>
        </is>
      </c>
      <c r="I18" s="10" t="inlineStr">
        <is>
          <t>FY2025 revenue $6.23B; FY2026 guidance $7.03-7.13B; Q2 FY2026 net sales +10% to $1.611B (Victoria's Secret &amp; Co SEC 8-K filings, 2026)</t>
        </is>
      </c>
      <c r="J18" s="10" t="inlineStr">
        <is>
          <t>Market cap ~$7.08B as of Aug 14, 2026 (companiesmarketcap.com) — comfortably passes the &gt;$1B hard bar</t>
        </is>
      </c>
      <c r="K18" s="10" t="inlineStr">
        <is>
          <t>N/A (public company)</t>
        </is>
      </c>
      <c r="L18" s="10" t="inlineStr">
        <is>
          <t>meets parameters</t>
        </is>
      </c>
      <c r="M18" s="10" t="n">
        <v>3</v>
      </c>
      <c r="N18" s="10" t="inlineStr">
        <is>
          <t>Yes</t>
        </is>
      </c>
      <c r="O18" s="10" t="inlineStr">
        <is>
          <t>All hard filters pass cleanly: revenue $6.2-7.1B, market cap $7.08B, 30,000+ employees, Q2 net sales +10% with raised guidance (clearly improving, not distress), mass consumer audience of thousands of customers, no F1 conflicts found, no ownership issues. Fit score 3.</t>
        </is>
      </c>
      <c r="P18" s="10" t="inlineStr">
        <is>
          <t>A global-rebrand/empowerment campaign timed to F1's fast-growing female fanbase — a beauty/lingerie category that is currently untapped on the grid.</t>
        </is>
      </c>
      <c r="Q18" s="10" t="n"/>
      <c r="R18" s="10" t="inlineStr">
        <is>
          <t>verified-existing</t>
        </is>
      </c>
      <c r="S18" s="10" t="inlineStr">
        <is>
          <t>2026-09-28</t>
        </is>
      </c>
    </row>
    <row r="19">
      <c r="A19" s="11" t="n">
        <v>16</v>
      </c>
      <c r="B19" s="11" t="n">
        <v>58</v>
      </c>
      <c r="C19" s="11" t="inlineStr">
        <is>
          <t>FirstCry</t>
        </is>
      </c>
      <c r="D19" s="11" t="inlineStr">
        <is>
          <t>firstcry.com</t>
        </is>
      </c>
      <c r="E19" s="11" t="inlineStr">
        <is>
          <t>Pune, India</t>
        </is>
      </c>
      <c r="F19" s="11" t="inlineStr">
        <is>
          <t>Publicly traded (NSE/BSE: FIRSTCRY, IPO'd Aug 2024, as Brainbees Solutions); founder-led (Supam Maheshwari), no state stake</t>
        </is>
      </c>
      <c r="G19" s="11" t="inlineStr">
        <is>
          <t>Baby &amp; kids e-commerce and retail</t>
        </is>
      </c>
      <c r="H19" s="11" t="inlineStr">
        <is>
          <t>5k-10k</t>
        </is>
      </c>
      <c r="I19" s="11" t="inlineStr">
        <is>
          <t>~INR 80.6B (~$960M USD, est) TTM revenue, 2025; FY26 revenue +12% YoY with narrowing losses (Q1 FY26 net loss ₹47.8cr vs ₹75.6cr YoY, adj. EBITDA +25%) — yourstory.com / multibagg.ai</t>
        </is>
      </c>
      <c r="J19" s="11" t="inlineStr">
        <is>
          <t>~INR 130-146B (~$1.5-1.7B USD, est) market cap, 2026 — stockanalysis.com / screener.in</t>
        </is>
      </c>
      <c r="K19" s="11" t="inlineStr">
        <is>
          <t>IPO Aug 2024 (NSE/BSE); no capital raise since — now a public company</t>
        </is>
      </c>
      <c r="L19" s="11" t="inlineStr">
        <is>
          <t>meets parameters</t>
        </is>
      </c>
      <c r="M19" s="11" t="n">
        <v>3</v>
      </c>
      <c r="N19" s="11" t="inlineStr">
        <is>
          <t>Stretch</t>
        </is>
      </c>
      <c r="O19" s="11" t="inlineStr">
        <is>
          <t>Revenue clears its bar by a wide margin, but valuation is only ~1.5-1.7x the $1B bar (a thin margin) and figures vary by source; the company is not yet profitable and only qualifies under the 'clearly improving' public-company capacity test (narrowing losses, rising EBITDA) rather than being solidly profitable.</t>
        </is>
      </c>
      <c r="P19" s="11" t="inlineStr">
        <is>
          <t>Fast-growing, recently-IPO'd India-based baby/kids e-commerce leader expanding into the Middle East (UAE/Saudi) — tie a partnership to F1's growing young-family fanbase in these expansion markets.</t>
        </is>
      </c>
      <c r="Q19" s="11" t="n"/>
      <c r="R19" s="11" t="inlineStr">
        <is>
          <t>verified-existing</t>
        </is>
      </c>
      <c r="S19" s="11" t="inlineStr">
        <is>
          <t>2026-09-28</t>
        </is>
      </c>
    </row>
    <row r="20">
      <c r="A20" s="11" t="n">
        <v>17</v>
      </c>
      <c r="B20" s="11" t="n">
        <v>58</v>
      </c>
      <c r="C20" s="11" t="inlineStr">
        <is>
          <t>Metro AG</t>
        </is>
      </c>
      <c r="D20" s="11" t="inlineStr">
        <is>
          <t>metroag.de</t>
        </is>
      </c>
      <c r="E20" s="11" t="inlineStr">
        <is>
          <t>Germany</t>
        </is>
      </c>
      <c r="F20" s="11" t="inlineStr">
        <is>
          <t>Private (delisted from Frankfurt Stock Exchange 16 Apr 2025); ~50% held by EP Global Commerce GmbH (Daniel Křetínský), ~25% held by founding/Beisheim-linked shareholders under a non-tender agreement, remainder free float</t>
        </is>
      </c>
      <c r="G20" s="11" t="inlineStr">
        <is>
          <t>Wholesale cash &amp; carry (food/non-food) for HORECA and independent retail professionals</t>
        </is>
      </c>
      <c r="H20" s="11" t="inlineStr">
        <is>
          <t>10k+</t>
        </is>
      </c>
      <c r="I20" s="11" t="inlineStr">
        <is>
          <t>€32.447B FY2024/25; €32.03B TTM, +3.68% YoY (stockanalysis.com Metro AG financial data, 2025-2026)</t>
        </is>
      </c>
      <c r="J20" s="11" t="inlineStr">
        <is>
          <t>Delisting offer priced at €5.33/share (~39% premium to pre-announcement price, Feb 2025); last public market cap ~$2.17B on 30 May 2025 just prior to delisting (METRO/EPGC newsroom press releases; companiesmarketcap.com)</t>
        </is>
      </c>
      <c r="K20" s="11" t="inlineStr">
        <is>
          <t>N/A — take-private transaction by EPGC completed, delisted Apr 2025 (not a growth-capital raise)</t>
        </is>
      </c>
      <c r="L20" s="11" t="inlineStr">
        <is>
          <t>exceeds - mega-brand</t>
        </is>
      </c>
      <c r="M20" s="11" t="n">
        <v>3</v>
      </c>
      <c r="N20" s="11" t="inlineStr">
        <is>
          <t>Stretch</t>
        </is>
      </c>
      <c r="O20" s="11" t="inlineStr">
        <is>
          <t>Passes hard filters (revenue clearly above bar, valuation just above the $1B bar via the 2025 delisting-offer equity value, headcount, audience of thousands of B2B customers, non-state ownership, no F1 ties) but has a real reservation: recently taken private (Apr 2025), so forward financial disclosure and valuation certainty are weaker than for a listed company.</t>
        </is>
      </c>
      <c r="P20" s="11" t="inlineStr">
        <is>
          <t>Global B2B wholesale category is open on the grid; angle around powering the professional food-service/HORECA sector (including race-weekend hospitality catering) plus footprint across multiple GP host countries (est).</t>
        </is>
      </c>
      <c r="Q20" s="11" t="inlineStr">
        <is>
          <t>Recently taken private / delisted (Apr 2025) — reduced public financial disclosure going forward; Founding/Beisheim-linked shareholders retain ~25% via non-tender agreement (legacy minority stake, not state)</t>
        </is>
      </c>
      <c r="R20" s="11" t="inlineStr">
        <is>
          <t>verified-existing</t>
        </is>
      </c>
      <c r="S20" s="11" t="inlineStr">
        <is>
          <t>2026-09-28</t>
        </is>
      </c>
    </row>
    <row r="21">
      <c r="A21" s="11" t="n">
        <v>18</v>
      </c>
      <c r="B21" s="11" t="n">
        <v>58</v>
      </c>
      <c r="C21" s="11" t="inlineStr">
        <is>
          <t>Eternal Ltd (Blinkit/Zomato)</t>
        </is>
      </c>
      <c r="D21" s="11" t="inlineStr">
        <is>
          <t>eternal.com</t>
        </is>
      </c>
      <c r="E21" s="11" t="inlineStr">
        <is>
          <t>India</t>
        </is>
      </c>
      <c r="F21" s="11" t="inlineStr">
        <is>
          <t>Publicly traded (NSE/BSE: ETERNAL, formerly Zomato Limited)</t>
        </is>
      </c>
      <c r="G21" s="11" t="inlineStr">
        <is>
          <t>Food delivery &amp; quick commerce (Zomato, Blinkit, Hyperpure, District)</t>
        </is>
      </c>
      <c r="H21" s="11" t="inlineStr">
        <is>
          <t>10k+</t>
        </is>
      </c>
      <c r="I21" s="11" t="inlineStr">
        <is>
          <t>Rs 55,760 crore FY26 revenue (~$6.3-6.5B est), +161.5% YoY (Eternal/Zomato FY26 results, 2026)</t>
        </is>
      </c>
      <c r="J21" s="11" t="inlineStr">
        <is>
          <t>~Rs 3.148 trillion market cap (~$36-38B est, Sept 2026)</t>
        </is>
      </c>
      <c r="K21" s="11" t="inlineStr">
        <is>
          <t>N/A - public company; large cash reserves from prior QIP/IPO, no recent raise needed</t>
        </is>
      </c>
      <c r="L21" s="11" t="inlineStr">
        <is>
          <t>exceeds - mega-brand</t>
        </is>
      </c>
      <c r="M21" s="11" t="n">
        <v>3</v>
      </c>
      <c r="N21" s="11" t="inlineStr">
        <is>
          <t>Stretch</t>
        </is>
      </c>
      <c r="O21" s="11" t="inlineStr">
        <is>
          <t>Hard filters pass on paper (revenue ~$6.3B and +161% growth, market cap ~$36-38B, no F1 conflict found, public ownership, profitable, broad consumer base not concentrated) but there's a real reservation: FY26 net profit fell 30.6% YoY on thin margins amid heavy quick-commerce investment, and operations are India-only, tempering confidence in it as a stable, global F1 partner.</t>
        </is>
      </c>
      <c r="P21" s="11" t="inlineStr">
        <is>
          <t>Speed-and-precision brand story ('10-minute delivery' logistics tech) paired with India's fast-growing F1 fanbase, in an open quick-commerce/food-delivery category (est).</t>
        </is>
      </c>
      <c r="Q21" s="11" t="inlineStr">
        <is>
          <t>formerly Zomato - check master tab for name-overlap/duplicate entry; FY26 net profit fell 30.6% YoY (Rs366cr vs Rs527cr) despite revenue growth - thin, declining net margin from heavy quick-commerce investment</t>
        </is>
      </c>
      <c r="R21" s="11" t="inlineStr">
        <is>
          <t>verified-existing</t>
        </is>
      </c>
      <c r="S21" s="11" t="inlineStr">
        <is>
          <t>2026-09-28</t>
        </is>
      </c>
    </row>
    <row r="22">
      <c r="A22" s="11" t="n">
        <v>19</v>
      </c>
      <c r="B22" s="11" t="n">
        <v>58</v>
      </c>
      <c r="C22" s="11" t="inlineStr">
        <is>
          <t>Otto Group</t>
        </is>
      </c>
      <c r="D22" s="11" t="inlineStr">
        <is>
          <t>otto.de</t>
        </is>
      </c>
      <c r="E22" s="11" t="inlineStr">
        <is>
          <t>Germany</t>
        </is>
      </c>
      <c r="F22" s="11" t="inlineStr">
        <is>
          <t>family-owned (Otto family), private</t>
        </is>
      </c>
      <c r="G22" s="11" t="inlineStr">
        <is>
          <t>e-commerce retail (Germany-headquartered, multi-brand platform group)</t>
        </is>
      </c>
      <c r="H22" s="11" t="inlineStr">
        <is>
          <t>10k+</t>
        </is>
      </c>
      <c r="I22" s="11" t="inlineStr">
        <is>
          <t>€14.9B, FY2024/25 (ended 28 Feb 2025), stable YoY; EBIT €276M vs €8M prior year (ottogroup.com; Fibre2Fashion)</t>
        </is>
      </c>
      <c r="J22" s="11" t="inlineStr">
        <is>
          <t>n/a (private, family-owned, no published valuation)</t>
        </is>
      </c>
      <c r="K22" s="11" t="inlineStr">
        <is>
          <t>n/a</t>
        </is>
      </c>
      <c r="L22" s="11" t="inlineStr">
        <is>
          <t>meets parameters</t>
        </is>
      </c>
      <c r="M22" s="11" t="n">
        <v>3</v>
      </c>
      <c r="N22" s="11" t="inlineStr">
        <is>
          <t>Stretch</t>
        </is>
      </c>
      <c r="O22" s="11" t="inlineStr">
        <is>
          <t>Hard filters pass: revenue €14.9B, no F1 conflicts found, family ownership flagged per the family-owned exception, and fit is solid at 3/4; but the group only just emerged from 'two difficult financial years' (EBIT of just €8M the prior year) into this year's turnaround, so demonstrated discretionary spending capacity is new and is treated as a reservation rather than a lock.</t>
        </is>
      </c>
      <c r="P22" s="11" t="inlineStr">
        <is>
          <t>(est) E-commerce/platform-technology story: Otto Group's digital transformation (OTTO, About You) as a genuine tech-and-logistics narrative, paired with Crate &amp; Barrel's US retail footprint for a transatlantic activation.</t>
        </is>
      </c>
      <c r="Q22" s="11" t="inlineStr">
        <is>
          <t>family-owned, no published valuation; two difficult financial years before the FY2024/25 turnaround</t>
        </is>
      </c>
      <c r="R22" s="11" t="inlineStr">
        <is>
          <t>verified-existing</t>
        </is>
      </c>
      <c r="S22" s="11" t="inlineStr">
        <is>
          <t>2026-09-28</t>
        </is>
      </c>
    </row>
    <row r="23">
      <c r="A23" s="11" t="n">
        <v>20</v>
      </c>
      <c r="B23" s="11" t="n">
        <v>58</v>
      </c>
      <c r="C23" s="11" t="inlineStr">
        <is>
          <t>Talabat (Delivery Hero)</t>
        </is>
      </c>
      <c r="D23" s="11" t="inlineStr">
        <is>
          <t>talabat.com</t>
        </is>
      </c>
      <c r="E23" s="11" t="inlineStr">
        <is>
          <t>Kuwait (Talabat Holding PLC, DFM-listed)</t>
        </is>
      </c>
      <c r="F23" s="11" t="inlineStr">
        <is>
          <t>~80-85% owned by Delivery Hero (Germany, public, XETRA-listed) post the Dec 2024 DFM IPO; Delivery Hero itself is the subject of a pending, unclosed ~$14.8B acquisition by Uber (announced Jul 2026)</t>
        </is>
      </c>
      <c r="G23" s="11" t="inlineStr">
        <is>
          <t>Online food &amp; grocery delivery</t>
        </is>
      </c>
      <c r="H23" s="11" t="inlineStr">
        <is>
          <t>10k+</t>
        </is>
      </c>
      <c r="I23" s="11" t="inlineStr">
        <is>
          <t>$3.49B FY2025, +45.1% YoY from $2.40B in 2024 (stockanalysis.com) — clears the &gt;$100M bar comfortably</t>
        </is>
      </c>
      <c r="J23" s="11" t="inlineStr">
        <is>
          <t>Market cap ~AED 25.6-27.2B (~US$7-7.4B), Aug-Sep 2026 (stockanalysis.com/GuruFocus) — clears the &gt;$1B bar comfortably</t>
        </is>
      </c>
      <c r="K23" s="11" t="inlineStr">
        <is>
          <t>N/A — publicly listed via DFM IPO, Dec 2024; no separate funding round since</t>
        </is>
      </c>
      <c r="L23" s="11" t="inlineStr">
        <is>
          <t>exceeds - mega-brand</t>
        </is>
      </c>
      <c r="M23" s="11" t="n">
        <v>3</v>
      </c>
      <c r="N23" s="11" t="inlineStr">
        <is>
          <t>Stretch</t>
        </is>
      </c>
      <c r="O23" s="11" t="inlineStr">
        <is>
          <t>Hard bars pass cleanly: revenue $3.49B (2025, +45% YoY), market cap ~$7B (2026), 15,000-19,000 employees, millions of consumers, no F1 conflicts for Talabat, Delivery Hero, or Uber. Real reservation: Delivery Hero's pending acquisition by Uber creates near-term uncertainty over who ultimately controls a sponsorship decision.</t>
        </is>
      </c>
      <c r="P23" s="11" t="inlineStr">
        <is>
          <t>Home-market/timing angle: Talabat is the dominant delivery brand across UAE, Saudi Arabia, Qatar and Bahrain — all current F1 host markets — positioning quick-commerce as an open sponsorship category with a strong regional-pride story.</t>
        </is>
      </c>
      <c r="Q23" s="11" t="inlineStr">
        <is>
          <t>Majority owner Delivery Hero is itself subject to a pending, unclosed Uber acquisition (announced Jul 2026, ~$14.8B) — could shift sponsorship decision authority; No F1 ties found for Delivery Hero or Uber</t>
        </is>
      </c>
      <c r="R23" s="11" t="inlineStr">
        <is>
          <t>verified-existing</t>
        </is>
      </c>
      <c r="S23" s="11" t="inlineStr">
        <is>
          <t>2026-09-28</t>
        </is>
      </c>
    </row>
    <row r="24">
      <c r="A24" s="11" t="n">
        <v>21</v>
      </c>
      <c r="B24" s="11" t="n">
        <v>58</v>
      </c>
      <c r="C24" s="11" t="inlineStr">
        <is>
          <t>Jumia</t>
        </is>
      </c>
      <c r="D24" s="11" t="inlineStr">
        <is>
          <t>jumia.com</t>
        </is>
      </c>
      <c r="E24" s="11" t="inlineStr">
        <is>
          <t>Nigeria</t>
        </is>
      </c>
      <c r="F24" s="11" t="inlineStr">
        <is>
          <t>Publicly traded (NYSE: JMIA)</t>
        </is>
      </c>
      <c r="G24" s="11" t="inlineStr">
        <is>
          <t>e-commerce marketplace</t>
        </is>
      </c>
      <c r="H24" s="11" t="inlineStr">
        <is>
          <t>1k-5k</t>
        </is>
      </c>
      <c r="I24" s="11" t="inlineStr">
        <is>
          <t>Q2 2025 revenue $45.6M (+25% YoY), annualizing to roughly ~$180M; full-year FY2025 not yet finalized (techpoint.africa, Jumia Q2 2025 press release, Aug 2025)</t>
        </is>
      </c>
      <c r="J24" s="11" t="inlineStr">
        <is>
          <t>Market cap not confirmed in searches; small-cap NYSE listing (est.)</t>
        </is>
      </c>
      <c r="K24" s="11" t="inlineStr">
        <is>
          <t>N/A - publicly traded; $98.3M cash on hand as of Q2 2025, no recent equity raise identified</t>
        </is>
      </c>
      <c r="L24" s="11" t="inlineStr">
        <is>
          <t>meets parameters</t>
        </is>
      </c>
      <c r="M24" s="11" t="n">
        <v>3</v>
      </c>
      <c r="N24" s="11" t="inlineStr">
        <is>
          <t>Stretch</t>
        </is>
      </c>
      <c r="O24" s="11" t="inlineStr">
        <is>
          <t>Q2 2025 revenue ($45.6M, +25% YoY) annualizes above the $100M hard bar; no F1 conflict found; ownership is standard public/NYSE. However Jumia remains loss-making with active cash burn and does not target breakeven until Q4 2026 - a real capacity-to-spend reservation - despite a decent fit score of 3 built on genuine multi-country African reach and an open category.</t>
        </is>
      </c>
      <c r="P24" s="11" t="inlineStr">
        <is>
          <t>Africa growth-market story - Jumia as the digital-commerce backbone across 10+ African countries, positioned as an early-mover brand association ahead of F1's own push to return to the continent (South Africa GP discussions).</t>
        </is>
      </c>
      <c r="Q24" s="11" t="inlineStr">
        <is>
          <t>history of heavy losses (carried from input triage); ongoing net losses and cash burn ($12.4M in Q2 2025), breakeven not targeted until Q4 2026, full-year profitability not until 2027</t>
        </is>
      </c>
      <c r="R24" s="11" t="inlineStr">
        <is>
          <t>verified-existing</t>
        </is>
      </c>
      <c r="S24" s="11" t="inlineStr">
        <is>
          <t>2026-09-28</t>
        </is>
      </c>
    </row>
    <row r="25">
      <c r="A25" s="11" t="n">
        <v>22</v>
      </c>
      <c r="B25" s="11" t="n">
        <v>58</v>
      </c>
      <c r="C25" s="11" t="inlineStr">
        <is>
          <t>Noon</t>
        </is>
      </c>
      <c r="D25" s="11" t="inlineStr">
        <is>
          <t>noon.com</t>
        </is>
      </c>
      <c r="E25" s="11" t="inlineStr">
        <is>
          <t>United Arab Emirates</t>
        </is>
      </c>
      <c r="F25" s="11" t="inlineStr">
        <is>
          <t>~50% Public Investment Fund (Saudi sovereign wealth fund) / ~50% founder Mohamed Alabbar and other investors — near-majority state stake (Wamda, Semafor, Dec 2025)</t>
        </is>
      </c>
      <c r="G25" s="11" t="inlineStr">
        <is>
          <t>marketplace</t>
        </is>
      </c>
      <c r="H25" s="11" t="inlineStr">
        <is>
          <t>5k-10k</t>
        </is>
      </c>
      <c r="I25" s="11" t="inlineStr">
        <is>
          <t>~$1.3-1.9B (2024/2025, est, ecdb.com/ecommercedb.com); GMV ~$5-6B (2024)</t>
        </is>
      </c>
      <c r="J25" s="11" t="inlineStr">
        <is>
          <t>~$10B (Dec 2025, founder Mohamed Alabbar comment during $500M raise; Wamda, Semafor)</t>
        </is>
      </c>
      <c r="K25" s="11" t="inlineStr">
        <is>
          <t>$500M from PIF-backed investors and Alabbar, Dec 2025, ahead of a planned UAE/Saudi IPO</t>
        </is>
      </c>
      <c r="L25" s="11" t="inlineStr">
        <is>
          <t>exceeds - mega-brand</t>
        </is>
      </c>
      <c r="M25" s="11" t="n">
        <v>3</v>
      </c>
      <c r="N25" s="11" t="inlineStr">
        <is>
          <t>Stretch</t>
        </is>
      </c>
      <c r="O25" s="11" t="inlineStr">
        <is>
          <t>All hard bars pass comfortably (valuation ~$10B, revenue &gt;$100M, recent $500M raise for growth, no F1 conflict), but near-majority sovereign ownership (PIF ~50%) is a real reservation even though it falls short of outright majority.</t>
        </is>
      </c>
      <c r="P25" s="11" t="inlineStr">
        <is>
          <t>MENA e-commerce/tech growth story ahead of a planned Gulf dual-listing IPO — open marketplace category on the 2026 grid, reaching the region's F1 fanbase around the Abu Dhabi and Saudi Arabian Grands Prix.</t>
        </is>
      </c>
      <c r="Q25" s="11" t="inlineStr">
        <is>
          <t>PIF (Saudi sovereign wealth fund) holds ~50% — borderline/near-majority state stake; pursuing dual UAE/Saudi IPO within ~2 years</t>
        </is>
      </c>
      <c r="R25" s="11" t="inlineStr">
        <is>
          <t>verified-existing</t>
        </is>
      </c>
      <c r="S25" s="11" t="inlineStr">
        <is>
          <t>2026-09-28</t>
        </is>
      </c>
    </row>
    <row r="26">
      <c r="A26" s="11" t="n">
        <v>23</v>
      </c>
      <c r="B26" s="11" t="n">
        <v>58</v>
      </c>
      <c r="C26" s="11" t="inlineStr">
        <is>
          <t>Trendyol</t>
        </is>
      </c>
      <c r="D26" s="11" t="inlineStr">
        <is>
          <t>trendyol.com</t>
        </is>
      </c>
      <c r="E26" s="11" t="inlineStr">
        <is>
          <t>Turkey</t>
        </is>
      </c>
      <c r="F26" s="11" t="inlineStr">
        <is>
          <t>~70-76% owned by Alibaba Group (strategic corporate parent, no F1 ties); minority stakes held by SoftBank, General Atlantic, Qatar Investment Authority (QIA) and Abu Dhabi's ADQ (both sovereign wealth funds)</t>
        </is>
      </c>
      <c r="G26" s="11" t="inlineStr">
        <is>
          <t>marketplace</t>
        </is>
      </c>
      <c r="H26" s="11" t="inlineStr">
        <is>
          <t>10k+</t>
        </is>
      </c>
      <c r="I26" s="11" t="inlineStr">
        <is>
          <t>~$14B in platform sales/GMV (2025, est, ecommercedb.com)</t>
        </is>
      </c>
      <c r="J26" s="11" t="inlineStr">
        <is>
          <t>$16.5B (2024, following its 2021 $1.5B raise)</t>
        </is>
      </c>
      <c r="K26" s="11" t="inlineStr">
        <is>
          <t>$1.5B raise (Aug 2021, informing the 2024 $16.5B valuation); Alibaba separately agreed to sell 85% of the Trendyol GO delivery unit for ~$700M (May 2025)</t>
        </is>
      </c>
      <c r="L26" s="11" t="inlineStr">
        <is>
          <t>exceeds - mega-brand</t>
        </is>
      </c>
      <c r="M26" s="11" t="n">
        <v>3</v>
      </c>
      <c r="N26" s="11" t="inlineStr">
        <is>
          <t>Stretch</t>
        </is>
      </c>
      <c r="O26" s="11" t="inlineStr">
        <is>
          <t>All hard bars pass (valuation $16.5B, revenue clearly &gt;$100M, no F1 conflict, strong growth/expansion capacity), but minority sovereign stakes (QIA, ADQ) alongside majority Alibaba control are a real ownership reservation.</t>
        </is>
      </c>
      <c r="P26" s="11" t="inlineStr">
        <is>
          <t>Turkish/CEE-MENA e-commerce scale-up eyeing a dual IPO and $2B Gulf expansion — untapped digital marketplace category on the 2026 grid, reaching Trendyol's pan-regional shopper base.</t>
        </is>
      </c>
      <c r="Q26" s="11" t="inlineStr">
        <is>
          <t>parent: Alibaba (~70-76% owner, no F1 ties); minority state stakes: Qatar Investment Authority (QIA) and Abu Dhabi's ADQ</t>
        </is>
      </c>
      <c r="R26" s="11" t="inlineStr">
        <is>
          <t>verified-existing</t>
        </is>
      </c>
      <c r="S26" s="11" t="inlineStr">
        <is>
          <t>2026-09-28</t>
        </is>
      </c>
    </row>
    <row r="27">
      <c r="A27" s="11" t="n">
        <v>24</v>
      </c>
      <c r="B27" s="11" t="n">
        <v>52</v>
      </c>
      <c r="C27" s="11" t="inlineStr">
        <is>
          <t>Allegro</t>
        </is>
      </c>
      <c r="D27" s="11" t="inlineStr">
        <is>
          <t>allegro.eu</t>
        </is>
      </c>
      <c r="E27" s="11" t="inlineStr">
        <is>
          <t>Poland</t>
        </is>
      </c>
      <c r="F27" s="11" t="inlineStr">
        <is>
          <t>Publicly traded (WSE: ALE), WIG30 component; no state ownership</t>
        </is>
      </c>
      <c r="G27" s="11" t="inlineStr">
        <is>
          <t>E-commerce marketplace (Poland/CEE)</t>
        </is>
      </c>
      <c r="H27" s="11" t="inlineStr">
        <is>
          <t>5k-10k</t>
        </is>
      </c>
      <c r="I27" s="11" t="inlineStr">
        <is>
          <t>$3.0B / PLN 11.5B TTM (+6.95% YoY), FY2025 — stockanalysis.com, reported 2026</t>
        </is>
      </c>
      <c r="J27" s="11" t="inlineStr">
        <is>
          <t>Market cap ~$12.4B as of Sept 2026 — stockanalysis.com</t>
        </is>
      </c>
      <c r="K27" s="11" t="inlineStr">
        <is>
          <t>N/A (public company); no recent capital raise</t>
        </is>
      </c>
      <c r="L27" s="11" t="inlineStr">
        <is>
          <t>meets parameters</t>
        </is>
      </c>
      <c r="M27" s="11" t="n">
        <v>2</v>
      </c>
      <c r="N27" s="11" t="inlineStr">
        <is>
          <t>Stretch</t>
        </is>
      </c>
      <c r="O27" s="11" t="inlineStr">
        <is>
          <t>Hard filters pass (revenue $3.0B, market cap $12.4B, public and profitable, headcount 5k-10k, no F1 conflict, no ownership issue) but fit_score = 2 with weak brand-story and audience angles.</t>
        </is>
      </c>
      <c r="P27" s="11" t="inlineStr">
        <is>
          <t>CEE market-expansion story tied to F1's growing Central/Eastern European fan base; logistics-speed/tech narrative (est).</t>
        </is>
      </c>
      <c r="Q27" s="11" t="n"/>
      <c r="R27" s="11" t="inlineStr">
        <is>
          <t>verified-existing</t>
        </is>
      </c>
      <c r="S27" s="11" t="inlineStr">
        <is>
          <t>2026-09-28</t>
        </is>
      </c>
    </row>
    <row r="28">
      <c r="A28" s="11" t="n">
        <v>25</v>
      </c>
      <c r="B28" s="11" t="n">
        <v>52</v>
      </c>
      <c r="C28" s="11" t="inlineStr">
        <is>
          <t>Walmart</t>
        </is>
      </c>
      <c r="D28" s="11" t="inlineStr">
        <is>
          <t>walmart.com</t>
        </is>
      </c>
      <c r="E28" s="11" t="inlineStr">
        <is>
          <t>USA</t>
        </is>
      </c>
      <c r="F28" s="11" t="inlineStr">
        <is>
          <t>Publicly traded (NYSE: WMT); Walton family large stake, no state ownership</t>
        </is>
      </c>
      <c r="G28" s="11" t="inlineStr">
        <is>
          <t>Big-box/omnichannel retail</t>
        </is>
      </c>
      <c r="H28" s="11" t="inlineStr">
        <is>
          <t>10k+</t>
        </is>
      </c>
      <c r="I28" s="11" t="inlineStr">
        <is>
          <t>$681B (total revenues $680,985M; net sales $674,538M) FY2025 (year ended Jan 2025) — SEC 10-K/8-K via stockanalysis.com</t>
        </is>
      </c>
      <c r="J28" s="11" t="inlineStr">
        <is>
          <t>Market cap ~$853.6B as of Sept 24, 2026 — stockanalysis.com</t>
        </is>
      </c>
      <c r="K28" s="11" t="inlineStr">
        <is>
          <t>N/A (public company); no recent capital raise</t>
        </is>
      </c>
      <c r="L28" s="11" t="inlineStr">
        <is>
          <t>exceeds - mega-brand</t>
        </is>
      </c>
      <c r="M28" s="11" t="n">
        <v>2</v>
      </c>
      <c r="N28" s="11" t="inlineStr">
        <is>
          <t>Stretch</t>
        </is>
      </c>
      <c r="O28" s="11" t="inlineStr">
        <is>
          <t>Hard filters clearly pass (revenue $681B, market cap $853.6B, headcount 10k+, hugely profitable, global footprint, no F1 conflict found) but fit_score = 2 with weak audience/brand-story angles.</t>
        </is>
      </c>
      <c r="P28" s="11" t="inlineStr">
        <is>
          <t>Global supply-chain/logistics-precision story ('getting everything, everywhere') mapped to F1's global race calendar and Walmart's omnichannel scale (est).</t>
        </is>
      </c>
      <c r="Q28" s="11" t="n"/>
      <c r="R28" s="11" t="inlineStr">
        <is>
          <t>verified-existing</t>
        </is>
      </c>
      <c r="S28" s="11" t="inlineStr">
        <is>
          <t>2026-09-28</t>
        </is>
      </c>
    </row>
    <row r="29">
      <c r="A29" s="11" t="n">
        <v>26</v>
      </c>
      <c r="B29" s="11" t="n">
        <v>52</v>
      </c>
      <c r="C29" s="11" t="inlineStr">
        <is>
          <t>Zepto</t>
        </is>
      </c>
      <c r="D29" s="11" t="inlineStr">
        <is>
          <t>zeptonow.com</t>
        </is>
      </c>
      <c r="E29" s="11" t="inlineStr">
        <is>
          <t>India</t>
        </is>
      </c>
      <c r="F29" s="11" t="inlineStr">
        <is>
          <t>VC-backed (General Catalyst, Goodwater Capital, Lightspeed, CalPERS and others); confidentially filed for a 2026 IPO in Dec 2025</t>
        </is>
      </c>
      <c r="G29" s="11" t="inlineStr">
        <is>
          <t>Quick commerce (10-minute grocery delivery)</t>
        </is>
      </c>
      <c r="H29" s="11" t="inlineStr">
        <is>
          <t>5k-10k</t>
        </is>
      </c>
      <c r="I29" s="11" t="inlineStr">
        <is>
          <t>₹11,110 crore (~$1.2B) FY25, +149% YoY — Business Standard, reported Dec 2025</t>
        </is>
      </c>
      <c r="J29" s="11" t="inlineStr">
        <is>
          <t>$7B post-money, Series H — TechCrunch, Oct 16, 2025</t>
        </is>
      </c>
      <c r="K29" s="11" t="inlineStr">
        <is>
          <t>$450M Series H, Oct 16, 2025 (within 18 months; ~$900M net cash on hand) — TechCrunch</t>
        </is>
      </c>
      <c r="L29" s="11" t="inlineStr">
        <is>
          <t>meets parameters</t>
        </is>
      </c>
      <c r="M29" s="11" t="n">
        <v>2</v>
      </c>
      <c r="N29" s="11" t="inlineStr">
        <is>
          <t>Stretch</t>
        </is>
      </c>
      <c r="O29" s="11" t="inlineStr">
        <is>
          <t>Hard filters pass: revenue $1.2B FY25 (&gt;$100M bar, +149% YoY also satisfies the growth bar), valuation $7B (&gt;$1B bar), raised $450M in Oct 2025 (within 18 months, satisfies capacity-to-spend), headcount 5k-10k, no F1 conflict found, no ownership issue. But fit_score = 2 — India-only footprint and a generic mass-market audience are a real reservation, despite a strong 'speed' brand-story angle.</t>
        </is>
      </c>
      <c r="P29" s="11" t="inlineStr">
        <is>
          <t>'10-minute delivery' speed/precision narrative as a direct metaphor for F1 performance, timed to a pre-IPO growth story and India's expanding F1 fan base (est).</t>
        </is>
      </c>
      <c r="Q29" s="11" t="inlineStr">
        <is>
          <t>valuation fell from $12B (2021 Series B) to $7B (2025 Series H) — down-round trajectory, though revenue has grown sharply since; single-market (India) audience; pre-IPO — confidentially filed Dec 2025, capital priorities may shift</t>
        </is>
      </c>
      <c r="R29" s="11" t="inlineStr">
        <is>
          <t>verified-existing</t>
        </is>
      </c>
      <c r="S29" s="11" t="inlineStr">
        <is>
          <t>2026-09-28</t>
        </is>
      </c>
    </row>
    <row r="30">
      <c r="A30" s="11" t="n">
        <v>27</v>
      </c>
      <c r="B30" s="11" t="n">
        <v>52</v>
      </c>
      <c r="C30" s="11" t="inlineStr">
        <is>
          <t>Ahold Delhaize</t>
        </is>
      </c>
      <c r="D30" s="11" t="inlineStr">
        <is>
          <t>aholddelhaize.com</t>
        </is>
      </c>
      <c r="E30" s="11" t="inlineStr">
        <is>
          <t>Zaandam, Netherlands</t>
        </is>
      </c>
      <c r="F30" s="11" t="inlineStr">
        <is>
          <t>Publicly traded (Euronext Amsterdam: AD); no state or controlling family stake identified</t>
        </is>
      </c>
      <c r="G30" s="11" t="inlineStr">
        <is>
          <t>Grocery / supermarkets (Albert Heijn, Food Lion, Stop &amp; Shop, Giant, Hannaford, etc.)</t>
        </is>
      </c>
      <c r="H30" s="11" t="inlineStr">
        <is>
          <t>10k+</t>
        </is>
      </c>
      <c r="I30" s="11" t="inlineStr">
        <is>
          <t>€92.4B net sales, FY2025 (full year, +3.4% YoY), reported Feb 2026 — Ahold Delhaize newsroom / Fruitnet</t>
        </is>
      </c>
      <c r="J30" s="11" t="inlineStr">
        <is>
          <t>~$36.2B market cap, July 2026 — stockanalysis.com (AD.AS)</t>
        </is>
      </c>
      <c r="K30" s="11" t="inlineStr">
        <is>
          <t>N/A — long-established public company, no recent capital raise</t>
        </is>
      </c>
      <c r="L30" s="11" t="inlineStr">
        <is>
          <t>meets parameters</t>
        </is>
      </c>
      <c r="M30" s="11" t="n">
        <v>2</v>
      </c>
      <c r="N30" s="11" t="inlineStr">
        <is>
          <t>Stretch</t>
        </is>
      </c>
      <c r="O30" s="11" t="inlineStr">
        <is>
          <t>All hard filters pass (revenue, valuation, headcount, capacity, audience, no F1 conflict, clean ownership) but fit score is only 2 with a weak brand-story angle — a mass grocery retailer with no natural performance/tech/precision hook.</t>
        </is>
      </c>
      <c r="P30" s="11" t="inlineStr">
        <is>
          <t>Open grocery/food-distribution category; position around scale-and-logistics precision tied to European race weekends in Ahold Delhaize's core NL/Belgium markets.</t>
        </is>
      </c>
      <c r="Q30" s="11" t="n"/>
      <c r="R30" s="11" t="inlineStr">
        <is>
          <t>verified-existing</t>
        </is>
      </c>
      <c r="S30" s="11" t="inlineStr">
        <is>
          <t>2026-09-28</t>
        </is>
      </c>
    </row>
    <row r="31">
      <c r="A31" s="11" t="n">
        <v>28</v>
      </c>
      <c r="B31" s="11" t="n">
        <v>52</v>
      </c>
      <c r="C31" s="11" t="inlineStr">
        <is>
          <t>Canadian Tire Corporation</t>
        </is>
      </c>
      <c r="D31" s="11" t="inlineStr">
        <is>
          <t>canadiantire.ca</t>
        </is>
      </c>
      <c r="E31" s="11" t="inlineStr">
        <is>
          <t>Toronto, Ontario, Canada</t>
        </is>
      </c>
      <c r="F31" s="11" t="inlineStr">
        <is>
          <t>Publicly traded (TSX: CTC.A); dual-class structure controlled by the Billes/Martin family (~60% voting control), market cap is public</t>
        </is>
      </c>
      <c r="G31" s="11" t="inlineStr">
        <is>
          <t>Retail conglomerate incl. automotive parts/service, hardware, sporting goods (SportChek, Mark's)</t>
        </is>
      </c>
      <c r="H31" s="11" t="inlineStr">
        <is>
          <t>10k+</t>
        </is>
      </c>
      <c r="I31" s="11" t="inlineStr">
        <is>
          <t>CA$16.32B revenue, FY ended Jan 3 2026 (+5.15% YoY) — 2025 Annual Report to Shareholders / stockanalysis.com</t>
        </is>
      </c>
      <c r="J31" s="11" t="inlineStr">
        <is>
          <t>CA$11.62B market cap, July 2026 — stockanalysis.com</t>
        </is>
      </c>
      <c r="K31" s="11" t="inlineStr">
        <is>
          <t>N/A — established public company</t>
        </is>
      </c>
      <c r="L31" s="11" t="inlineStr">
        <is>
          <t>meets parameters</t>
        </is>
      </c>
      <c r="M31" s="11" t="n">
        <v>2</v>
      </c>
      <c r="N31" s="11" t="inlineStr">
        <is>
          <t>Stretch</t>
        </is>
      </c>
      <c r="O31" s="11" t="inlineStr">
        <is>
          <t>Hard filters all pass (no current F1 conflict — the track naming is historical, not an active team/series/GP tie), but fit is only 2 and the company's footprint is essentially single-market (Canada), a real reservation despite the strong motorsport-heritage angle.</t>
        </is>
      </c>
      <c r="P31" s="11" t="inlineStr">
        <is>
          <t>Lean into Canadian Tire Motorsport Park's F1 history and anchor a partnership around the Canadian GP (Montreal) as a home-market activation, with an auto-parts/performance-tools product tie-in.</t>
        </is>
      </c>
      <c r="Q31" s="11" t="n"/>
      <c r="R31" s="11" t="inlineStr">
        <is>
          <t>verified-existing</t>
        </is>
      </c>
      <c r="S31" s="11" t="inlineStr">
        <is>
          <t>2026-09-28</t>
        </is>
      </c>
    </row>
    <row r="32">
      <c r="A32" s="11" t="n">
        <v>29</v>
      </c>
      <c r="B32" s="11" t="n">
        <v>52</v>
      </c>
      <c r="C32" s="11" t="inlineStr">
        <is>
          <t>Carrefour</t>
        </is>
      </c>
      <c r="D32" s="11" t="inlineStr">
        <is>
          <t>carrefour.com</t>
        </is>
      </c>
      <c r="E32" s="11" t="inlineStr">
        <is>
          <t>Massy, France</t>
        </is>
      </c>
      <c r="F32" s="11" t="inlineStr">
        <is>
          <t>Publicly traded (Euronext Paris: CA); no majority state or family stake</t>
        </is>
      </c>
      <c r="G32" s="11" t="inlineStr">
        <is>
          <t>Grocery / hypermarkets</t>
        </is>
      </c>
      <c r="H32" s="11" t="inlineStr">
        <is>
          <t>10k+</t>
        </is>
      </c>
      <c r="I32" s="11" t="inlineStr">
        <is>
          <t>$98.70B revenue, FY2025 — companiesmarketcap.com / 2025 Universal Registration Document (published Mar 2026)</t>
        </is>
      </c>
      <c r="J32" s="11" t="inlineStr">
        <is>
          <t>~$11-13B market cap, Aug 2026 — companiesmarketcap.com</t>
        </is>
      </c>
      <c r="K32" s="11" t="inlineStr">
        <is>
          <t>N/A — established public company</t>
        </is>
      </c>
      <c r="L32" s="11" t="inlineStr">
        <is>
          <t>meets parameters</t>
        </is>
      </c>
      <c r="M32" s="11" t="n">
        <v>2</v>
      </c>
      <c r="N32" s="11" t="inlineStr">
        <is>
          <t>Stretch</t>
        </is>
      </c>
      <c r="O32" s="11" t="inlineStr">
        <is>
          <t>All hard filters pass (revenue, valuation, headcount, profitability, audience, no F1 ties, clean ownership) but fit is only 2 with a weak brand-story angle for a mass-market grocer.</t>
        </is>
      </c>
      <c r="P32" s="11" t="inlineStr">
        <is>
          <t>Global-scale grocery distribution story tied to host markets where Carrefour operates and F1 races (France, Spain, Belgium, Brazil), positioned around efficient, precision logistics.</t>
        </is>
      </c>
      <c r="Q32" s="11" t="n"/>
      <c r="R32" s="11" t="inlineStr">
        <is>
          <t>verified-existing</t>
        </is>
      </c>
      <c r="S32" s="11" t="inlineStr">
        <is>
          <t>2026-09-28</t>
        </is>
      </c>
    </row>
    <row r="33">
      <c r="A33" s="11" t="n">
        <v>30</v>
      </c>
      <c r="B33" s="11" t="n">
        <v>52</v>
      </c>
      <c r="C33" s="11" t="inlineStr">
        <is>
          <t>Cencosud</t>
        </is>
      </c>
      <c r="D33" s="11" t="inlineStr">
        <is>
          <t>cencosud.com</t>
        </is>
      </c>
      <c r="E33" s="11" t="inlineStr">
        <is>
          <t>Santiago, Chile</t>
        </is>
      </c>
      <c r="F33" s="11" t="inlineStr">
        <is>
          <t>Publicly traded (Bolsa de Santiago); Paulmann family holds a large controlling stake, market cap is public</t>
        </is>
      </c>
      <c r="G33" s="11" t="inlineStr">
        <is>
          <t>Retail conglomerate — supermarkets, home improvement, department stores, shopping centers (Chile, Argentina, Brazil, Peru, Colombia)</t>
        </is>
      </c>
      <c r="H33" s="11" t="inlineStr">
        <is>
          <t>10k+</t>
        </is>
      </c>
      <c r="I33" s="11" t="inlineStr">
        <is>
          <t>CLP 16.59 trillion (~US$17-18B) revenue, 2025 — companiesmarketcap.com</t>
        </is>
      </c>
      <c r="J33" s="11" t="inlineStr">
        <is>
          <t>~$8.18B market cap, Nov 2025 (CLP 5.56T / ~$5.85B as of Sept 4 2026) — stockanalysis.com</t>
        </is>
      </c>
      <c r="K33" s="11" t="inlineStr">
        <is>
          <t>N/A — established public company</t>
        </is>
      </c>
      <c r="L33" s="11" t="inlineStr">
        <is>
          <t>meets parameters</t>
        </is>
      </c>
      <c r="M33" s="11" t="n">
        <v>2</v>
      </c>
      <c r="N33" s="11" t="inlineStr">
        <is>
          <t>Stretch</t>
        </is>
      </c>
      <c r="O33" s="11" t="inlineStr">
        <is>
          <t>Hard filters all pass (revenue, valuation, headcount, profitability, audience, no F1 ties, clean ownership) but fit is only 2 with a weak brand-story angle — a diversified LatAm retail conglomerate with no natural performance/tech hook.</t>
        </is>
      </c>
      <c r="P33" s="11" t="inlineStr">
        <is>
          <t>LatAm growth-market activation anchored on Brazil (São Paulo GP) as Cencosud's largest non-Chile market, cross-promoting supermarket and home-improvement banners.</t>
        </is>
      </c>
      <c r="Q33" s="11" t="n"/>
      <c r="R33" s="11" t="inlineStr">
        <is>
          <t>verified-existing</t>
        </is>
      </c>
      <c r="S33" s="11" t="inlineStr">
        <is>
          <t>2026-09-28</t>
        </is>
      </c>
    </row>
    <row r="34">
      <c r="A34" s="11" t="n">
        <v>31</v>
      </c>
      <c r="B34" s="11" t="n">
        <v>52</v>
      </c>
      <c r="C34" s="11" t="inlineStr">
        <is>
          <t>Kingfisher plc (B&amp;Q, Screwfix)</t>
        </is>
      </c>
      <c r="D34" s="11" t="inlineStr">
        <is>
          <t>kingfisher.com</t>
        </is>
      </c>
      <c r="E34" s="11" t="inlineStr">
        <is>
          <t>United Kingdom</t>
        </is>
      </c>
      <c r="F34" s="11" t="inlineStr">
        <is>
          <t>Publicly traded (LSE: KGF)</t>
        </is>
      </c>
      <c r="G34" s="11" t="inlineStr">
        <is>
          <t>Home improvement retail (B&amp;Q, Screwfix, Castorama, Brico Dépôt)</t>
        </is>
      </c>
      <c r="H34" s="11" t="inlineStr">
        <is>
          <t>10k+</t>
        </is>
      </c>
      <c r="I34" s="11" t="inlineStr">
        <is>
          <t>£12,945M total sales, FY ended 31 Jan 2026, reported 24 Mar 2026 (Kingfisher FY25/26 full-year results presentation/RNS)</t>
        </is>
      </c>
      <c r="J34" s="11" t="inlineStr">
        <is>
          <t>Market cap ~£4.97B, enterprise value ~£6.70B, as of Mar 2026 (technotrenz.com / directorstalkinterviews.com coverage of FY25/26 results)</t>
        </is>
      </c>
      <c r="K34" s="11" t="inlineStr">
        <is>
          <t>N/A — mature public company; completed £300M share buyback FY25/26 and announced a further £300M program (Mar 2026)</t>
        </is>
      </c>
      <c r="L34" s="11" t="inlineStr">
        <is>
          <t>exceeds - mega-brand</t>
        </is>
      </c>
      <c r="M34" s="11" t="n">
        <v>2</v>
      </c>
      <c r="N34" s="11" t="inlineStr">
        <is>
          <t>Stretch</t>
        </is>
      </c>
      <c r="O34" s="11" t="inlineStr">
        <is>
          <t>Passes all hard filters (revenue, valuation, headcount, capacity, audience, ownership, no F1 conflict) but fit score is only 2/4 with a weak brand-to-motorsport story (generic DIY retail, no performance/tech angle).</t>
        </is>
      </c>
      <c r="P34" s="11" t="inlineStr">
        <is>
          <t>Open category — no home-improvement/DIY retailer on the 2026 grid; pair with Silverstone (British GP) timing and a 'precision tools/trade craftsmanship' creative hook (est).</t>
        </is>
      </c>
      <c r="Q34" s="11" t="inlineStr">
        <is>
          <t>Screwfix brand already tracked elsewhere in master (carried from triage flag)</t>
        </is>
      </c>
      <c r="R34" s="11" t="inlineStr">
        <is>
          <t>verified-existing</t>
        </is>
      </c>
      <c r="S34" s="11" t="inlineStr">
        <is>
          <t>2026-09-28</t>
        </is>
      </c>
    </row>
    <row r="35">
      <c r="A35" s="11" t="n">
        <v>32</v>
      </c>
      <c r="B35" s="11" t="n">
        <v>52</v>
      </c>
      <c r="C35" s="11" t="inlineStr">
        <is>
          <t>Nykaa</t>
        </is>
      </c>
      <c r="D35" s="11" t="inlineStr">
        <is>
          <t>nykaa.com</t>
        </is>
      </c>
      <c r="E35" s="11" t="inlineStr">
        <is>
          <t>India</t>
        </is>
      </c>
      <c r="F35" s="11" t="inlineStr">
        <is>
          <t>Publicly traded (NSE/BSE: NYKAA, as FSN E-Commerce Ventures Ltd), founder-led (Falguni Nayar)</t>
        </is>
      </c>
      <c r="G35" s="11" t="inlineStr">
        <is>
          <t>Beauty &amp; personal care e-commerce and retail (India)</t>
        </is>
      </c>
      <c r="H35" s="11" t="inlineStr">
        <is>
          <t>1k-5k</t>
        </is>
      </c>
      <c r="I35" s="11" t="inlineStr">
        <is>
          <t>Rs 10,022.35 crore (~$1.2B) revenue from operations FY2026, +26.07% YoY (FSN E-Commerce Ventures FY26 results, 2026)</t>
        </is>
      </c>
      <c r="J35" s="11" t="inlineStr">
        <is>
          <t>Market cap ~Rs 95,582 crore (~$11.4B), up 44.7% over the past year (stockanalysis.com/tickertape.in, 2026)</t>
        </is>
      </c>
      <c r="K35" s="11" t="inlineStr">
        <is>
          <t>N/A — public company; consolidated net profit +182.97% YoY to Rs 203.94 crore, EBITDA +59% YoY to Rs 752 crore, EBITDA margin expanded to 7.5% FY26 (FSN E-Commerce Ventures FY26 results)</t>
        </is>
      </c>
      <c r="L35" s="11" t="inlineStr">
        <is>
          <t>meets parameters</t>
        </is>
      </c>
      <c r="M35" s="11" t="n">
        <v>2</v>
      </c>
      <c r="N35" s="11" t="inlineStr">
        <is>
          <t>Stretch</t>
        </is>
      </c>
      <c r="O35" s="11" t="inlineStr">
        <is>
          <t>Passes all hard filters (revenue, valuation, headcount, improving profitability/capacity, audience of 52M+ customers, ownership, no F1 conflict) but fit score is only 2/4 — a single-market (India-only) footprint and a beauty brand story with a weak motorsport angle.</t>
        </is>
      </c>
      <c r="P35" s="11" t="inlineStr">
        <is>
          <t>Open beauty/e-commerce category on the grid; angle around India as an F1 growth market (expanding fan base, Indian GP revival discussions) paired with a 'glamour meets speed' beauty activation at race weekends (est).</t>
        </is>
      </c>
      <c r="Q35" s="11" t="n"/>
      <c r="R35" s="11" t="inlineStr">
        <is>
          <t>verified-existing</t>
        </is>
      </c>
      <c r="S35" s="11" t="inlineStr">
        <is>
          <t>2026-09-28</t>
        </is>
      </c>
    </row>
    <row r="36">
      <c r="A36" s="11" t="n">
        <v>33</v>
      </c>
      <c r="B36" s="11" t="n">
        <v>52</v>
      </c>
      <c r="C36" s="11" t="inlineStr">
        <is>
          <t>Reliance Retail</t>
        </is>
      </c>
      <c r="D36" s="11" t="inlineStr">
        <is>
          <t>relianceretail.com</t>
        </is>
      </c>
      <c r="E36" s="11" t="inlineStr">
        <is>
          <t>India</t>
        </is>
      </c>
      <c r="F36" s="11" t="inlineStr">
        <is>
          <t>Private, family-controlled subsidiary of Reliance Industries Ltd (Ambani family); minority PE/SWF stakes (KKR, Silver Lake, GIC, ADIA, Mubadala, PIF, TPG, General Atlantic) in Reliance Retail Ventures</t>
        </is>
      </c>
      <c r="G36" s="11" t="inlineStr">
        <is>
          <t>Retail conglomerate - grocery, consumer electronics, fashion/lifestyle (~20,000 stores)</t>
        </is>
      </c>
      <c r="H36" s="11" t="inlineStr">
        <is>
          <t>10k+</t>
        </is>
      </c>
      <c r="I36" s="11" t="inlineStr">
        <is>
          <t>FY26 gross revenue ~Rs 3,70,026 crore (~$44B est), +11.8% YoY (Reliance Industries FY25-26 results, reported Apr 2026)</t>
        </is>
      </c>
      <c r="J36" s="11" t="inlineStr">
        <is>
          <t>~$100B implied (KKR $250M investment in Reliance Retail Ventures, Sept 2023, TechCrunch)</t>
        </is>
      </c>
      <c r="K36" s="11" t="inlineStr">
        <is>
          <t>KKR invested $250M into Reliance Retail Ventures at $100B valuation, Sept 2023</t>
        </is>
      </c>
      <c r="L36" s="11" t="inlineStr">
        <is>
          <t>exceeds - mega-brand</t>
        </is>
      </c>
      <c r="M36" s="11" t="n">
        <v>2</v>
      </c>
      <c r="N36" s="11" t="inlineStr">
        <is>
          <t>Stretch</t>
        </is>
      </c>
      <c r="O36" s="11" t="inlineStr">
        <is>
          <t>All hard filters pass (revenue ~$44B, valuation ~$100B, no F1 tie found for Reliance/Reliance Retail, private family ownership, 200k+ headcount, ample capacity via parent, mass consumer base not concentrated) but fit_score is only 2/4 with a real reservation: Reliance Retail sells almost exclusively within India and any deal would likely be decided at the Reliance Industries parent level.</t>
        </is>
      </c>
      <c r="P36" s="11" t="inlineStr">
        <is>
          <t>Position via parent Reliance Industries' global energy/tech ambitions and India's growing F1 fandom - 'India's largest retail-tech platform meets the world's fastest-growing sport' (est).</t>
        </is>
      </c>
      <c r="Q36" s="11" t="inlineStr">
        <is>
          <t>parent: Reliance Industries Limited; sponsorship decision likely sits at Reliance Industries parent-group level, not Reliance Retail; single-market (India-only) retail footprint</t>
        </is>
      </c>
      <c r="R36" s="11" t="inlineStr">
        <is>
          <t>verified-existing</t>
        </is>
      </c>
      <c r="S36" s="11" t="inlineStr">
        <is>
          <t>2026-09-28</t>
        </is>
      </c>
    </row>
    <row r="37">
      <c r="A37" s="11" t="n">
        <v>34</v>
      </c>
      <c r="B37" s="11" t="n">
        <v>52</v>
      </c>
      <c r="C37" s="11" t="inlineStr">
        <is>
          <t>Aritzia</t>
        </is>
      </c>
      <c r="D37" s="11" t="inlineStr">
        <is>
          <t>aritzia.com</t>
        </is>
      </c>
      <c r="E37" s="11" t="inlineStr">
        <is>
          <t>Canada</t>
        </is>
      </c>
      <c r="F37" s="11" t="inlineStr">
        <is>
          <t>Publicly traded (TSX: ATZ)</t>
        </is>
      </c>
      <c r="G37" s="11" t="inlineStr">
        <is>
          <t>Contemporary fashion/apparel retail</t>
        </is>
      </c>
      <c r="H37" s="11" t="inlineStr">
        <is>
          <t>5k-10k</t>
        </is>
      </c>
      <c r="I37" s="11" t="inlineStr">
        <is>
          <t>CAD $3,702.1M net revenue FY2026, +35.2% YoY (Aritzia Q4/full-year FY2026 results, ~May 2026)</t>
        </is>
      </c>
      <c r="J37" s="11" t="inlineStr">
        <is>
          <t>CAD $14.1B market cap (Sept 22, 2026, stockanalysis.com)</t>
        </is>
      </c>
      <c r="K37" s="11" t="inlineStr">
        <is>
          <t>N/A - public company; FY2027 guidance of $4.4-4.6B revenue (19-24% growth)</t>
        </is>
      </c>
      <c r="L37" s="11" t="inlineStr">
        <is>
          <t>meets parameters</t>
        </is>
      </c>
      <c r="M37" s="11" t="n">
        <v>2</v>
      </c>
      <c r="N37" s="11" t="inlineStr">
        <is>
          <t>Stretch</t>
        </is>
      </c>
      <c r="O37" s="11" t="inlineStr">
        <is>
          <t>All hard filters pass (revenue CAD$3.7B and +35% growth, market cap CAD$14.1B, no F1 tie found, public ownership, profitable and rapidly growing, broad consumer base) but fit_score is 2/4 with a real reservation - Aritzia's footprint is mostly US/Canada and its brand story doesn't naturally map to performance/precision themes.</t>
        </is>
      </c>
      <c r="P37" s="11" t="inlineStr">
        <is>
          <t>Target the affluent 25-40 female audience that is F1's fastest-growing fan demographic via lifestyle/fashion content tie-ins rather than technical sponsorship framing (est).</t>
        </is>
      </c>
      <c r="Q37" s="11" t="inlineStr">
        <is>
          <t>limited international footprint (primarily North America)</t>
        </is>
      </c>
      <c r="R37" s="11" t="inlineStr">
        <is>
          <t>verified-existing</t>
        </is>
      </c>
      <c r="S37" s="11" t="inlineStr">
        <is>
          <t>2026-09-28</t>
        </is>
      </c>
    </row>
    <row r="38">
      <c r="A38" s="11" t="n">
        <v>35</v>
      </c>
      <c r="B38" s="11" t="n">
        <v>52</v>
      </c>
      <c r="C38" s="11" t="inlineStr">
        <is>
          <t>Bath &amp; Body Works</t>
        </is>
      </c>
      <c r="D38" s="11" t="inlineStr">
        <is>
          <t>bathandbodyworks.com</t>
        </is>
      </c>
      <c r="E38" s="11" t="inlineStr">
        <is>
          <t>USA</t>
        </is>
      </c>
      <c r="F38" s="11" t="inlineStr">
        <is>
          <t>publicly traded (NYSE: BBWI)</t>
        </is>
      </c>
      <c r="G38" s="11" t="inlineStr">
        <is>
          <t>specialty retail (personal care / home fragrance)</t>
        </is>
      </c>
      <c r="H38" s="11" t="inlineStr">
        <is>
          <t>10k+</t>
        </is>
      </c>
      <c r="I38" s="11" t="inlineStr">
        <is>
          <t>$7.29B, FY ended 31 Jan 2026 (SEC filings; stockanalysis.com)</t>
        </is>
      </c>
      <c r="J38" s="11" t="inlineStr">
        <is>
          <t>~$4.14B market cap, NYSE: BBWI, as of Jun 2026 (stockanalysis.com)</t>
        </is>
      </c>
      <c r="K38" s="11" t="inlineStr">
        <is>
          <t>n/a</t>
        </is>
      </c>
      <c r="L38" s="11" t="inlineStr">
        <is>
          <t>meets parameters</t>
        </is>
      </c>
      <c r="M38" s="11" t="n">
        <v>2</v>
      </c>
      <c r="N38" s="11" t="inlineStr">
        <is>
          <t>Stretch</t>
        </is>
      </c>
      <c r="O38" s="11" t="inlineStr">
        <is>
          <t>Hard filters pass: revenue $7.29B, market cap ~$4.14B, no F1 conflicts found, public with no ownership/compliance issues, profitable (EPS $3.11); but fit lands at exactly 2/4 with a weak brand-story angle, since fragrance/personal care doesn't naturally map to F1's performance narrative.</t>
        </is>
      </c>
      <c r="P38" s="11" t="inlineStr">
        <is>
          <t>(est) Lifestyle/gifting activation tied to a US race weekend (Miami or Austin GP), fragrance drop or trackside gifting suite targeting F1's fast-growing female fan base — an underused angle on the current grid.</t>
        </is>
      </c>
      <c r="Q38" s="11" t="n"/>
      <c r="R38" s="11" t="inlineStr">
        <is>
          <t>verified-existing</t>
        </is>
      </c>
      <c r="S38" s="11" t="inlineStr">
        <is>
          <t>2026-09-28</t>
        </is>
      </c>
    </row>
    <row r="39">
      <c r="A39" s="11" t="n">
        <v>36</v>
      </c>
      <c r="B39" s="11" t="n">
        <v>52</v>
      </c>
      <c r="C39" s="11" t="inlineStr">
        <is>
          <t>Jerónimo Martins</t>
        </is>
      </c>
      <c r="D39" s="11" t="inlineStr">
        <is>
          <t>jeronimomartins.com</t>
        </is>
      </c>
      <c r="E39" s="11" t="inlineStr">
        <is>
          <t>Portugal</t>
        </is>
      </c>
      <c r="F39" s="11" t="inlineStr">
        <is>
          <t>publicly traded (Euronext Lisbon: JMT), majority family-controlled (Soares dos Santos family, ~56%)</t>
        </is>
      </c>
      <c r="G39" s="11" t="inlineStr">
        <is>
          <t>grocery retail (Portugal, Poland, Colombia)</t>
        </is>
      </c>
      <c r="H39" s="11" t="inlineStr">
        <is>
          <t>10k+</t>
        </is>
      </c>
      <c r="I39" s="11" t="inlineStr">
        <is>
          <t>€35.99B, FY2025, +7.55% YoY (stockanalysis.com; company reporting)</t>
        </is>
      </c>
      <c r="J39" s="11" t="inlineStr">
        <is>
          <t>~€11.25B market cap, Euronext Lisbon: JMT, 2026 (companiesmarketcap.com)</t>
        </is>
      </c>
      <c r="K39" s="11" t="inlineStr">
        <is>
          <t>n/a</t>
        </is>
      </c>
      <c r="L39" s="11" t="inlineStr">
        <is>
          <t>meets parameters</t>
        </is>
      </c>
      <c r="M39" s="11" t="n">
        <v>2</v>
      </c>
      <c r="N39" s="11" t="inlineStr">
        <is>
          <t>Stretch</t>
        </is>
      </c>
      <c r="O39" s="11" t="inlineStr">
        <is>
          <t>Hard filters pass: revenue €35.99B, market cap ~€11.25B, no F1 conflicts found, public with a family-majority stake (no state/compliance issue), profitable and growing; but fit lands at exactly 2/4 with a weak brand-story angle given the discount-grocery positioning.</t>
        </is>
      </c>
      <c r="P39" s="11" t="inlineStr">
        <is>
          <t>(est) Iberian/Central European reach story tying Biedronka's Polish scale and Pingo Doce's Portuguese base to F1's growing Central/Eastern European fan base, an under-tapped regional angle.</t>
        </is>
      </c>
      <c r="Q39" s="11" t="n"/>
      <c r="R39" s="11" t="inlineStr">
        <is>
          <t>verified-existing</t>
        </is>
      </c>
      <c r="S39" s="11" t="inlineStr">
        <is>
          <t>2026-09-28</t>
        </is>
      </c>
    </row>
    <row r="40">
      <c r="A40" s="11" t="n">
        <v>37</v>
      </c>
      <c r="B40" s="11" t="n">
        <v>52</v>
      </c>
      <c r="C40" s="11" t="inlineStr">
        <is>
          <t>Nordstrom</t>
        </is>
      </c>
      <c r="D40" s="11" t="inlineStr">
        <is>
          <t>nordstrom.com</t>
        </is>
      </c>
      <c r="E40" s="11" t="inlineStr">
        <is>
          <t>USA</t>
        </is>
      </c>
      <c r="F40" s="11" t="inlineStr">
        <is>
          <t>family-controlled (Nordstrom family, 50.1%) + El Puerto de Liverpool (Mexican retail group, 49.9%), private since May 2025</t>
        </is>
      </c>
      <c r="G40" s="11" t="inlineStr">
        <is>
          <t>department store / e-commerce (fashion retail)</t>
        </is>
      </c>
      <c r="H40" s="11" t="inlineStr">
        <is>
          <t>10k+</t>
        </is>
      </c>
      <c r="I40" s="11" t="inlineStr">
        <is>
          <t>$14-15B (est), based on last public FY filings prior to May 2025 delisting</t>
        </is>
      </c>
      <c r="J40" s="11" t="inlineStr">
        <is>
          <t>$6.25B take-private deal value, completed 20 May 2025 (CNBC; Nordstrom press release)</t>
        </is>
      </c>
      <c r="K40" s="11" t="inlineStr">
        <is>
          <t>n/a (take-private transaction, not a funding round, completed May 2025)</t>
        </is>
      </c>
      <c r="L40" s="11" t="inlineStr">
        <is>
          <t>meets parameters</t>
        </is>
      </c>
      <c r="M40" s="11" t="n">
        <v>2</v>
      </c>
      <c r="N40" s="11" t="inlineStr">
        <is>
          <t>Stretch</t>
        </is>
      </c>
      <c r="O40" s="11" t="inlineStr">
        <is>
          <t>Hard filters pass: $6.25B take-private valuation dated May 2025, revenue in the $14-15B range, no F1 conflicts found, family plus strategic-partner ownership with no compliance issue; but fit is exactly 2/4 (affluent buyers plus open category only), and there is a genuine reservation about discretionary marketing capacity so soon after a leveraged take-private in a challenged department-store sector.</t>
        </is>
      </c>
      <c r="P40" s="11" t="inlineStr">
        <is>
          <t>(est) Affluent-fashion crossover: position Nordstrom as F1's first major department-store partner, leaning into the sport's newly affluent US fan base (Miami, Las Vegas, Austin GPs) with in-store and trackside style activations.</t>
        </is>
      </c>
      <c r="Q40" s="11" t="inlineStr">
        <is>
          <t>recently taken private (May 2025) — post-buyout discretionary spending capacity not yet demonstrated publicly</t>
        </is>
      </c>
      <c r="R40" s="11" t="inlineStr">
        <is>
          <t>verified-existing</t>
        </is>
      </c>
      <c r="S40" s="11" t="inlineStr">
        <is>
          <t>2026-09-28</t>
        </is>
      </c>
    </row>
    <row r="41">
      <c r="A41" s="11" t="n">
        <v>38</v>
      </c>
      <c r="B41" s="11" t="n">
        <v>52</v>
      </c>
      <c r="C41" s="11" t="inlineStr">
        <is>
          <t>Primark (Associated British Foods)</t>
        </is>
      </c>
      <c r="D41" s="11" t="inlineStr">
        <is>
          <t>primark.com</t>
        </is>
      </c>
      <c r="E41" s="11" t="inlineStr">
        <is>
          <t>Ireland (Primark); parent Associated British Foods plc HQ in London, UK</t>
        </is>
      </c>
      <c r="F41" s="11" t="inlineStr">
        <is>
          <t>wholly-owned division of Associated British Foods plc (LSE: ABF, publicly traded); Weston family holds a controlling stake (~54%) via Wittington Investments</t>
        </is>
      </c>
      <c r="G41" s="11" t="inlineStr">
        <is>
          <t>fashion retail (budget/value clothing)</t>
        </is>
      </c>
      <c r="H41" s="11" t="inlineStr">
        <is>
          <t>10k+</t>
        </is>
      </c>
      <c r="I41" s="11" t="inlineStr">
        <is>
          <t>Primark division sales £9.5bn (~$12B) FY2025, ended ~Sep 2025 (ABF Annual Results Announcement, 4 Nov 2025); ABF group revenue £19.5bn (~$25B) FY2025</t>
        </is>
      </c>
      <c r="J41" s="11" t="inlineStr">
        <is>
          <t>parent ABF market cap ~£12.8bn (~$16-17bn) as of Sep 24, 2026 (companiesmarketcap.com); ~$21.3bn per a Sep 20, 2026 estimate (variance across sources)</t>
        </is>
      </c>
      <c r="K41" s="11" t="inlineStr">
        <is>
          <t>n/a (established public parent, not VC-backed)</t>
        </is>
      </c>
      <c r="L41" s="11" t="inlineStr">
        <is>
          <t>exceeds - mega-brand</t>
        </is>
      </c>
      <c r="M41" s="11" t="n">
        <v>2</v>
      </c>
      <c r="N41" s="11" t="inlineStr">
        <is>
          <t>Stretch</t>
        </is>
      </c>
      <c r="O41" s="11" t="inlineStr">
        <is>
          <t>Hard filters pass: revenue/valuation far above bars via parent ABF (£19.5bn group revenue, ~£12.8-16bn+ market cap, 2025/2026 sources); headcount 80,000+ (10k+); no F1 conflicts found; broad mass-retail customer base, not concentrated. Real reservation: fit score only 2/4 -- budget fast-fashion brand story and buyer base don't map well to F1's performance/precision positioning; also wholly-owned by ABF (decision may sit with parent) and ABF group profit fell 13% FY2025.</t>
        </is>
      </c>
      <c r="P41" s="11" t="inlineStr">
        <is>
          <t>Open fashion-retail category + pan-European/US store rollout -- a 'global reach, everyday value' market-timing angle tied to F1's international calendar and mass youth audience, though it must overcome a non-affluent brand positioning.</t>
        </is>
      </c>
      <c r="Q41" s="11" t="inlineStr">
        <is>
          <t>parent: Associated British Foods (no F1 ties found); family-controlled parent (Weston family via Wittington Investments, ~54%); ABF group adjusted operating profit down 13% FY2025 even as Primark profit rose 2% (mixed capacity signal)</t>
        </is>
      </c>
      <c r="R41" s="11" t="inlineStr">
        <is>
          <t>verified-existing</t>
        </is>
      </c>
      <c r="S41" s="11" t="inlineStr">
        <is>
          <t>2026-09-28</t>
        </is>
      </c>
    </row>
    <row r="42">
      <c r="A42" s="11" t="n">
        <v>39</v>
      </c>
      <c r="B42" s="11" t="n">
        <v>52</v>
      </c>
      <c r="C42" s="11" t="inlineStr">
        <is>
          <t>ASOS</t>
        </is>
      </c>
      <c r="D42" s="11" t="inlineStr">
        <is>
          <t>asos.com</t>
        </is>
      </c>
      <c r="E42" s="11" t="inlineStr">
        <is>
          <t>United Kingdom</t>
        </is>
      </c>
      <c r="F42" s="11" t="inlineStr">
        <is>
          <t>Publicly traded (LSE: ASC); largest shareholder Anders Holch Povlsen (also owner of Bestseller/Jack &amp; Jones)</t>
        </is>
      </c>
      <c r="G42" s="11" t="inlineStr">
        <is>
          <t>fashion e-commerce</t>
        </is>
      </c>
      <c r="H42" s="11" t="inlineStr">
        <is>
          <t>1k-5k</t>
        </is>
      </c>
      <c r="I42" s="11" t="inlineStr">
        <is>
          <t>£2,464.8M for FY25 (52 weeks to 31 Aug 2025), down from £2,905.8M in FY24 (ASOS plc FY25 results, Nov 20, 2025)</t>
        </is>
      </c>
      <c r="J42" s="11" t="inlineStr">
        <is>
          <t>Market cap ~£320.48M as of late 2025/2026 (companiesmarketcap.com) - well below the $1B hard bar</t>
        </is>
      </c>
      <c r="K42" s="11" t="inlineStr">
        <is>
          <t>N/A - publicly traded; total borrowings reduced 27% YoY to £503.6M in FY25 (deleveraging, not a capital raise)</t>
        </is>
      </c>
      <c r="L42" s="11" t="inlineStr">
        <is>
          <t>meets parameters</t>
        </is>
      </c>
      <c r="M42" s="11" t="n">
        <v>2</v>
      </c>
      <c r="N42" s="11" t="inlineStr">
        <is>
          <t>Stretch</t>
        </is>
      </c>
      <c r="O42" s="11" t="inlineStr">
        <is>
          <t>Revenue (£2.46B FY25) clears the hard bar; no current direct or parent F1 tie (2014 McLaren sponsorship via a related shareholder entity has lapsed and is not on McLaren's current partner list). However ongoing restructuring, a £298.4M net loss, and a market cap (£320M) far below the $1B valuation bar raise a real capacity-to-spend reservation; fit score sits at the minimum qualifying level of 2.</t>
        </is>
      </c>
      <c r="P42" s="11" t="inlineStr">
        <is>
          <t>Fashion/lifestyle category currently open on the grid; F1's younger, fashion-conscious fanbase (post-Drive to Survive) aligns with ASOS's core demographic - a paddock/fan-engagement style activation, contingent on confirming the FY26 financial turnaround holds.</t>
        </is>
      </c>
      <c r="Q42" s="11" t="inlineStr">
        <is>
          <t>financial distress/restructuring; FY25 net loss of £298.4M despite adjusted EBITDA improving £51.5M YoY; market cap (~£320M) far below revenue scale, signalling financial strain; historic (2014) McLaren sponsorship via Jack &amp; Jones/shareholder Povlsen - not a current ASOS tie, and Jack &amp; Jones is now on Haas, a different 2026-grid team, via the same major shareholder - worth a compliance/perception note though not a direct or parent tie</t>
        </is>
      </c>
      <c r="R42" s="11" t="inlineStr">
        <is>
          <t>verified-existing</t>
        </is>
      </c>
      <c r="S42" s="11" t="inlineStr">
        <is>
          <t>2026-09-28</t>
        </is>
      </c>
    </row>
    <row r="43">
      <c r="A43" s="11" t="n">
        <v>40</v>
      </c>
      <c r="B43" s="11" t="n">
        <v>52</v>
      </c>
      <c r="C43" s="11" t="inlineStr">
        <is>
          <t>Beyond Inc (Overstock/Bed Bath &amp; Beyond)</t>
        </is>
      </c>
      <c r="D43" s="11" t="inlineStr">
        <is>
          <t>beyond.com</t>
        </is>
      </c>
      <c r="E43" s="11" t="inlineStr">
        <is>
          <t>USA</t>
        </is>
      </c>
      <c r="F43" s="11" t="inlineStr">
        <is>
          <t>Publicly traded (NYSE: BYON)</t>
        </is>
      </c>
      <c r="G43" s="11" t="inlineStr">
        <is>
          <t>e-commerce retail (home goods)</t>
        </is>
      </c>
      <c r="H43" s="11" t="inlineStr">
        <is>
          <t>201-1k</t>
        </is>
      </c>
      <c r="I43" s="11" t="inlineStr">
        <is>
          <t>FY2025 revenue ~$1.0B (est. from quarterly run-rate); Q2 2025 revenue $282M (+22% sequentially, but -29.1% YoY); Q1 2025 revenue $232M (-39% YoY) (SEC 8-K filings, Investing.com, Aug 2025)</t>
        </is>
      </c>
      <c r="J43" s="11" t="inlineStr">
        <is>
          <t>Market cap ~$0.54B as of Oct 31, 2025 (stockanalysis.com) - below the $1B hard bar</t>
        </is>
      </c>
      <c r="K43" s="11" t="inlineStr">
        <is>
          <t>N/A - publicly traded, no recent equity raise identified; company financed via balance sheet/cash ($155.9M cash+inventory as of Q2 2025)</t>
        </is>
      </c>
      <c r="L43" s="11" t="inlineStr">
        <is>
          <t>meets parameters</t>
        </is>
      </c>
      <c r="M43" s="11" t="n">
        <v>2</v>
      </c>
      <c r="N43" s="11" t="inlineStr">
        <is>
          <t>Stretch</t>
        </is>
      </c>
      <c r="O43" s="11" t="inlineStr">
        <is>
          <t>Revenue (~$1.0B FY25 est.) clears the hard bar; no F1 conflict found; ownership is standard public/NYSE with no state or compliance issues. However revenue is still declining YoY and the company remains unprofitable (adjusted EBITDA loss), a real capacity reservation consistent with its post-bankruptcy restructuring; fit score of 2 with a fairly generic brand story.</t>
        </is>
      </c>
      <c r="P43" s="11" t="inlineStr">
        <is>
          <t>Home/lifestyle retail category open on the grid; position around F1 race-weekend 'watch party' home-entertaining merchandising tied to Beyond's home-goods catalog, framed as part of its ongoing brand relaunch story - contingent on the turnaround continuing.</t>
        </is>
      </c>
      <c r="Q43" s="11" t="inlineStr">
        <is>
          <t>financial distress since BBBY bankruptcy (2023); revenue still declining YoY (-29% in Q2 2025) despite sequential improvement and narrowing losses; adjusted EBITDA still a loss ($8M in Q2 2025, improving 78% YoY)</t>
        </is>
      </c>
      <c r="R43" s="11" t="inlineStr">
        <is>
          <t>verified-existing</t>
        </is>
      </c>
      <c r="S43" s="11" t="inlineStr">
        <is>
          <t>2026-09-28</t>
        </is>
      </c>
    </row>
    <row r="44">
      <c r="A44" s="11" t="n">
        <v>41</v>
      </c>
      <c r="B44" s="11" t="n">
        <v>52</v>
      </c>
      <c r="C44" s="11" t="inlineStr">
        <is>
          <t>Blibli (Global Digital Niaga)</t>
        </is>
      </c>
      <c r="D44" s="11" t="inlineStr">
        <is>
          <t>blibli.com</t>
        </is>
      </c>
      <c r="E44" s="11" t="inlineStr">
        <is>
          <t>Indonesia</t>
        </is>
      </c>
      <c r="F44" s="11" t="inlineStr">
        <is>
          <t>Publicly traded (IDX: BELI); parent/major shareholder Djarum Group (private Indonesian conglomerate, no F1 ties)</t>
        </is>
      </c>
      <c r="G44" s="11" t="inlineStr">
        <is>
          <t>omnichannel marketplace</t>
        </is>
      </c>
      <c r="H44" s="11" t="inlineStr">
        <is>
          <t>1k-5k</t>
        </is>
      </c>
      <c r="I44" s="11" t="inlineStr">
        <is>
          <t>IDR 22.36 trillion (~$1.4B est.) in FY2025, up 33.77% YoY (idnfinancials/stockanalysis, 2025 full-year results)</t>
        </is>
      </c>
      <c r="J44" s="11" t="inlineStr">
        <is>
          <t>Market cap ~$2.05B as of Aug 21, 2026 (companiesmarketcap.com), 137B shares outstanding</t>
        </is>
      </c>
      <c r="K44" s="11" t="inlineStr">
        <is>
          <t>N/A - publicly traded (IDX IPO 2022); no recent capital raise identified</t>
        </is>
      </c>
      <c r="L44" s="11" t="inlineStr">
        <is>
          <t>meets parameters</t>
        </is>
      </c>
      <c r="M44" s="11" t="n">
        <v>2</v>
      </c>
      <c r="N44" s="11" t="inlineStr">
        <is>
          <t>Stretch</t>
        </is>
      </c>
      <c r="O44" s="11" t="inlineStr">
        <is>
          <t>Both hard bars pass comfortably: FY25 revenue ~$1.4B (+34% YoY) and market cap ~$2.05B, both confirmed as of 2025-2026. No F1 conflict found; ownership (Djarum-linked, IDX-listed) carries no compliance issue. However Blibli is Indonesia-only with no multi-market F1 relevance and is still loss-making (albeit improving), giving a fit score of 2 with a weak international angle.</t>
        </is>
      </c>
      <c r="P44" s="11" t="inlineStr">
        <is>
          <t>Indonesia's digital-economy growth story - tech-driven omnichannel commerce positioned as an early Southeast Asian brand association ahead of any future regional F1 push, paired with race-weekend e-commerce promotions.</t>
        </is>
      </c>
      <c r="Q44" s="11" t="inlineStr">
        <is>
          <t>still net loss-making: -IDR 2,278.88B in FY2025, though narrowing -9.97% YoY; single-market operator (Indonesia only) limits multi-market F1 marketing value; parent: Djarum Group (large private conglomerate, no F1 ties)</t>
        </is>
      </c>
      <c r="R44" s="11" t="inlineStr">
        <is>
          <t>verified-existing</t>
        </is>
      </c>
      <c r="S44" s="11" t="inlineStr">
        <is>
          <t>2026-09-28</t>
        </is>
      </c>
    </row>
    <row r="45">
      <c r="A45" s="11" t="n">
        <v>42</v>
      </c>
      <c r="B45" s="11" t="n">
        <v>52</v>
      </c>
      <c r="C45" s="11" t="inlineStr">
        <is>
          <t>Magazine Luiza (Magalu)</t>
        </is>
      </c>
      <c r="D45" s="11" t="inlineStr">
        <is>
          <t>magazineluiza.com.br</t>
        </is>
      </c>
      <c r="E45" s="11" t="inlineStr">
        <is>
          <t>Brazil</t>
        </is>
      </c>
      <c r="F45" s="11" t="inlineStr">
        <is>
          <t>Publicly traded (B3: MGLU3); founder Trajano family are largest shareholders, no state ties</t>
        </is>
      </c>
      <c r="G45" s="11" t="inlineStr">
        <is>
          <t>omnichannel marketplace/retail</t>
        </is>
      </c>
      <c r="H45" s="11" t="inlineStr">
        <is>
          <t>10k+</t>
        </is>
      </c>
      <c r="I45" s="11" t="inlineStr">
        <is>
          <t>Q3 2025 gross revenue BRL 11.3B (+1.4% YoY), annualizing to roughly BRL 45B (~$8.5B est.) (Investing.com/Yahoo Finance Q3 2025 earnings call, Nov 2025)</t>
        </is>
      </c>
      <c r="J45" s="11" t="inlineStr">
        <is>
          <t>Market cap BRL 4.49B (~$850M est.) as of Sept 4, 2026 (stockanalysis.com) - below the $1B hard bar</t>
        </is>
      </c>
      <c r="K45" s="11" t="inlineStr">
        <is>
          <t>N/A - publicly traded; total cash position BRL 7.6B as of Q3 2025, no recent equity raise identified</t>
        </is>
      </c>
      <c r="L45" s="11" t="inlineStr">
        <is>
          <t>exceeds - mega-brand</t>
        </is>
      </c>
      <c r="M45" s="11" t="n">
        <v>2</v>
      </c>
      <c r="N45" s="11" t="inlineStr">
        <is>
          <t>Stretch</t>
        </is>
      </c>
      <c r="O45" s="11" t="inlineStr">
        <is>
          <t>Annualized revenue (~BRL45B/$8.5B) clears the hard bar comfortably even though market cap (~$850M) falls short of $1B; no F1 conflict found; ownership carries no compliance issue; profitability is near-breakeven with a strong cash position, not true distress. However Magalu operates in Brazil only, limiting the multi-market fit criteria to a score of 2, despite a strong home-Grand-Prix angle.</t>
        </is>
      </c>
      <c r="P45" s="11" t="inlineStr">
        <is>
          <t>Home Grand Prix angle - Magalu as official retail/AI-commerce partner activating around the São Paulo GP (Interlagos), leveraging its 'Lu' AI brand ambassador for a hyper-local, tech-forward F1 fan campaign in Brazil's largest e-commerce market.</t>
        </is>
      </c>
      <c r="Q45" s="11" t="inlineStr">
        <is>
          <t>single-market operator (Brazil) despite a strong home-market angle via the São Paulo Grand Prix; minor adjusted net loss (R$34M) in Q3 2025 due to high interest-rate financial expenses, not operational distress</t>
        </is>
      </c>
      <c r="R45" s="11" t="inlineStr">
        <is>
          <t>verified-existing</t>
        </is>
      </c>
      <c r="S45" s="11" t="inlineStr">
        <is>
          <t>2026-09-28</t>
        </is>
      </c>
    </row>
    <row r="46">
      <c r="A46" s="11" t="n">
        <v>43</v>
      </c>
      <c r="B46" s="11" t="n">
        <v>52</v>
      </c>
      <c r="C46" s="11" t="inlineStr">
        <is>
          <t>Macy's</t>
        </is>
      </c>
      <c r="D46" s="11" t="inlineStr">
        <is>
          <t>macys.com</t>
        </is>
      </c>
      <c r="E46" s="11" t="inlineStr">
        <is>
          <t>USA</t>
        </is>
      </c>
      <c r="F46" s="11" t="inlineStr">
        <is>
          <t>Publicly traded (NYSE: M), no controlling shareholder</t>
        </is>
      </c>
      <c r="G46" s="11" t="inlineStr">
        <is>
          <t>department store retail</t>
        </is>
      </c>
      <c r="H46" s="11" t="inlineStr">
        <is>
          <t>10k+</t>
        </is>
      </c>
      <c r="I46" s="11" t="inlineStr">
        <is>
          <t>TTM revenue $22.72B as of Sept 2026; FY2026 guidance $21.675-21.825B, 5th straight quarter of comp growth (Macy's Inc Q1/Q2 2026 results, businesswire.com/SEC 8-K)</t>
        </is>
      </c>
      <c r="J46" s="11" t="inlineStr">
        <is>
          <t>Market cap ~$5.9B as of Sept 27, 2026 (stockanalysis.com) — passes the &gt;$1B hard bar</t>
        </is>
      </c>
      <c r="K46" s="11" t="inlineStr">
        <is>
          <t>N/A (public company)</t>
        </is>
      </c>
      <c r="L46" s="11" t="inlineStr">
        <is>
          <t>meets parameters</t>
        </is>
      </c>
      <c r="M46" s="11" t="n">
        <v>2</v>
      </c>
      <c r="N46" s="11" t="inlineStr">
        <is>
          <t>Stretch</t>
        </is>
      </c>
      <c r="O46" s="11" t="inlineStr">
        <is>
          <t>Hard filters pass — revenue $22.7B, market cap $5.9B, 90,000+ employees, 5 straight quarters of comp growth with raised guidance (clearly improving, not distress), broad audience — but fit is exactly 2/4 with a weak performance/tech angle, which the protocol caps at Stretch.</t>
        </is>
      </c>
      <c r="P46" s="11" t="inlineStr">
        <is>
          <t>Bloomingdale's affluent-shopper hospitality/VIP-experience tie-in around a Grand Prix weekend — leans on the luxury banner rather than core Macy's.</t>
        </is>
      </c>
      <c r="Q46" s="11" t="inlineStr">
        <is>
          <t>ongoing store rationalization/closures, though comps have been positive for 5 straight quarters and guidance was raised</t>
        </is>
      </c>
      <c r="R46" s="11" t="inlineStr">
        <is>
          <t>verified-existing</t>
        </is>
      </c>
      <c r="S46" s="11" t="inlineStr">
        <is>
          <t>2026-09-28</t>
        </is>
      </c>
    </row>
    <row r="47">
      <c r="A47" s="11" t="n">
        <v>44</v>
      </c>
      <c r="B47" s="11" t="n">
        <v>52</v>
      </c>
      <c r="C47" s="11" t="inlineStr">
        <is>
          <t>Veepee (Vente-Privee)</t>
        </is>
      </c>
      <c r="D47" s="11" t="inlineStr">
        <is>
          <t>veepee.com</t>
        </is>
      </c>
      <c r="E47" s="11" t="inlineStr">
        <is>
          <t>France</t>
        </is>
      </c>
      <c r="F47" s="11" t="inlineStr">
        <is>
          <t>Founder-owned (Jacques-Antoine Granjon and family); private, no published valuation</t>
        </is>
      </c>
      <c r="G47" s="11" t="inlineStr">
        <is>
          <t>flash-sales e-commerce</t>
        </is>
      </c>
      <c r="H47" s="11" t="inlineStr">
        <is>
          <t>1k-5k</t>
        </is>
      </c>
      <c r="I47" s="11" t="inlineStr">
        <is>
          <t>€3.3B group turnover FY2024, up from €3.2B FY2023 (Il Sole 24 Ore, reporting 2024 results) — clearly passes the $100M hard bar</t>
        </is>
      </c>
      <c r="J47" s="11" t="inlineStr">
        <is>
          <t>No published valuation — private, founder-owned; passes on revenue alone per family-owned rule</t>
        </is>
      </c>
      <c r="K47" s="11" t="inlineStr">
        <is>
          <t>n/a (family/founder-owned, no external funding raises identified)</t>
        </is>
      </c>
      <c r="L47" s="11" t="inlineStr">
        <is>
          <t>meets parameters</t>
        </is>
      </c>
      <c r="M47" s="11" t="n">
        <v>2</v>
      </c>
      <c r="N47" s="11" t="inlineStr">
        <is>
          <t>Stretch</t>
        </is>
      </c>
      <c r="O47" s="11" t="inlineStr">
        <is>
          <t>Hard filters pass: revenue €3.3B (2024) far above the $100M bar; family-owned with no published valuation passes on revenue alone; headcount ~4,000+ (1k-5k band); mass e-commerce customer base with no concentration risk; no F1 sponsorship conflicts found. Reservation: fit score is only 2 with a weak brand-story angle -&gt; capped at Stretch.</t>
        </is>
      </c>
      <c r="P47" s="11" t="inlineStr">
        <is>
          <t>Pan-European reach into F1's growing fanbase (France, Italy, Spain all host races) — a flash-sale-style limited-edition F1 merchandise/hospitality-ticket drop tied to race weekends (est).</t>
        </is>
      </c>
      <c r="Q47" s="11" t="inlineStr">
        <is>
          <t>family/founder-owned, no published valuation; reported 2023-2024 layoffs/restructuring create some capacity uncertainty despite revenue growth</t>
        </is>
      </c>
      <c r="R47" s="11" t="inlineStr">
        <is>
          <t>verified-existing</t>
        </is>
      </c>
      <c r="S47" s="11" t="inlineStr">
        <is>
          <t>2026-09-28</t>
        </is>
      </c>
    </row>
    <row r="48">
      <c r="A48" s="11" t="n">
        <v>45</v>
      </c>
      <c r="B48" s="11" t="n">
        <v>46</v>
      </c>
      <c r="C48" s="11" t="inlineStr">
        <is>
          <t>Coles Group</t>
        </is>
      </c>
      <c r="D48" s="11" t="inlineStr">
        <is>
          <t>colesgroup.com.au</t>
        </is>
      </c>
      <c r="E48" s="11" t="inlineStr">
        <is>
          <t>Australia</t>
        </is>
      </c>
      <c r="F48" s="11" t="inlineStr">
        <is>
          <t>Publicly traded (ASX: COL), S&amp;P/ASX 200 component; no state ownership</t>
        </is>
      </c>
      <c r="G48" s="11" t="inlineStr">
        <is>
          <t>Grocery retail (supermarkets)</t>
        </is>
      </c>
      <c r="H48" s="11" t="inlineStr">
        <is>
          <t>10k+</t>
        </is>
      </c>
      <c r="I48" s="11" t="inlineStr">
        <is>
          <t>A$44.487B FY2025 — stockanalysis.com, reported 2025</t>
        </is>
      </c>
      <c r="J48" s="11" t="inlineStr">
        <is>
          <t>Market cap A$30.82B (~US$20B) as of Sept 2026 — stockanalysis.com</t>
        </is>
      </c>
      <c r="K48" s="11" t="inlineStr">
        <is>
          <t>N/A (public company); no recent capital raise</t>
        </is>
      </c>
      <c r="L48" s="11" t="inlineStr">
        <is>
          <t>exceeds - mega-brand</t>
        </is>
      </c>
      <c r="M48" s="11" t="n">
        <v>1</v>
      </c>
      <c r="N48" s="11" t="inlineStr">
        <is>
          <t>Stretch</t>
        </is>
      </c>
      <c r="O48" s="11" t="inlineStr">
        <is>
          <t>All hard filters pass (revenue A$44.5B, market cap A$30.8B, headcount 10k+, profitable public company, no F1 conflict found, no ownership issue) but fit_score = 1 — domestic-only footprint and weak brand-story/audience match are a real reservation.</t>
        </is>
      </c>
      <c r="P48" s="11" t="inlineStr">
        <is>
          <t>Australian GP (Melbourne) home-market tie-in as a local activation hook, despite thin global fit (est).</t>
        </is>
      </c>
      <c r="Q48" s="11" t="inlineStr">
        <is>
          <t>single-country operator (Australia only) — limited global activation value</t>
        </is>
      </c>
      <c r="R48" s="11" t="inlineStr">
        <is>
          <t>verified-existing</t>
        </is>
      </c>
      <c r="S48" s="11" t="inlineStr">
        <is>
          <t>2026-09-28</t>
        </is>
      </c>
    </row>
    <row r="49">
      <c r="A49" s="11" t="n">
        <v>46</v>
      </c>
      <c r="B49" s="11" t="n">
        <v>46</v>
      </c>
      <c r="C49" s="11" t="inlineStr">
        <is>
          <t>Lowe's</t>
        </is>
      </c>
      <c r="D49" s="11" t="inlineStr">
        <is>
          <t>lowes.com</t>
        </is>
      </c>
      <c r="E49" s="11" t="inlineStr">
        <is>
          <t>USA</t>
        </is>
      </c>
      <c r="F49" s="11" t="inlineStr">
        <is>
          <t>Publicly traded (NYSE: LOW); no state ownership</t>
        </is>
      </c>
      <c r="G49" s="11" t="inlineStr">
        <is>
          <t>Home improvement retail</t>
        </is>
      </c>
      <c r="H49" s="11" t="inlineStr">
        <is>
          <t>10k+</t>
        </is>
      </c>
      <c r="I49" s="11" t="inlineStr">
        <is>
          <t>$86.3B FY2025 — stockanalysis.com, reported 2026</t>
        </is>
      </c>
      <c r="J49" s="11" t="inlineStr">
        <is>
          <t>Market cap ~$114.0B as of Sept 2026 — stockanalysis.com</t>
        </is>
      </c>
      <c r="K49" s="11" t="inlineStr">
        <is>
          <t>N/A (public company); no recent capital raise</t>
        </is>
      </c>
      <c r="L49" s="11" t="inlineStr">
        <is>
          <t>exceeds - mega-brand</t>
        </is>
      </c>
      <c r="M49" s="11" t="n">
        <v>1</v>
      </c>
      <c r="N49" s="11" t="inlineStr">
        <is>
          <t>Stretch</t>
        </is>
      </c>
      <c r="O49" s="11" t="inlineStr">
        <is>
          <t>Hard filters pass (revenue $86.3B, market cap $114B, headcount 10k+, profitable public company, no current F1 conflict, no ownership issue) but fit_score = 1: US/Canada-only footprint and weak brand-story/audience match are a real reservation.</t>
        </is>
      </c>
      <c r="P49" s="11" t="inlineStr">
        <is>
          <t>Leverage 18-year NASCAR sponsorship history to pitch F1 as the next motorsport platform for a DIY/builder brand story (est).</t>
        </is>
      </c>
      <c r="Q49" s="11" t="inlineStr">
        <is>
          <t>prior motorsport spend was NASCAR (Jimmie Johnson, 2002-2018; also naming rights to Charlotte Motor Speedway 1999-2009), not F1 — signals openness to racing sponsorship generally, but no current F1/NASCAR tie</t>
        </is>
      </c>
      <c r="R49" s="11" t="inlineStr">
        <is>
          <t>verified-existing</t>
        </is>
      </c>
      <c r="S49" s="11" t="inlineStr">
        <is>
          <t>2026-09-28</t>
        </is>
      </c>
    </row>
    <row r="50">
      <c r="A50" s="11" t="n">
        <v>47</v>
      </c>
      <c r="B50" s="11" t="n">
        <v>46</v>
      </c>
      <c r="C50" s="11" t="inlineStr">
        <is>
          <t>Meesho</t>
        </is>
      </c>
      <c r="D50" s="11" t="inlineStr">
        <is>
          <t>meesho.com</t>
        </is>
      </c>
      <c r="E50" s="11" t="inlineStr">
        <is>
          <t>India</t>
        </is>
      </c>
      <c r="F50" s="11" t="inlineStr">
        <is>
          <t>Publicly traded post-IPO (NSE/BSE; IPO completed Dec 10, 2025); previously VC-backed (SoftBank, Prosus, Peak XV, Elevation Capital)</t>
        </is>
      </c>
      <c r="G50" s="11" t="inlineStr">
        <is>
          <t>Social-commerce marketplace (value/budget e-commerce)</t>
        </is>
      </c>
      <c r="H50" s="11" t="inlineStr">
        <is>
          <t>5k-10k</t>
        </is>
      </c>
      <c r="I50" s="11" t="inlineStr">
        <is>
          <t>₹9,389 crore (~$970M) FY25 — IPO disclosures via affluense.ai/finnovate.in, reported late 2025</t>
        </is>
      </c>
      <c r="J50" s="11" t="inlineStr">
        <is>
          <t>~₹52,500-53,000 crore (~$5.6-6B) post-money, ~5-6x FY25 revenue, per IPO-era estimates (Dec 2025)</t>
        </is>
      </c>
      <c r="K50" s="11" t="inlineStr">
        <is>
          <t>IPO completed Dec 10, 2025 (₹5,421.2cr issue, incl. ₹4,250cr fresh issue); prior private round: Series F $270M, Jan 27, 2025 — Tracxn</t>
        </is>
      </c>
      <c r="L50" s="11" t="inlineStr">
        <is>
          <t>meets parameters</t>
        </is>
      </c>
      <c r="M50" s="11" t="n">
        <v>1</v>
      </c>
      <c r="N50" s="11" t="inlineStr">
        <is>
          <t>Stretch</t>
        </is>
      </c>
      <c r="O50" s="11" t="inlineStr">
        <is>
          <t>Hard filters pass: revenue ~$970M FY25 (&gt;$100M bar), valuation ~$5.6-6B (&gt;$1B bar), now public and well-capitalized post-IPO, headcount 5k-10k, no F1 conflict found, no ownership issue. But fit_score = 1 — India-only footprint and weak brand-story/audience match are a real reservation.</t>
        </is>
      </c>
      <c r="P50" s="11" t="inlineStr">
        <is>
          <t>India-market-timing story (no current F1 race in India but a large, fast-growing fanbase) paired with social-commerce's mass-reach digital marketing model (est).</t>
        </is>
      </c>
      <c r="Q50" s="11" t="inlineStr">
        <is>
          <t>single-market (India) audience; recently IPO'd (Dec 2025) — capital allocation priorities may still be settling</t>
        </is>
      </c>
      <c r="R50" s="11" t="inlineStr">
        <is>
          <t>verified-existing</t>
        </is>
      </c>
      <c r="S50" s="11" t="inlineStr">
        <is>
          <t>2026-09-28</t>
        </is>
      </c>
    </row>
    <row r="51">
      <c r="A51" s="11" t="n">
        <v>48</v>
      </c>
      <c r="B51" s="11" t="n">
        <v>46</v>
      </c>
      <c r="C51" s="11" t="inlineStr">
        <is>
          <t>Loblaw Companies</t>
        </is>
      </c>
      <c r="D51" s="11" t="inlineStr">
        <is>
          <t>loblaw.ca</t>
        </is>
      </c>
      <c r="E51" s="11" t="inlineStr">
        <is>
          <t>Canada</t>
        </is>
      </c>
      <c r="F51" s="11" t="inlineStr">
        <is>
          <t>Publicly traded (TSX: L); majority-controlled by the Weston family via George Weston Limited (~53%)</t>
        </is>
      </c>
      <c r="G51" s="11" t="inlineStr">
        <is>
          <t>Grocery/retail (Loblaws, No Frills, Shoppers Drug Mart, President's Choice)</t>
        </is>
      </c>
      <c r="H51" s="11" t="inlineStr">
        <is>
          <t>10k+</t>
        </is>
      </c>
      <c r="I51" s="11" t="inlineStr">
        <is>
          <t>C$63.67B revenue FY2025 (TTM ~C$64.25B, +6.3% YoY), per stockanalysis.com Loblaw financials, data as of Aug 2026</t>
        </is>
      </c>
      <c r="J51" s="11" t="inlineStr">
        <is>
          <t>Market cap ~C$71.99B, as of Aug 2026 (Eulerpool/companiesmarketcap.com)</t>
        </is>
      </c>
      <c r="K51" s="11" t="inlineStr">
        <is>
          <t>N/A — mature public company; Q2 2025 adjusted EPS grew +11.6% YoY, steady profit growth (Investing.com Q2 2025 coverage)</t>
        </is>
      </c>
      <c r="L51" s="11" t="inlineStr">
        <is>
          <t>exceeds - mega-brand</t>
        </is>
      </c>
      <c r="M51" s="11" t="n">
        <v>1</v>
      </c>
      <c r="N51" s="11" t="inlineStr">
        <is>
          <t>Stretch</t>
        </is>
      </c>
      <c r="O51" s="11" t="inlineStr">
        <is>
          <t>Passes all hard filters (revenue, valuation, headcount, capacity, audience, ownership, no F1 conflict) but fit score is only 1/4 — a single-market (Canada-only) grocery retailer with no natural motorsport or global-brand story.</t>
        </is>
      </c>
      <c r="P51" s="11" t="inlineStr">
        <is>
          <t>Weak fit overall; if pursued, angle would be a Canadian market-exclusivity story tied to F1's growing North American push (Canadian GP territory) (est).</t>
        </is>
      </c>
      <c r="Q51" s="11" t="n"/>
      <c r="R51" s="11" t="inlineStr">
        <is>
          <t>verified-existing</t>
        </is>
      </c>
      <c r="S51" s="11" t="inlineStr">
        <is>
          <t>2026-09-28</t>
        </is>
      </c>
    </row>
    <row r="52">
      <c r="A52" s="11" t="n">
        <v>49</v>
      </c>
      <c r="B52" s="11" t="n">
        <v>46</v>
      </c>
      <c r="C52" s="11" t="inlineStr">
        <is>
          <t>Woolworths Group</t>
        </is>
      </c>
      <c r="D52" s="11" t="inlineStr">
        <is>
          <t>woolworthsgroup.com.au</t>
        </is>
      </c>
      <c r="E52" s="11" t="inlineStr">
        <is>
          <t>Australia</t>
        </is>
      </c>
      <c r="F52" s="11" t="inlineStr">
        <is>
          <t>Publicly traded (ASX: WOW)</t>
        </is>
      </c>
      <c r="G52" s="11" t="inlineStr">
        <is>
          <t>Grocery/supermarket retail (Australia &amp; New Zealand)</t>
        </is>
      </c>
      <c r="H52" s="11" t="inlineStr">
        <is>
          <t>10k+</t>
        </is>
      </c>
      <c r="I52" s="11" t="inlineStr">
        <is>
          <t>AU$71.5B FY26 Group sales, +3.6% YoY; NPAT before significant items AU$1.60B, +15.4% YoY (Woolworths FY26 results, Aug 26, 2026, fool.com.au)</t>
        </is>
      </c>
      <c r="J52" s="11" t="inlineStr">
        <is>
          <t>A$46.76B market cap (Sept 2026, gurufocus/stockanalysis)</t>
        </is>
      </c>
      <c r="K52" s="11" t="inlineStr">
        <is>
          <t>N/A - public company; final dividend 52c/share, +15.6% YoY</t>
        </is>
      </c>
      <c r="L52" s="11" t="inlineStr">
        <is>
          <t>exceeds - mega-brand</t>
        </is>
      </c>
      <c r="M52" s="11" t="n">
        <v>1</v>
      </c>
      <c r="N52" s="11" t="inlineStr">
        <is>
          <t>Stretch</t>
        </is>
      </c>
      <c r="O52" s="11" t="inlineStr">
        <is>
          <t>All hard filters pass (revenue A$71.5B, market cap A$46.76B, no F1 tie found, public ownership, 180k+ headcount, profitable and growing, mass customer base not concentrated) but fit_score is only 1/4 - Woolworths sells in just two countries and has no natural performance/technology narrative, a real reservation on F1 fit despite financial strength.</t>
        </is>
      </c>
      <c r="P52" s="11" t="inlineStr">
        <is>
          <t>Local activation tied to the Australian Grand Prix (Melbourne) leveraging Woolworths' home-market dominance and Everyday Rewards loyalty data, rather than a global grid play (est).</t>
        </is>
      </c>
      <c r="Q52" s="11" t="inlineStr">
        <is>
          <t>narrow geographic footprint (Australia/NZ only); weak brand-story fit to performance/technology/precision themes</t>
        </is>
      </c>
      <c r="R52" s="11" t="inlineStr">
        <is>
          <t>verified-existing</t>
        </is>
      </c>
      <c r="S52" s="11" t="inlineStr">
        <is>
          <t>2026-09-28</t>
        </is>
      </c>
    </row>
    <row r="53">
      <c r="A53" s="11" t="n">
        <v>50</v>
      </c>
      <c r="B53" s="11" t="n">
        <v>46</v>
      </c>
      <c r="C53" s="11" t="inlineStr">
        <is>
          <t>Boot Barn</t>
        </is>
      </c>
      <c r="D53" s="11" t="inlineStr">
        <is>
          <t>bootbarn.com</t>
        </is>
      </c>
      <c r="E53" s="11" t="inlineStr">
        <is>
          <t>USA</t>
        </is>
      </c>
      <c r="F53" s="11" t="inlineStr">
        <is>
          <t>Publicly traded (NYSE: BOOT)</t>
        </is>
      </c>
      <c r="G53" s="11" t="inlineStr">
        <is>
          <t>Western wear &amp; workwear retail</t>
        </is>
      </c>
      <c r="H53" s="11" t="inlineStr">
        <is>
          <t>5k-10k</t>
        </is>
      </c>
      <c r="I53" s="11" t="inlineStr">
        <is>
          <t>$2.25B FY2026 (year ended Mar 28, 2026), +17.9% YoY, record operating income $299M (Boot Barn FY2026 results, ~May 2026)</t>
        </is>
      </c>
      <c r="J53" s="11" t="inlineStr">
        <is>
          <t>~$3.78B market cap (Sept 24, 2026, stockanalysis.com)</t>
        </is>
      </c>
      <c r="K53" s="11" t="inlineStr">
        <is>
          <t>N/A - public company; TAM raised from $40B to $58B, store target raised to 1,200 (FY2026 results)</t>
        </is>
      </c>
      <c r="L53" s="11" t="inlineStr">
        <is>
          <t>meets parameters</t>
        </is>
      </c>
      <c r="M53" s="11" t="n">
        <v>1</v>
      </c>
      <c r="N53" s="11" t="inlineStr">
        <is>
          <t>Stretch</t>
        </is>
      </c>
      <c r="O53" s="11" t="inlineStr">
        <is>
          <t>All hard filters pass (revenue $2.25B and +18% growth, market cap ~$3.78B, no F1 tie found, public ownership, clearly improving/record earnings, broad customer base not concentrated) but fit_score is only 1/4 - Boot Barn is a US-only retailer with a Western/workwear audience that doesn't map naturally to F1's global, performance-driven audience.</t>
        </is>
      </c>
      <c r="P53" s="11" t="inlineStr">
        <is>
          <t>Tie to the US F1 boom (Austin/Miami/Las Vegas GPs) and Americana crossover appeal via a driver merchandise/apparel collab, rather than a global sponsorship pitch (est).</t>
        </is>
      </c>
      <c r="Q53" s="11" t="inlineStr">
        <is>
          <t>US-only retail footprint, no international presence</t>
        </is>
      </c>
      <c r="R53" s="11" t="inlineStr">
        <is>
          <t>verified-existing</t>
        </is>
      </c>
      <c r="S53" s="11" t="inlineStr">
        <is>
          <t>2026-09-28</t>
        </is>
      </c>
    </row>
    <row r="54">
      <c r="A54" s="11" t="n">
        <v>51</v>
      </c>
      <c r="B54" s="11" t="n">
        <v>46</v>
      </c>
      <c r="C54" s="11" t="inlineStr">
        <is>
          <t>Very Group</t>
        </is>
      </c>
      <c r="D54" s="11" t="inlineStr">
        <is>
          <t>very.co.uk</t>
        </is>
      </c>
      <c r="E54" s="11" t="inlineStr">
        <is>
          <t>United Kingdom</t>
        </is>
      </c>
      <c r="F54" s="11" t="inlineStr">
        <is>
          <t>family-owned (Barclay family), private</t>
        </is>
      </c>
      <c r="G54" s="11" t="inlineStr">
        <is>
          <t>e-commerce retail (catalog/credit retail, UK &amp; Ireland)</t>
        </is>
      </c>
      <c r="H54" s="11" t="inlineStr">
        <is>
          <t>1k-5k</t>
        </is>
      </c>
      <c r="I54" s="11" t="inlineStr">
        <is>
          <t>£2.09B, FY25 (52 weeks to 28 Jun 2025), reported Oct 2025 (theverygroup.com)</t>
        </is>
      </c>
      <c r="J54" s="11" t="inlineStr">
        <is>
          <t>n/a (private, family-owned, no published valuation)</t>
        </is>
      </c>
      <c r="K54" s="11" t="inlineStr">
        <is>
          <t>n/a (no external funding round; private family ownership)</t>
        </is>
      </c>
      <c r="L54" s="11" t="inlineStr">
        <is>
          <t>meets parameters</t>
        </is>
      </c>
      <c r="M54" s="11" t="n">
        <v>1</v>
      </c>
      <c r="N54" s="11" t="inlineStr">
        <is>
          <t>Stretch</t>
        </is>
      </c>
      <c r="O54" s="11" t="inlineStr">
        <is>
          <t>All hard filters pass (revenue £2.09B FY25, no F1 conflicts found, family-owned with no published valuation passes on revenue alone, profitable with record EBITDA growth of +15.9%, 4.4M active customers) but fit is weak (1/4) given the UK/Ireland-only footprint and a value-retail brand story that doesn't map well to F1.</t>
        </is>
      </c>
      <c r="P54" s="11" t="inlineStr">
        <is>
          <t>(est) Home-market activation around Silverstone (British GP) tied to a loyalty/gifting campaign, leveraging Very's 4.4M active customer base and growing 'Home' category to play a value-for-money counterpoint to premium brands already on the grid.</t>
        </is>
      </c>
      <c r="Q54" s="11" t="inlineStr">
        <is>
          <t>family-owned, no published valuation</t>
        </is>
      </c>
      <c r="R54" s="11" t="inlineStr">
        <is>
          <t>verified-existing</t>
        </is>
      </c>
      <c r="S54" s="11" t="inlineStr">
        <is>
          <t>2026-09-28</t>
        </is>
      </c>
    </row>
    <row r="55">
      <c r="A55" s="11" t="n">
        <v>52</v>
      </c>
      <c r="B55" s="11" t="n">
        <v>46</v>
      </c>
      <c r="C55" s="11" t="inlineStr">
        <is>
          <t>Edeka Group</t>
        </is>
      </c>
      <c r="D55" s="11" t="inlineStr">
        <is>
          <t>edeka.de</t>
        </is>
      </c>
      <c r="E55" s="11" t="inlineStr">
        <is>
          <t>Germany</t>
        </is>
      </c>
      <c r="F55" s="11" t="inlineStr">
        <is>
          <t>cooperative (independent retailer network / Genossenschaft), private</t>
        </is>
      </c>
      <c r="G55" s="11" t="inlineStr">
        <is>
          <t>grocery retail (cooperative, Germany)</t>
        </is>
      </c>
      <c r="H55" s="11" t="inlineStr">
        <is>
          <t>10k+</t>
        </is>
      </c>
      <c r="I55" s="11" t="inlineStr">
        <is>
          <t>€77.3B, FY2025, +2.7% YoY (ESM Magazine; Edeka Group company report 2025)</t>
        </is>
      </c>
      <c r="J55" s="11" t="inlineStr">
        <is>
          <t>n/a (cooperative, no published valuation)</t>
        </is>
      </c>
      <c r="K55" s="11" t="inlineStr">
        <is>
          <t>n/a</t>
        </is>
      </c>
      <c r="L55" s="11" t="inlineStr">
        <is>
          <t>exceeds - mega-brand</t>
        </is>
      </c>
      <c r="M55" s="11" t="n">
        <v>1</v>
      </c>
      <c r="N55" s="11" t="inlineStr">
        <is>
          <t>Stretch</t>
        </is>
      </c>
      <c r="O55" s="11" t="inlineStr">
        <is>
          <t>Revenue (€77.3B) and all other hard filters pass, and no F1 conflict was found, but per the employee-owned/cooperative rule this caps at Stretch regardless of size; fit is also weak (1/4) given the Germany-only footprint and lack of an affluent or performance-linked brand story.</t>
        </is>
      </c>
      <c r="P55" s="11" t="inlineStr">
        <is>
          <t>(est) German home-market tie-in built around Edeka's independent-retailer network and community brand platform — a domestic-loyalty angle rather than a global one, best suited if F1 returns to a German Grand Prix.</t>
        </is>
      </c>
      <c r="Q55" s="11" t="inlineStr">
        <is>
          <t>no published valuation (employee-owned/cooperative); single-market (Germany)</t>
        </is>
      </c>
      <c r="R55" s="11" t="inlineStr">
        <is>
          <t>verified-existing</t>
        </is>
      </c>
      <c r="S55" s="11" t="inlineStr">
        <is>
          <t>2026-09-28</t>
        </is>
      </c>
    </row>
    <row r="56">
      <c r="A56" s="11" t="n">
        <v>53</v>
      </c>
      <c r="B56" s="11" t="n">
        <v>46</v>
      </c>
      <c r="C56" s="11" t="inlineStr">
        <is>
          <t>Mercadona</t>
        </is>
      </c>
      <c r="D56" s="11" t="inlineStr">
        <is>
          <t>mercadona.es</t>
        </is>
      </c>
      <c r="E56" s="11" t="inlineStr">
        <is>
          <t>Spain</t>
        </is>
      </c>
      <c r="F56" s="11" t="inlineStr">
        <is>
          <t>family/private shareholders (Roig family ~50%, Hortensia Herrero ~30%, others), private</t>
        </is>
      </c>
      <c r="G56" s="11" t="inlineStr">
        <is>
          <t>grocery retail (Spain, Portugal)</t>
        </is>
      </c>
      <c r="H56" s="11" t="inlineStr">
        <is>
          <t>10k+</t>
        </is>
      </c>
      <c r="I56" s="11" t="inlineStr">
        <is>
          <t>€41.858B, 2025, +8% YoY, net profit €1.729B (mercadona.es company results)</t>
        </is>
      </c>
      <c r="J56" s="11" t="inlineStr">
        <is>
          <t>n/a (private, family-owned, no published valuation)</t>
        </is>
      </c>
      <c r="K56" s="11" t="inlineStr">
        <is>
          <t>n/a</t>
        </is>
      </c>
      <c r="L56" s="11" t="inlineStr">
        <is>
          <t>meets parameters</t>
        </is>
      </c>
      <c r="M56" s="11" t="n">
        <v>1</v>
      </c>
      <c r="N56" s="11" t="inlineStr">
        <is>
          <t>Stretch</t>
        </is>
      </c>
      <c r="O56" s="11" t="inlineStr">
        <is>
          <t>Hard filters pass: revenue €41.858B (2025) with record profit, family ownership flagged per the family-owned exception, no F1 conflicts found; but fit is weak (1/4), limited to a 2-country Iberian footprint with a value/efficiency brand story that doesn't map to F1's performance narrative.</t>
        </is>
      </c>
      <c r="P56" s="11" t="inlineStr">
        <is>
          <t>(est) Home-market timing play around the new Madrid Grand Prix (from 2026): Spain's largest grocer aligning with Spain now hosting two F1 weekends (Barcelona and Madrid) — a strong local-pride angle even though global reach is limited.</t>
        </is>
      </c>
      <c r="Q56" s="11" t="inlineStr">
        <is>
          <t>family-owned, no published valuation</t>
        </is>
      </c>
      <c r="R56" s="11" t="inlineStr">
        <is>
          <t>verified-existing</t>
        </is>
      </c>
      <c r="S56" s="11" t="inlineStr">
        <is>
          <t>2026-09-28</t>
        </is>
      </c>
    </row>
    <row r="57">
      <c r="A57" s="11" t="n">
        <v>54</v>
      </c>
      <c r="B57" s="11" t="n">
        <v>46</v>
      </c>
      <c r="C57" s="11" t="inlineStr">
        <is>
          <t>Sainsbury's</t>
        </is>
      </c>
      <c r="D57" s="11" t="inlineStr">
        <is>
          <t>sainsburys.co.uk</t>
        </is>
      </c>
      <c r="E57" s="11" t="inlineStr">
        <is>
          <t>United Kingdom</t>
        </is>
      </c>
      <c r="F57" s="11" t="inlineStr">
        <is>
          <t>publicly traded (LSE: SBRY); no state ownership identified</t>
        </is>
      </c>
      <c r="G57" s="11" t="inlineStr">
        <is>
          <t>grocery retail (plus Argos general merchandise)</t>
        </is>
      </c>
      <c r="H57" s="11" t="inlineStr">
        <is>
          <t>10k+</t>
        </is>
      </c>
      <c r="I57" s="11" t="inlineStr">
        <is>
          <t>TTM revenue £30.95bn (~$40bn) as of Jul 2026 (companiesmarketcap.com); FY2025 (year to Mar 1, 2025) revenue £32.81bn</t>
        </is>
      </c>
      <c r="J57" s="11" t="inlineStr">
        <is>
          <t>market cap ~$9.16bn as of Jun 2026 (companiesmarketcap.com)</t>
        </is>
      </c>
      <c r="K57" s="11" t="inlineStr">
        <is>
          <t>n/a (established public company, not VC-backed)</t>
        </is>
      </c>
      <c r="L57" s="11" t="inlineStr">
        <is>
          <t>exceeds - mega-brand</t>
        </is>
      </c>
      <c r="M57" s="11" t="n">
        <v>1</v>
      </c>
      <c r="N57" s="11" t="inlineStr">
        <is>
          <t>Stretch</t>
        </is>
      </c>
      <c r="O57" s="11" t="inlineStr">
        <is>
          <t>Hard filters pass: TTM revenue £30.95bn, market cap ~$9.16bn (2026); headcount 180,000+ (10k+); improving profitability; broad, non-concentrated customer base; no CURRENT F1 conflict (a 2010 Williams energy-tech collaboration is stale, not a live sponsorship). Real reservation: fit score only 1/4 -- Sainsbury's is a UK-only grocery chain whose value/cost-of-living brand story doesn't map to F1's performance/precision/global positioning.</t>
        </is>
      </c>
      <c r="P57" s="11" t="inlineStr">
        <is>
          <t>Grocery category open on the grid; best used as a UK home-market activation (GP-weekend promotions, loyalty-card tie-ins) rather than a global partnership, given the limited international footprint.</t>
        </is>
      </c>
      <c r="Q57" s="11" t="inlineStr">
        <is>
          <t>historical F1 tie: a Williams Technology Centre energy-efficiency/vehicle-simulator collaboration announced Nov 2010 -- long lapsed, not a current sponsorship; single-market UK grocery retailer -- limited international reach; earnings improving (£0.48bn to £0.62bn, 2024 to 2025) but grocery margins remain thin</t>
        </is>
      </c>
      <c r="R57" s="11" t="inlineStr">
        <is>
          <t>verified-existing</t>
        </is>
      </c>
      <c r="S57" s="11" t="inlineStr">
        <is>
          <t>2026-09-28</t>
        </is>
      </c>
    </row>
    <row r="58">
      <c r="A58" s="11" t="n">
        <v>55</v>
      </c>
      <c r="B58" s="11" t="n">
        <v>46</v>
      </c>
      <c r="C58" s="11" t="inlineStr">
        <is>
          <t>Tractor Supply Company</t>
        </is>
      </c>
      <c r="D58" s="11" t="inlineStr">
        <is>
          <t>tractorsupply.com</t>
        </is>
      </c>
      <c r="E58" s="11" t="inlineStr">
        <is>
          <t>USA</t>
        </is>
      </c>
      <c r="F58" s="11" t="inlineStr">
        <is>
          <t>publicly traded (Nasdaq: TSCO); no state ownership identified</t>
        </is>
      </c>
      <c r="G58" s="11" t="inlineStr">
        <is>
          <t>rural lifestyle retail (farm/ranch, pet, outdoor)</t>
        </is>
      </c>
      <c r="H58" s="11" t="inlineStr">
        <is>
          <t>10k+</t>
        </is>
      </c>
      <c r="I58" s="11" t="inlineStr">
        <is>
          <t>FY2025 net sales $15.52bn, +4.3% YoY (company press release, FY2025 results)</t>
        </is>
      </c>
      <c r="J58" s="11" t="inlineStr">
        <is>
          <t>market cap ~$16.9bn (Morningstar, ~late 2025/2026) to ~$29.8bn (earlier 2025 estimate) -- variance across sources</t>
        </is>
      </c>
      <c r="K58" s="11" t="inlineStr">
        <is>
          <t>n/a (established public company, not VC-backed)</t>
        </is>
      </c>
      <c r="L58" s="11" t="inlineStr">
        <is>
          <t>exceeds - mega-brand</t>
        </is>
      </c>
      <c r="M58" s="11" t="n">
        <v>1</v>
      </c>
      <c r="N58" s="11" t="inlineStr">
        <is>
          <t>Stretch</t>
        </is>
      </c>
      <c r="O58" s="11" t="inlineStr">
        <is>
          <t>Hard filters pass: FY2025 revenue $15.52bn (+4.3%), market cap in the $17-30bn range (2025/2026); headcount 50,000+ (10k+); growing and profitable, no distress; broad, non-concentrated customer base. Real reservation: fit score only 1/4 -- a US-domestic chain whose rural-lifestyle brand story and buyer base don't clearly map to F1's performance/precision/global-affluent positioning.</t>
        </is>
      </c>
      <c r="P58" s="11" t="inlineStr">
        <is>
          <t>Rural-lifestyle/outdoor retail category is open on the grid, but the natural fit is weak; best framed as a US-market activation around Americas GP weekends (Austin, Miami, Las Vegas) rather than a global brand story.</t>
        </is>
      </c>
      <c r="Q58" s="11" t="inlineStr">
        <is>
          <t>US-only retail footprint -- no meaningful international presence; FY2025 commentary notes discretionary demand moderating, though comp sales stayed positive (+1.2%)</t>
        </is>
      </c>
      <c r="R58" s="11" t="inlineStr">
        <is>
          <t>verified-existing</t>
        </is>
      </c>
      <c r="S58" s="11" t="inlineStr">
        <is>
          <t>2026-09-28</t>
        </is>
      </c>
    </row>
    <row r="59">
      <c r="A59" s="11" t="n">
        <v>56</v>
      </c>
      <c r="B59" s="11" t="n">
        <v>46</v>
      </c>
      <c r="C59" s="11" t="inlineStr">
        <is>
          <t>Grupo Éxito</t>
        </is>
      </c>
      <c r="D59" s="11" t="inlineStr">
        <is>
          <t>grupoexito.com</t>
        </is>
      </c>
      <c r="E59" s="11" t="inlineStr">
        <is>
          <t>Colombia</t>
        </is>
      </c>
      <c r="F59" s="11" t="inlineStr">
        <is>
          <t>86.84% owned by Grupo Calleja (private Salvadoran retail conglomerate), which acquired control from Casino/GPA in Jan 2024 for ~€400M; remainder publicly traded</t>
        </is>
      </c>
      <c r="G59" s="11" t="inlineStr">
        <is>
          <t>retail</t>
        </is>
      </c>
      <c r="H59" s="11" t="inlineStr">
        <is>
          <t>10k+</t>
        </is>
      </c>
      <c r="I59" s="11" t="inlineStr">
        <is>
          <t>COP 22 trillion / ~€5.19B (2025, ESM Magazine, FreshPlaza), +4% YoY; net profit up ~10x YoY</t>
        </is>
      </c>
      <c r="J59" s="11" t="inlineStr">
        <is>
          <t>Market cap ~$1.8B (2025/2026)</t>
        </is>
      </c>
      <c r="K59" s="11" t="inlineStr">
        <is>
          <t>N/A — public company; most recent capital event is Grupo Calleja's ~€400M controlling-stake purchase (Jan 2024)</t>
        </is>
      </c>
      <c r="L59" s="11" t="inlineStr">
        <is>
          <t>meets parameters</t>
        </is>
      </c>
      <c r="M59" s="11" t="n">
        <v>1</v>
      </c>
      <c r="N59" s="11" t="inlineStr">
        <is>
          <t>Stretch</t>
        </is>
      </c>
      <c r="O59" s="11" t="inlineStr">
        <is>
          <t>Hard bars pass (market cap ~$1.8B, revenue ~€5.19B, net profit up ~10x YoY, no F1 conflict, no state/compliance issues), but weak fit (score=1) — a single-market grocery retailer with limited alignment to an F1 brand story is a real reservation.</t>
        </is>
      </c>
      <c r="P59" s="11" t="inlineStr">
        <is>
          <t>Colombian/LatAm grocery-retail turnaround story under new ownership — target LatAm F1 rounds (Mexico City, São Paulo) to reach Éxito's expanding shopper base.</t>
        </is>
      </c>
      <c r="Q59" s="11" t="inlineStr">
        <is>
          <t>single-market-weighted retail brand (Colombia-centric); recent change of control (Grupo Calleja acquired 86.84% stake, Jan 2024)</t>
        </is>
      </c>
      <c r="R59" s="11" t="inlineStr">
        <is>
          <t>verified-existing</t>
        </is>
      </c>
      <c r="S59" s="11" t="inlineStr">
        <is>
          <t>2026-09-28</t>
        </is>
      </c>
    </row>
    <row r="60">
      <c r="A60" s="11" t="n">
        <v>57</v>
      </c>
      <c r="B60" s="11" t="n">
        <v>46</v>
      </c>
      <c r="C60" s="11" t="inlineStr">
        <is>
          <t>Kohl's</t>
        </is>
      </c>
      <c r="D60" s="11" t="inlineStr">
        <is>
          <t>kohls.com</t>
        </is>
      </c>
      <c r="E60" s="11" t="inlineStr">
        <is>
          <t>USA</t>
        </is>
      </c>
      <c r="F60" s="11" t="inlineStr">
        <is>
          <t>Publicly traded (NYSE: KSS), no controlling shareholder</t>
        </is>
      </c>
      <c r="G60" s="11" t="inlineStr">
        <is>
          <t>department store retail</t>
        </is>
      </c>
      <c r="H60" s="11" t="inlineStr">
        <is>
          <t>10k+</t>
        </is>
      </c>
      <c r="I60" s="11" t="inlineStr">
        <is>
          <t>FY2025 (ended Jan 31, 2026) net sales $14.8B, -4.0% YoY; Q2 FY2026 (ended Aug 1, 2026) net sales -0.9% with raised full-year guidance (Kohl's Corporate press releases, 2026)</t>
        </is>
      </c>
      <c r="J60" s="11" t="inlineStr">
        <is>
          <t>Market cap ~$2.03B as of Sept 28, 2026 (Robinhood/stockanalysis.com) — passes the &gt;$1B hard bar</t>
        </is>
      </c>
      <c r="K60" s="11" t="inlineStr">
        <is>
          <t>N/A (public company)</t>
        </is>
      </c>
      <c r="L60" s="11" t="inlineStr">
        <is>
          <t>meets parameters</t>
        </is>
      </c>
      <c r="M60" s="11" t="n">
        <v>1</v>
      </c>
      <c r="N60" s="11" t="inlineStr">
        <is>
          <t>Stretch</t>
        </is>
      </c>
      <c r="O60" s="11" t="inlineStr">
        <is>
          <t>Hard filters pass — revenue $14.8B, market cap $2.03B, 80,000+ employees, sales trend has stabilized and is improving (raised guidance twice in 2026, so not active distress), mass audience of thousands of customers — but fit score is weak (1/4): a US-only, mass-value retailer with no performance/tech story.</t>
        </is>
      </c>
      <c r="P60" s="11" t="inlineStr">
        <is>
          <t>Weak — a domestic loyalty-program or 'everyday value' tie-in is the only plausible angle, undercut by the single-market footprint and lack of a premium/performance brand story.</t>
        </is>
      </c>
      <c r="Q60" s="11" t="inlineStr">
        <is>
          <t>declining sales trend (FY25 net sales -4%) now stabilizing — best comp-sales performance in 4 years, FY26 guidance raised twice; activist investor pressure noted in prior periods</t>
        </is>
      </c>
      <c r="R60" s="11" t="inlineStr">
        <is>
          <t>verified-existing</t>
        </is>
      </c>
      <c r="S60" s="11" t="inlineStr">
        <is>
          <t>2026-09-28</t>
        </is>
      </c>
    </row>
    <row r="61">
      <c r="A61" s="11" t="n">
        <v>58</v>
      </c>
      <c r="B61" s="11" t="n">
        <v>46</v>
      </c>
      <c r="C61" s="11" t="inlineStr">
        <is>
          <t>Michaels Companies</t>
        </is>
      </c>
      <c r="D61" s="11" t="inlineStr">
        <is>
          <t>michaels.com</t>
        </is>
      </c>
      <c r="E61" s="11" t="inlineStr">
        <is>
          <t>USA</t>
        </is>
      </c>
      <c r="F61" s="11" t="inlineStr">
        <is>
          <t>PE-owned (Apollo Global Management, since 2021 LBO, ~$5B deal)</t>
        </is>
      </c>
      <c r="G61" s="11" t="inlineStr">
        <is>
          <t>arts &amp; crafts specialty retail</t>
        </is>
      </c>
      <c r="H61" s="11" t="inlineStr">
        <is>
          <t>10k+</t>
        </is>
      </c>
      <c r="I61" s="11" t="inlineStr">
        <is>
          <t>Est. $6.09B (2026, +4.16% YoY, Eulerpool est.); Q1 FY2026 sales and adjusted EBITDA both grew double digits (Fortune, Jul 17 2026)</t>
        </is>
      </c>
      <c r="J61" s="11" t="inlineStr">
        <is>
          <t>No current published valuation (private); last known transaction value ~$5B at the 2021 Apollo LBO. PE-owned, so it does not qualify for the family/employee-owned exemption that allows passing on revenue alone.</t>
        </is>
      </c>
      <c r="K61" s="11" t="inlineStr">
        <is>
          <t>2021 Apollo Global Management LBO (~$5B); no capital raise since identified — Moody's expects leverage improving to 5.5x and positive FCF in 2026</t>
        </is>
      </c>
      <c r="L61" s="11" t="inlineStr">
        <is>
          <t>meets parameters</t>
        </is>
      </c>
      <c r="M61" s="11" t="n">
        <v>1</v>
      </c>
      <c r="N61" s="11" t="inlineStr">
        <is>
          <t>Stretch</t>
        </is>
      </c>
      <c r="O61" s="11" t="inlineStr">
        <is>
          <t>Revenue clearly passes (~$6.09B) and the business is improving (double-digit EBITDA growth, improving leverage, positive FCF guided for 2026), but the valuation figure is stale/unverified (2021 LBO price only) and PE ownership doesn't qualify for the family/employee-owned exemption; fit is also weak (1/4, 2-market crafts retailer with no performance/tech story) — real reservations on both a hard bar and fit.</t>
        </is>
      </c>
      <c r="P61" s="11" t="inlineStr">
        <is>
          <t>Weak fit — crafts/DIY retail has no natural performance-technology tie-in to F1; would need a stretch creative angle (e.g., pit-crew/maker-culture parallel) to justify outreach.</t>
        </is>
      </c>
      <c r="Q61" s="11" t="inlineStr">
        <is>
          <t>PE-owned since 2021 (~4-5 years) — approaching/at the 4+ year soft-flag threshold; no published current valuation; relying on a 5-year-old deal price</t>
        </is>
      </c>
      <c r="R61" s="11" t="inlineStr">
        <is>
          <t>verified-existing</t>
        </is>
      </c>
      <c r="S61" s="11" t="inlineStr">
        <is>
          <t>2026-09-28</t>
        </is>
      </c>
    </row>
  </sheetData>
  <autoFilter ref="A3:S6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41"/>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Aviation &amp; Aerospace Supplie — existing New-Sectors book, now verified — 38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"07 Aviation &amp; Aerospace Supplie".</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0" t="n">
        <v>1</v>
      </c>
      <c r="B4" s="10" t="n">
        <v>92</v>
      </c>
      <c r="C4" s="10" t="inlineStr">
        <is>
          <t>Pilatus Aircraft</t>
        </is>
      </c>
      <c r="D4" s="10" t="inlineStr">
        <is>
          <t>pilatus-aircraft.com</t>
        </is>
      </c>
      <c r="E4" s="10" t="inlineStr">
        <is>
          <t>Switzerland</t>
        </is>
      </c>
      <c r="F4" s="10" t="inlineStr">
        <is>
          <t>privately held (Swiss private investors); no state ownership identified</t>
        </is>
      </c>
      <c r="G4" s="10" t="inlineStr">
        <is>
          <t>business/utility aircraft (PC-12, PC-24, PC-21 trainer)</t>
        </is>
      </c>
      <c r="H4" s="10" t="inlineStr">
        <is>
          <t>1k-5k</t>
        </is>
      </c>
      <c r="I4" s="10" t="inlineStr">
        <is>
          <t>2025 total sales CHF1.672bn (~$1.9-2.1bn), operating earnings CHF170m (Pilatus 2025 Annual Report, released 2026)</t>
        </is>
      </c>
      <c r="J4" s="10" t="inlineStr">
        <is>
          <t>n/a -- private, no published valuation; passes on revenue-alone exception</t>
        </is>
      </c>
      <c r="K4" s="10" t="inlineStr">
        <is>
          <t>n/a (private, no funding rounds)</t>
        </is>
      </c>
      <c r="L4" s="10" t="inlineStr">
        <is>
          <t>meets parameters</t>
        </is>
      </c>
      <c r="M4" s="10" t="n">
        <v>4</v>
      </c>
      <c r="N4" s="10" t="inlineStr">
        <is>
          <t>Yes</t>
        </is>
      </c>
      <c r="O4" s="10" t="inlineStr">
        <is>
          <t>All hard filters pass: 2025 sales CHF1.672bn with CHF170m operating earnings (2025 Annual Report); private with no published valuation (passes on the revenue-alone exception); no F1 conflicts (only an individual driver's personal use of aircraft, not a sponsorship); headcount ~2,500+ (1k-5k band); diversified global government/corporate/HNWI buyer base; record order backlog (CHF1.869bn) shows demand resilience despite 2025 tariff/FX headwinds. Fit=4 (multi-market exports, affluent decision-maker buyers, strong Swiss-precision brand story, open aircraft-OEM category).</t>
        </is>
      </c>
      <c r="P4" s="10" t="inlineStr">
        <is>
          <t>Swiss precision engineering + open aircraft-OEM category -- pitch PC-24/PC-12 as a 'performance meets versatility' story to F1's global, technically minded, affluent audience; leverage existing informal driver affinity (Massa) as a low-cost proof point for outreach.</t>
        </is>
      </c>
      <c r="Q4" s="10" t="inlineStr">
        <is>
          <t>private, no published valuation; 2025 described by the company as 'uncommonly challenging' (US tariffs, FX moves, supply-chain disruption) though still profitable, with a record CHF1.869bn order backlog exceeding sales; informal F1 overlap: driver Felipe Massa has personally used Pilatus PC-12/PC-24 for personal/event travel -- not a corporate sponsorship</t>
        </is>
      </c>
      <c r="R4" s="10" t="inlineStr">
        <is>
          <t>verified-existing</t>
        </is>
      </c>
      <c r="S4" s="10" t="inlineStr">
        <is>
          <t>2026-09-28</t>
        </is>
      </c>
    </row>
    <row r="5">
      <c r="A5" s="10" t="n">
        <v>2</v>
      </c>
      <c r="B5" s="10" t="n">
        <v>92</v>
      </c>
      <c r="C5" s="10" t="inlineStr">
        <is>
          <t>VSE Corporation</t>
        </is>
      </c>
      <c r="D5" s="10" t="inlineStr">
        <is>
          <t>vsecorp.com</t>
        </is>
      </c>
      <c r="E5" s="10" t="inlineStr">
        <is>
          <t>United States</t>
        </is>
      </c>
      <c r="F5" s="10" t="inlineStr">
        <is>
          <t>publicly traded (Nasdaq: VSEC); no state ownership identified</t>
        </is>
      </c>
      <c r="G5" s="10" t="inlineStr">
        <is>
          <t>aviation aftermarket parts distribution &amp; MRO (commercial + business/general aviation)</t>
        </is>
      </c>
      <c r="H5" s="10" t="inlineStr">
        <is>
          <t>1k-5k</t>
        </is>
      </c>
      <c r="I5" s="10" t="inlineStr">
        <is>
          <t>FY2025 revenue $1.112bn, +41.46% YoY; TTM through Jun 30, 2026 $1.358bn, +41.55% YoY (SEC 8-K filings / stockanalysis.com)</t>
        </is>
      </c>
      <c r="J5" s="10" t="inlineStr">
        <is>
          <t>market cap $2.93bn as of Jul 29, 2025 (+106.43% YoY, stockanalysis.com)</t>
        </is>
      </c>
      <c r="K5" s="10" t="inlineStr">
        <is>
          <t>n/a (established public company, not VC-backed)</t>
        </is>
      </c>
      <c r="L5" s="10" t="inlineStr">
        <is>
          <t>meets parameters</t>
        </is>
      </c>
      <c r="M5" s="10" t="n">
        <v>4</v>
      </c>
      <c r="N5" s="10" t="inlineStr">
        <is>
          <t>Yes</t>
        </is>
      </c>
      <c r="O5" s="10" t="inlineStr">
        <is>
          <t>All hard filters pass: FY2025 revenue $1.112bn (+41.46% YoY) and TTM $1.358bn (+41.55% YoY) per SEC 8-K filings; market cap $2.93bn (Jul 2025, +106% YoY); no F1 conflicts found; headcount ~2,700+ (1k-5k band); diversified airline/government/B&amp;GA aftermarket customer base; strong, clearly improving profitability/growth, no distress. Fit=4 (multi-market distribution network, senior-decision-maker B2B buyers, technical brand story, open category).</t>
        </is>
      </c>
      <c r="P5" s="10" t="inlineStr">
        <is>
          <t>Fast-growing (41% YoY) aviation aftermarket leader -- pitch a 'keeping the world's fleets flying' precision/reliability story to F1's engineering-driven brand; open aviation-MRO/parts-distribution category on the grid, capitalizing on recent market-cap momentum.</t>
        </is>
      </c>
      <c r="Q5" s="10" t="inlineStr">
        <is>
          <t>rapid revenue growth (+41% YoY) is partly acquisition-driven per company commentary -- organic growth rate likely lower (est); similar niche to AAR Corp in the same sector tab -- potential category overlap within the book</t>
        </is>
      </c>
      <c r="R5" s="10" t="inlineStr">
        <is>
          <t>verified-existing</t>
        </is>
      </c>
      <c r="S5" s="10" t="inlineStr">
        <is>
          <t>2026-09-28</t>
        </is>
      </c>
    </row>
    <row r="6">
      <c r="A6" s="10" t="n">
        <v>3</v>
      </c>
      <c r="B6" s="10" t="n">
        <v>92</v>
      </c>
      <c r="C6" s="10" t="inlineStr">
        <is>
          <t>HAECO</t>
        </is>
      </c>
      <c r="D6" s="10" t="inlineStr">
        <is>
          <t>haeco.com</t>
        </is>
      </c>
      <c r="E6" s="10" t="inlineStr">
        <is>
          <t>Hong Kong</t>
        </is>
      </c>
      <c r="F6" s="10" t="inlineStr">
        <is>
          <t>Subsidiary of Swire Pacific (publicly listed HKEX: 0019/0087, non-state); not majority state-owned</t>
        </is>
      </c>
      <c r="G6" s="10" t="inlineStr">
        <is>
          <t>Aircraft MRO, cabin interiors &amp; component services to global airlines</t>
        </is>
      </c>
      <c r="H6" s="10" t="inlineStr">
        <is>
          <t>10k+</t>
        </is>
      </c>
      <c r="I6" s="10" t="inlineStr">
        <is>
          <t>HAECO Group attributable profit HK$936M in FY2025 (up from HK$399M in FY2024), driven by growth in base maintenance and engine overhaul; group turnover not separately disclosed but historically well above $2B (as of Swire Pacific 2025 Annual Results, reported Feb 2026, swirenews.swire.com) (est)</t>
        </is>
      </c>
      <c r="J6" s="10" t="inlineStr">
        <is>
          <t>HAECO itself unlisted (subsidiary); parent Swire Pacific market cap ~HK$134B (~$17B) as of Aug 7, 2026 (stockanalysis.com/companiesmarketcap.com)</t>
        </is>
      </c>
      <c r="K6" s="10" t="inlineStr">
        <is>
          <t>n/a (subsidiary of public parent, no independent raise)</t>
        </is>
      </c>
      <c r="L6" s="10" t="inlineStr">
        <is>
          <t>meets parameters</t>
        </is>
      </c>
      <c r="M6" s="10" t="n">
        <v>4</v>
      </c>
      <c r="N6" s="10" t="inlineStr">
        <is>
          <t>Yes</t>
        </is>
      </c>
      <c r="O6" s="10" t="inlineStr">
        <is>
          <t>All hard filters pass: revenue well over $100M bar, parent-scale valuation over $1B, headcount 10k+, profit growing (HK$936M vs HK$399M YoY), broad diversified global airline customer base, no confirmed F1 sponsorship tie found for HAECO or Swire Pacific, ownership is public non-state.</t>
        </is>
      </c>
      <c r="P6" s="10" t="inlineStr">
        <is>
          <t>Position HAECO as the 'pit crew of the skies' - precision, speed and reliability in aircraft turnaround mirrors F1 pit-stop culture; open category (no aviation-MRO sponsor currently on the grid).</t>
        </is>
      </c>
      <c r="Q6" s="10" t="inlineStr">
        <is>
          <t>parent: Swire Pacific (large public non-state conglomerate, no F1 ties found); ~1,600 US staff (HAECO Americas) divested to AAR Corp Nov 2025 - headcount trending down from prior ~15,000</t>
        </is>
      </c>
      <c r="R6" s="10" t="inlineStr">
        <is>
          <t>verified-existing</t>
        </is>
      </c>
      <c r="S6" s="10" t="inlineStr">
        <is>
          <t>2026-09-28</t>
        </is>
      </c>
    </row>
    <row r="7">
      <c r="A7" s="10" t="n">
        <v>4</v>
      </c>
      <c r="B7" s="10" t="n">
        <v>92</v>
      </c>
      <c r="C7" s="10" t="inlineStr">
        <is>
          <t>FTAI Aviation</t>
        </is>
      </c>
      <c r="D7" s="10" t="inlineStr">
        <is>
          <t>ftaiaviation.com</t>
        </is>
      </c>
      <c r="E7" s="10" t="inlineStr">
        <is>
          <t>United States</t>
        </is>
      </c>
      <c r="F7" s="10" t="inlineStr">
        <is>
          <t>Publicly traded (Nasdaq: FTAI); no state ownership</t>
        </is>
      </c>
      <c r="G7" s="10" t="inlineStr">
        <is>
          <t>Aircraft/engine leasing and aftermarket engine modules (CFM56/V2500) to airlines and lessors globally</t>
        </is>
      </c>
      <c r="H7" s="10" t="inlineStr">
        <is>
          <t>1k-5k (est)</t>
        </is>
      </c>
      <c r="I7" s="10" t="inlineStr">
        <is>
          <t>Q2 2026 revenue $953.1M (up 40.9% YoY); H1 2026 total revenue $1.78B; FY2025 EPS $4.66 (up from a $0.32 loss in FY2024), confirming revenue well over $100M bar (Nasdaq/company Q2 2026 press release, reported ~Jul 29, 2026)</t>
        </is>
      </c>
      <c r="J7" s="10" t="inlineStr">
        <is>
          <t>Market capitalization ~$18.0B as of Sept 25, 2026 (stockanalysis.com/public.com)</t>
        </is>
      </c>
      <c r="K7" s="10" t="inlineStr">
        <is>
          <t>n/a (public company; self-funded via strong operating cash flow and rising dividend)</t>
        </is>
      </c>
      <c r="L7" s="10" t="inlineStr">
        <is>
          <t>meets parameters</t>
        </is>
      </c>
      <c r="M7" s="10" t="n">
        <v>4</v>
      </c>
      <c r="N7" s="10" t="inlineStr">
        <is>
          <t>Yes</t>
        </is>
      </c>
      <c r="O7" s="10" t="inlineStr">
        <is>
          <t>All hard filters clear comfortably: revenue and growth rate far exceed the $100M bar, market cap ~$18B is well over $1B, profitable and rapidly growing (revenue +40-53% YoY, dividend raised), diversified global airline/lessor customer base, no confirmed F1 tie for FTAI Aviation itself, publicly traded with no state ownership.</t>
        </is>
      </c>
      <c r="P7" s="10" t="inlineStr">
        <is>
          <t>Fast-growth aftermarket-engine performance story (revenue +40%+ YoY, EBITDA guidance raised) pairs with F1's performance-engineering narrative; open category with no other aviation aftermarket-parts sponsor on the current grid.</t>
        </is>
      </c>
      <c r="Q7" s="10" t="inlineStr">
        <is>
          <t>Note: 'FAI Aviation Group' (a distinct, unrelated German business-jet charter operator) was a McLaren F1 sponsor from 2020, with the partnership formally ending Dec 31, 2025 - no relation to FTAI Aviation (Nasdaq: FTAI); flagged only to avoid brand-name confusion, not a conflict.</t>
        </is>
      </c>
      <c r="R7" s="10" t="inlineStr">
        <is>
          <t>verified-existing</t>
        </is>
      </c>
      <c r="S7" s="10" t="inlineStr">
        <is>
          <t>2026-09-28</t>
        </is>
      </c>
    </row>
    <row r="8">
      <c r="A8" s="10" t="n">
        <v>5</v>
      </c>
      <c r="B8" s="10" t="n">
        <v>92</v>
      </c>
      <c r="C8" s="10" t="inlineStr">
        <is>
          <t>GE Aerospace</t>
        </is>
      </c>
      <c r="D8" s="10" t="inlineStr">
        <is>
          <t>geaerospace.com</t>
        </is>
      </c>
      <c r="E8" s="10" t="inlineStr">
        <is>
          <t>United States</t>
        </is>
      </c>
      <c r="F8" s="10" t="inlineStr">
        <is>
          <t>Publicly traded (NYSE: GE); no state ownership</t>
        </is>
      </c>
      <c r="G8" s="10" t="inlineStr">
        <is>
          <t>Jet engines and propulsion systems to commercial and military aviation customers worldwide</t>
        </is>
      </c>
      <c r="H8" s="10" t="inlineStr">
        <is>
          <t>10k+</t>
        </is>
      </c>
      <c r="I8" s="10" t="inlineStr">
        <is>
          <t>FY2025 total revenue (GAAP) $45.9B, up 18% YoY (adjusted revenue $42.3B, up 21%); Q2 2026 revenue $13.3B, up 21% YoY (GE Aerospace press releases/SEC 8-K, reported Jul 2026)</t>
        </is>
      </c>
      <c r="J8" s="10" t="inlineStr">
        <is>
          <t>Market capitalization ~$331B as of Sept 21, 2026 (stockanalysis.com)</t>
        </is>
      </c>
      <c r="K8" s="10" t="inlineStr">
        <is>
          <t>n/a (large-cap public company; 2026 guidance raised across all metrics)</t>
        </is>
      </c>
      <c r="L8" s="10" t="inlineStr">
        <is>
          <t>exceeds - mega-brand</t>
        </is>
      </c>
      <c r="M8" s="10" t="n">
        <v>4</v>
      </c>
      <c r="N8" s="10" t="inlineStr">
        <is>
          <t>Yes</t>
        </is>
      </c>
      <c r="O8" s="10" t="inlineStr">
        <is>
          <t>All hard filters pass with large margin: revenue $45.9B and market cap $331B vastly exceed the $100M/$1B bars, headcount 50,000+, clearly profitable and growing (revenue +18-21% YoY, raised guidance), broad diversified global customer base, no confirmed F1 sponsorship tie found for GE Aerospace, public with no state ownership. Exceeding scale never counts against the verdict.</t>
        </is>
      </c>
      <c r="P8" s="10" t="inlineStr">
        <is>
          <t>Global technology/performance leadership story (jet propulsion innovation) for a title-tier or engineering-partner slot; no direct competitor currently on the grid, mega-brand credibility supports a marquee deal.</t>
        </is>
      </c>
      <c r="Q8" s="10" t="n"/>
      <c r="R8" s="10" t="inlineStr">
        <is>
          <t>verified-existing</t>
        </is>
      </c>
      <c r="S8" s="10" t="inlineStr">
        <is>
          <t>2026-09-28</t>
        </is>
      </c>
    </row>
    <row r="9">
      <c r="A9" s="10" t="n">
        <v>6</v>
      </c>
      <c r="B9" s="10" t="n">
        <v>92</v>
      </c>
      <c r="C9" s="10" t="inlineStr">
        <is>
          <t>Honeywell Aerospace</t>
        </is>
      </c>
      <c r="D9" s="10" t="inlineStr">
        <is>
          <t>aerospace.honeywell.com</t>
        </is>
      </c>
      <c r="E9" s="10" t="inlineStr">
        <is>
          <t>United States</t>
        </is>
      </c>
      <c r="F9" s="10" t="inlineStr">
        <is>
          <t>Segment/division of Honeywell International (publicly traded NASDAQ: HON; no state ownership); Honeywell has announced plans to spin off Aerospace into a standalone public company</t>
        </is>
      </c>
      <c r="G9" s="10" t="inlineStr">
        <is>
          <t>Avionics, engines and aerospace systems to commercial, defense and business-aviation customers worldwide</t>
        </is>
      </c>
      <c r="H9" s="10" t="inlineStr">
        <is>
          <t>10k+</t>
        </is>
      </c>
      <c r="I9" s="10" t="inlineStr">
        <is>
          <t>Honeywell Aerospace Technologies segment revenue $17.51B in FY2025, up 13.3% YoY from $15.46B in FY2024, with double-digit growth (Honeywell 4Q25 earnings release, reported Feb 2026)</t>
        </is>
      </c>
      <c r="J9" s="10" t="inlineStr">
        <is>
          <t>Parent Honeywell International market capitalization ~$65-67B as of Sept 23, 2026 (stockanalysis.com/tradingeconomics.com)</t>
        </is>
      </c>
      <c r="K9" s="10" t="inlineStr">
        <is>
          <t>n/a (segment of profitable public parent; standalone Aerospace spin-off in progress, expected to complete by end of 2026)</t>
        </is>
      </c>
      <c r="L9" s="10" t="inlineStr">
        <is>
          <t>meets parameters</t>
        </is>
      </c>
      <c r="M9" s="10" t="n">
        <v>4</v>
      </c>
      <c r="N9" s="10" t="inlineStr">
        <is>
          <t>Yes</t>
        </is>
      </c>
      <c r="O9" s="10" t="inlineStr">
        <is>
          <t>All hard filters pass: segment revenue $17.5B far exceeds the $100M bar, parent market cap ~$65-67B far exceeds the $1B bar, headcount 21,000+, segment growing double-digits with no distress signals, broad diversified global customer base, no current confirmed F1 sponsorship tie (the historical Ferrari turbo relationship now sits with the separately-spun-off Garrett Motion, not Honeywell).</t>
        </is>
      </c>
      <c r="P9" s="10" t="inlineStr">
        <is>
          <t>Tie sponsorship to Honeywell Aerospace's upcoming launch as a standalone public company - an F1 partnership could be a highly visible way to introduce the new independent brand's performance/technology story to a global audience.</t>
        </is>
      </c>
      <c r="Q9" s="10" t="inlineStr">
        <is>
          <t>parent: Honeywell International (large public non-state conglomerate, no current F1 ties); legacy note: Honeywell Turbo Technologies supplied Ferrari F1 turbochargers (2014-2017), but that unit was spun off as the independent company Garrett Motion in 2018; Garrett (not Honeywell) is Ferrari's current 2026 turbo technical partner - no current tie for Honeywell Aerospace/Honeywell International; pending corporate separation: Honeywell Aerospace is being spun off from Honeywell International into a standalone public company (announced 2025, expected complete 2026) - relevant to deal timing</t>
        </is>
      </c>
      <c r="R9" s="10" t="inlineStr">
        <is>
          <t>verified-existing</t>
        </is>
      </c>
      <c r="S9" s="10" t="inlineStr">
        <is>
          <t>2026-09-28</t>
        </is>
      </c>
    </row>
    <row r="10">
      <c r="A10" s="10" t="n">
        <v>7</v>
      </c>
      <c r="B10" s="10" t="n">
        <v>92</v>
      </c>
      <c r="C10" s="10" t="inlineStr">
        <is>
          <t>Lufthansa Technik</t>
        </is>
      </c>
      <c r="D10" s="10" t="inlineStr">
        <is>
          <t>lufthansa-technik.com</t>
        </is>
      </c>
      <c r="E10" s="10" t="inlineStr">
        <is>
          <t>Hamburg, Germany</t>
        </is>
      </c>
      <c r="F10" s="10" t="inlineStr">
        <is>
          <t>Wholly-owned subsidiary of Deutsche Lufthansa AG (Lufthansa Group), publicly traded (Frankfurt: LHA). German state fully divested its Lufthansa stake in Sept 2022 (no state ownership).</t>
        </is>
      </c>
      <c r="G10" s="10" t="inlineStr">
        <is>
          <t>Independent aircraft/engine/component MRO services to airlines and lessors worldwide</t>
        </is>
      </c>
      <c r="H10" s="10" t="inlineStr">
        <is>
          <t>10k+</t>
        </is>
      </c>
      <c r="I10" s="10" t="inlineStr">
        <is>
          <t>€8.049B FY2025, up 12% YoY, first time topping €8B (reported ~Feb 2026; Lufthansa Technik / aviation24.be)</t>
        </is>
      </c>
      <c r="J10" s="10" t="inlineStr">
        <is>
          <t>Not separately listed (wholly-owned subsidiary); parent Lufthansa Group market cap ~€9.2B as of Sept 22 2026 (stockanalysis.com/marketcapwatch) - passes &gt;$1B bar via parent</t>
        </is>
      </c>
      <c r="K10" s="10" t="inlineStr">
        <is>
          <t>N/A (subsidiary of public parent)</t>
        </is>
      </c>
      <c r="L10" s="10" t="inlineStr">
        <is>
          <t>exceeds - mega-brand</t>
        </is>
      </c>
      <c r="M10" s="10" t="n">
        <v>4</v>
      </c>
      <c r="N10" s="10" t="inlineStr">
        <is>
          <t>Yes</t>
        </is>
      </c>
      <c r="O10" s="10" t="inlineStr">
        <is>
          <t>All hard filters pass: revenue €8.05B (FY2025) far exceeds the $100M bar; valuation passes via parent Lufthansa Group (~€9.2B mkt cap, Sept 2026) which is &gt;$1B; headcount 27,000+ (10k+ band); Lufthansa Group posted record revenue/20% higher operating profit in 2025 (clear capacity, not distressed); three-quarters of LHT revenue comes from non-Lufthansa airline customers worldwide (no ~20-customer dependency); no F1 sponsorship found for Lufthansa Group or LHT; ownership clean (no state stake since 2022). Fit score 4/4.</t>
        </is>
      </c>
      <c r="P10" s="10" t="inlineStr">
        <is>
          <t>Position as the trusted 'engineering behind the engineering' - precision MRO for the world's most demanding operators; open category (no independent-MRO sponsor on the 2026 grid); tie into a Grand Prix logistics/turnaround-time storyline.</t>
        </is>
      </c>
      <c r="Q10" s="10" t="inlineStr">
        <is>
          <t>parent: Lufthansa Group (no F1 ties found)</t>
        </is>
      </c>
      <c r="R10" s="10" t="inlineStr">
        <is>
          <t>verified-existing</t>
        </is>
      </c>
      <c r="S10" s="10" t="inlineStr">
        <is>
          <t>2026-09-28</t>
        </is>
      </c>
    </row>
    <row r="11">
      <c r="A11" s="10" t="n">
        <v>8</v>
      </c>
      <c r="B11" s="10" t="n">
        <v>92</v>
      </c>
      <c r="C11" s="10" t="inlineStr">
        <is>
          <t>MTU Aero Engines</t>
        </is>
      </c>
      <c r="D11" s="10" t="inlineStr">
        <is>
          <t>mtu.de</t>
        </is>
      </c>
      <c r="E11" s="10" t="inlineStr">
        <is>
          <t>Munich, Germany</t>
        </is>
      </c>
      <c r="F11" s="10" t="inlineStr">
        <is>
          <t>Publicly traded, DAX-listed (Frankfurt: MTX); no state or family control stake identified</t>
        </is>
      </c>
      <c r="G11" s="10" t="inlineStr">
        <is>
          <t>Jet engine design, manufacture, and MRO</t>
        </is>
      </c>
      <c r="H11" s="10" t="inlineStr">
        <is>
          <t>10k+</t>
        </is>
      </c>
      <c r="I11" s="10" t="inlineStr">
        <is>
          <t>€8.7B FY2025, up 16% YoY, all-time high (reported Feb 24 2026, MTU FY2025 results / Yahoo Finance)</t>
        </is>
      </c>
      <c r="J11" s="10" t="inlineStr">
        <is>
          <t>Market cap ~$21.9B as of July 29 2026 (companiesmarketcap.com)</t>
        </is>
      </c>
      <c r="K11" s="10" t="inlineStr">
        <is>
          <t>N/A (public company)</t>
        </is>
      </c>
      <c r="L11" s="10" t="inlineStr">
        <is>
          <t>exceeds - mega-brand</t>
        </is>
      </c>
      <c r="M11" s="10" t="n">
        <v>4</v>
      </c>
      <c r="N11" s="10" t="inlineStr">
        <is>
          <t>Yes</t>
        </is>
      </c>
      <c r="O11" s="10" t="inlineStr">
        <is>
          <t>Revenue €8.7B (FY2025, reported Feb 2026) passes; market cap ~$21.9B (July 2026) passes; headcount 12,000+ (10k+ band); adjusted EBIT margin rose to 15.5% and net income up 27% YoY - clear capacity to spend; diversified engine-consortium/MRO customer base, no concentration risk; no F1 sponsorship found. Fit 4/4.</t>
        </is>
      </c>
      <c r="P11" s="10" t="inlineStr">
        <is>
          <t>Engine-tech precision and record profitability align with F1's power-unit storyline; open category for an aero-engine/technology brand on the grid.</t>
        </is>
      </c>
      <c r="Q11" s="10" t="n"/>
      <c r="R11" s="10" t="inlineStr">
        <is>
          <t>verified-existing</t>
        </is>
      </c>
      <c r="S11" s="10" t="inlineStr">
        <is>
          <t>2026-09-28</t>
        </is>
      </c>
    </row>
    <row r="12">
      <c r="A12" s="10" t="n">
        <v>9</v>
      </c>
      <c r="B12" s="10" t="n">
        <v>92</v>
      </c>
      <c r="C12" s="10" t="inlineStr">
        <is>
          <t>Rolls-Royce Holdings</t>
        </is>
      </c>
      <c r="D12" s="10" t="inlineStr">
        <is>
          <t>rolls-royce.com</t>
        </is>
      </c>
      <c r="E12" s="10" t="inlineStr">
        <is>
          <t>London, United Kingdom</t>
        </is>
      </c>
      <c r="F12" s="10" t="inlineStr">
        <is>
          <t>Publicly traded (LSE: RR.); no state ownership (UK government's crisis-era involvement was decades ago and is not an equity stake); distinct entity from BMW-owned Rolls-Royce Motor Cars</t>
        </is>
      </c>
      <c r="G12" s="10" t="inlineStr">
        <is>
          <t>Aero engines &amp; power systems</t>
        </is>
      </c>
      <c r="H12" s="10" t="inlineStr">
        <is>
          <t>10k+</t>
        </is>
      </c>
      <c r="I12" s="10" t="inlineStr">
        <is>
          <t>£21.2B statutory / £20.1B underlying revenue FY2025, up 12-14% YoY (reported Feb 2026 full-year results)</t>
        </is>
      </c>
      <c r="J12" s="10" t="inlineStr">
        <is>
          <t>Market cap ~$144.05B as of June 12 2026 (macrotrends/stockanalysis), up sharply from £52.66B GBP mkt cap in Feb 2025</t>
        </is>
      </c>
      <c r="K12" s="10" t="inlineStr">
        <is>
          <t>N/A (public company)</t>
        </is>
      </c>
      <c r="L12" s="10" t="inlineStr">
        <is>
          <t>exceeds - mega-brand</t>
        </is>
      </c>
      <c r="M12" s="10" t="n">
        <v>4</v>
      </c>
      <c r="N12" s="10" t="inlineStr">
        <is>
          <t>Yes</t>
        </is>
      </c>
      <c r="O12" s="10" t="inlineStr">
        <is>
          <t>Revenue £20-21B (FY2025) and market cap ~$144B (June 2026) both pass by a wide margin; headcount 42,000+ (10k+ band); mid-turnaround with underlying operating profit £3.5B, margin 17.3%, and a net cash position - strong and improving, not distressed; broad diversified global customer base; no F1 sponsorship confirmed for Rolls-Royce Holdings (aerospace, as opposed to the separately-owned Motor Cars brand); no state ownership. Fit 4/4.</t>
        </is>
      </c>
      <c r="P12" s="10" t="inlineStr">
        <is>
          <t>The 'Power by the Hour' precision-engineering icon; global turnaround story maps to F1 comeback narratives; open aero-engine/power-systems category.</t>
        </is>
      </c>
      <c r="Q12" s="10" t="n"/>
      <c r="R12" s="10" t="inlineStr">
        <is>
          <t>verified-existing</t>
        </is>
      </c>
      <c r="S12" s="10" t="inlineStr">
        <is>
          <t>2026-09-28</t>
        </is>
      </c>
    </row>
    <row r="13">
      <c r="A13" s="10" t="n">
        <v>10</v>
      </c>
      <c r="B13" s="10" t="n">
        <v>92</v>
      </c>
      <c r="C13" s="10" t="inlineStr">
        <is>
          <t>Textron Aviation (Textron Inc.)</t>
        </is>
      </c>
      <c r="D13" s="10" t="inlineStr">
        <is>
          <t>txtav.com</t>
        </is>
      </c>
      <c r="E13" s="10" t="inlineStr">
        <is>
          <t>Wichita, Kansas, United States</t>
        </is>
      </c>
      <c r="F13" s="10" t="inlineStr">
        <is>
          <t>Division of Textron Inc. (public, NYSE: TXT); no state ownership</t>
        </is>
      </c>
      <c r="G13" s="10" t="inlineStr">
        <is>
          <t>Cessna &amp; Beechcraft business/general-aviation aircraft manufacturing</t>
        </is>
      </c>
      <c r="H13" s="10" t="inlineStr">
        <is>
          <t>10k+</t>
        </is>
      </c>
      <c r="I13" s="10" t="inlineStr">
        <is>
          <t>Textron Aviation segment revenue $5.95B FY2025, up 13% YoY (Textron Q4 2025 results, reported early 2026)</t>
        </is>
      </c>
      <c r="J13" s="10" t="inlineStr">
        <is>
          <t>Not separately listed (division); parent Textron Inc. market cap ~$13.2B as of Sept 25 2026 (stockanalysis.com) - passes &gt;$1B via parent</t>
        </is>
      </c>
      <c r="K13" s="10" t="inlineStr">
        <is>
          <t>N/A (division of public parent)</t>
        </is>
      </c>
      <c r="L13" s="10" t="inlineStr">
        <is>
          <t>exceeds - mega-brand</t>
        </is>
      </c>
      <c r="M13" s="10" t="n">
        <v>4</v>
      </c>
      <c r="N13" s="10" t="inlineStr">
        <is>
          <t>Yes</t>
        </is>
      </c>
      <c r="O13" s="10" t="inlineStr">
        <is>
          <t>Textron Aviation segment revenue $5.95B (FY2025) passes; parent Textron Inc. market cap ~$13.2B (Sept 2026) passes valuation via parent; headcount 13,000+ (10k+ band); Textron Inc. posted record $14.8B revenue and 14% higher segment profit in 2025 - clear capacity; broad diversified global bizjet/GA buyer base; no F1 sponsorship found for Textron, Bell, or Cessna; no state ownership. Fit 4/4. Note: parent Textron already exists as a separate master-book entry - coordinate to avoid duplicate outreach.</t>
        </is>
      </c>
      <c r="P13" s="10" t="inlineStr">
        <is>
          <t>Cessna/Beechcraft speak directly to the affluent private-aviation audience F1 already draws trackside; open GA-manufacturer category; pair outreach with parent Textron to avoid duplication.</t>
        </is>
      </c>
      <c r="Q13" s="10" t="inlineStr">
        <is>
          <t>parent Textron already tracked separately in the master book - coordinate outreach to avoid duplicate contact</t>
        </is>
      </c>
      <c r="R13" s="10" t="inlineStr">
        <is>
          <t>verified-existing</t>
        </is>
      </c>
      <c r="S13" s="10" t="inlineStr">
        <is>
          <t>2026-09-28</t>
        </is>
      </c>
    </row>
    <row r="14">
      <c r="A14" s="10" t="n">
        <v>11</v>
      </c>
      <c r="B14" s="10" t="n">
        <v>92</v>
      </c>
      <c r="C14" s="10" t="inlineStr">
        <is>
          <t>StandardAero</t>
        </is>
      </c>
      <c r="D14" s="10" t="inlineStr">
        <is>
          <t>standardaero.com</t>
        </is>
      </c>
      <c r="E14" s="10" t="inlineStr">
        <is>
          <t>Scottsdale, Arizona, United States</t>
        </is>
      </c>
      <c r="F14" s="10" t="inlineStr">
        <is>
          <t>Publicly traded (NYSE: SARO, IPO'd Oct 2024); formerly PE-owned by Carlyle Group, which retains a reduced post-IPO stake</t>
        </is>
      </c>
      <c r="G14" s="10" t="inlineStr">
        <is>
          <t>Independent aircraft engine MRO</t>
        </is>
      </c>
      <c r="H14" s="10" t="inlineStr">
        <is>
          <t>5k-10k</t>
        </is>
      </c>
      <c r="I14" s="10" t="inlineStr">
        <is>
          <t>$6.06B FY2025, up 15.8% YoY (stockanalysis.com, reported early 2026)</t>
        </is>
      </c>
      <c r="J14" s="10" t="inlineStr">
        <is>
          <t>Market cap ~$7.54B (2026 data, stockanalysis.com)</t>
        </is>
      </c>
      <c r="K14" s="10" t="inlineStr">
        <is>
          <t>N/A (public since Oct 2024 IPO)</t>
        </is>
      </c>
      <c r="L14" s="10" t="inlineStr">
        <is>
          <t>meets parameters</t>
        </is>
      </c>
      <c r="M14" s="10" t="n">
        <v>4</v>
      </c>
      <c r="N14" s="10" t="inlineStr">
        <is>
          <t>Yes</t>
        </is>
      </c>
      <c r="O14" s="10" t="inlineStr">
        <is>
          <t>Revenue $6.06B (FY2025) and market cap ~$7.5B both pass comfortably; headcount 7,000+ (5k-10k band); double-digit revenue growth every quarter of 2025 signals clear capacity, not distress; diversified independent-MRO client base across airlines/operators; no F1 sponsorship found (search surfaced only an unrelated Standard Chartered F1 partnership). Fit 4/4.</t>
        </is>
      </c>
      <c r="P14" s="10" t="inlineStr">
        <is>
          <t>Newly public, high-growth independent-MRO story - 'engineering trust at scale'; open category; growth narrative pairs well with F1's own commercial momentum.</t>
        </is>
      </c>
      <c r="Q14" s="10" t="inlineStr">
        <is>
          <t>former PE ownership (Carlyle) pre-2024 IPO - no longer PE-controlled, so the 4+yr PE flag does not currently apply</t>
        </is>
      </c>
      <c r="R14" s="10" t="inlineStr">
        <is>
          <t>verified-existing</t>
        </is>
      </c>
      <c r="S14" s="10" t="inlineStr">
        <is>
          <t>2026-09-28</t>
        </is>
      </c>
    </row>
    <row r="15">
      <c r="A15" s="10" t="n">
        <v>12</v>
      </c>
      <c r="B15" s="10" t="n">
        <v>92</v>
      </c>
      <c r="C15" s="10" t="inlineStr">
        <is>
          <t>Crane Aerospace &amp; Electronics</t>
        </is>
      </c>
      <c r="D15" s="10" t="inlineStr">
        <is>
          <t>craneae.com</t>
        </is>
      </c>
      <c r="E15" s="10" t="inlineStr">
        <is>
          <t>United States</t>
        </is>
      </c>
      <c r="F15" s="10" t="inlineStr">
        <is>
          <t>Division of Crane Company (public, NYSE: CR); parent has no F1 ties — keep, flag parent: Crane Company</t>
        </is>
      </c>
      <c r="G15" s="10" t="inlineStr">
        <is>
          <t>Aerospace sensing, power &amp; control systems</t>
        </is>
      </c>
      <c r="H15" s="10" t="inlineStr">
        <is>
          <t>1k-5k (~3,000 per input)</t>
        </is>
      </c>
      <c r="I15" s="10" t="inlineStr">
        <is>
          <t>Aerospace &amp; Advanced Technologies segment sales $1,048.9M in 2025, +12.5% YoY (Crane Co FY2025 10-K/Q4 results, craneco.com/SEC, reported early 2026)</t>
        </is>
      </c>
      <c r="J15" s="10" t="inlineStr">
        <is>
          <t>Parent Crane Co market cap ~$11.8B as of Sept 2026 (stockanalysis.com) — passes the &gt;$1B hard bar</t>
        </is>
      </c>
      <c r="K15" s="10" t="inlineStr">
        <is>
          <t>N/A (public parent)</t>
        </is>
      </c>
      <c r="L15" s="10" t="inlineStr">
        <is>
          <t>meets parameters</t>
        </is>
      </c>
      <c r="M15" s="10" t="n">
        <v>4</v>
      </c>
      <c r="N15" s="10" t="inlineStr">
        <is>
          <t>Yes</t>
        </is>
      </c>
      <c r="O15" s="10" t="inlineStr">
        <is>
          <t>All hard filters pass: segment revenue $1.05B and growing 12.5% YoY, parent market cap $11.8B, ~3,000 employees, parent clearly profitable with guidance raised (not distress), diversified commercial+military+aftermarket customer base (not ~20-customer dependent), no F1 conflicts found for Crane Co or its aerospace segment. Fit score 4.</t>
        </is>
      </c>
      <c r="P15" s="10" t="inlineStr">
        <is>
          <t>A precision sensing/control-systems 'mission-critical technology' story paired with F1's own precision-engineering narrative, in an aerospace-components category not yet on the grid.</t>
        </is>
      </c>
      <c r="Q15" s="10" t="inlineStr">
        <is>
          <t>customer concentration among a limited set of aerospace/defense primes, typical of the sub-sector; parent: Crane Company</t>
        </is>
      </c>
      <c r="R15" s="10" t="inlineStr">
        <is>
          <t>verified-existing</t>
        </is>
      </c>
      <c r="S15" s="10" t="inlineStr">
        <is>
          <t>2026-09-28</t>
        </is>
      </c>
    </row>
    <row r="16">
      <c r="A16" s="10" t="n">
        <v>13</v>
      </c>
      <c r="B16" s="10" t="n">
        <v>92</v>
      </c>
      <c r="C16" s="10" t="inlineStr">
        <is>
          <t>Jet Aviation (General Dynamics)</t>
        </is>
      </c>
      <c r="D16" s="10" t="inlineStr">
        <is>
          <t>jetaviation.com</t>
        </is>
      </c>
      <c r="E16" s="10" t="inlineStr">
        <is>
          <t>Switzerland</t>
        </is>
      </c>
      <c r="F16" s="10" t="inlineStr">
        <is>
          <t>Wholly-owned subsidiary of General Dynamics (public, NYSE: GD); parent has no F1 ties — keep, flag parent: General Dynamics</t>
        </is>
      </c>
      <c r="G16" s="10" t="inlineStr">
        <is>
          <t>FBO, MRO &amp; completions for bizav</t>
        </is>
      </c>
      <c r="H16" s="10" t="inlineStr">
        <is>
          <t>1k-5k (4,500-4,800 employees, jetaviation.com/ZoomInfo, 2026)</t>
        </is>
      </c>
      <c r="I16" s="10" t="inlineStr">
        <is>
          <t>Est. $500M-1.0B (Owler/Growjo estimate, 2026); parent General Dynamics FY2025 revenue $52.6B, +10.1% YoY</t>
        </is>
      </c>
      <c r="J16" s="10" t="inlineStr">
        <is>
          <t>Parent General Dynamics market cap ~$93.3B as of Sept 22, 2026 (stockanalysis.com) — passes the &gt;$1B hard bar</t>
        </is>
      </c>
      <c r="K16" s="10" t="inlineStr">
        <is>
          <t>N/A (public parent; Jet Aviation acquired by General Dynamics in 2008)</t>
        </is>
      </c>
      <c r="L16" s="10" t="inlineStr">
        <is>
          <t>exceeds - mega-brand</t>
        </is>
      </c>
      <c r="M16" s="10" t="n">
        <v>4</v>
      </c>
      <c r="N16" s="10" t="inlineStr">
        <is>
          <t>Yes</t>
        </is>
      </c>
      <c r="O16" s="10" t="inlineStr">
        <is>
          <t>All hard filters pass: revenue est. $500M-1.0B, parent General Dynamics market cap $93.3B and highly profitable/growing (revenue +9-10% YoY, record $118B backlog), 4,500+ employees, diversified global bizav customer base of thousands of operators (not concentrated), no F1 conflicts for General Dynamics (distinct from General Motors, which backs the Cadillac F1 team) or Jet Aviation. Fit score 4 — the strongest of the set.</t>
        </is>
      </c>
      <c r="P16" s="10" t="inlineStr">
        <is>
          <t>Ultra-affluent bizav clientele plus a precision-engineering brand story is one of the strongest natural F1 fits in the book — a private-aviation hospitality/UHNW client-experience tie-in around Grand Prix weekends.</t>
        </is>
      </c>
      <c r="Q16" s="10" t="inlineStr">
        <is>
          <t>parent: General Dynamics; wholly-owned subsidiary — outreach would likely need to route through/gain sign-off from parent GD</t>
        </is>
      </c>
      <c r="R16" s="10" t="inlineStr">
        <is>
          <t>verified-existing</t>
        </is>
      </c>
      <c r="S16" s="10" t="inlineStr">
        <is>
          <t>2026-09-28</t>
        </is>
      </c>
    </row>
    <row r="17">
      <c r="A17" s="10" t="n">
        <v>14</v>
      </c>
      <c r="B17" s="10" t="n">
        <v>84</v>
      </c>
      <c r="C17" s="10" t="inlineStr">
        <is>
          <t>AerCap Holdings</t>
        </is>
      </c>
      <c r="D17" s="10" t="inlineStr">
        <is>
          <t>aercap.com</t>
        </is>
      </c>
      <c r="E17" s="10" t="inlineStr">
        <is>
          <t>Dublin, Ireland</t>
        </is>
      </c>
      <c r="F17" s="10" t="inlineStr">
        <is>
          <t>Publicly traded (NYSE: AER); registered in Netherlands, HQ Dublin; no state ownership</t>
        </is>
      </c>
      <c r="G17" s="10" t="inlineStr">
        <is>
          <t>Aircraft, engine &amp; helicopter leasing</t>
        </is>
      </c>
      <c r="H17" s="10" t="inlineStr">
        <is>
          <t>1k-5k</t>
        </is>
      </c>
      <c r="I17" s="10" t="inlineStr">
        <is>
          <t>$8.52B FY2025, up 6.5% YoY (stockanalysis.com, reported early 2026)</t>
        </is>
      </c>
      <c r="J17" s="10" t="inlineStr">
        <is>
          <t>Market cap ~$22.5B (2026 data, stockanalysis.com)</t>
        </is>
      </c>
      <c r="K17" s="10" t="inlineStr">
        <is>
          <t>N/A (public company)</t>
        </is>
      </c>
      <c r="L17" s="10" t="inlineStr">
        <is>
          <t>exceeds - mega-brand</t>
        </is>
      </c>
      <c r="M17" s="10" t="n">
        <v>3</v>
      </c>
      <c r="N17" s="10" t="inlineStr">
        <is>
          <t>Yes</t>
        </is>
      </c>
      <c r="O17" s="10" t="inlineStr">
        <is>
          <t>Revenue $8.52B (FY2025) and market cap ~$22.5B both pass by a wide margin; headcount 2,500+ (1k-5k band); net income $3.8B FY2025, highly profitable; leases to ~300 airlines worldwide with no concentration risk; no F1 sponsorship found. Fit 3/4 (brand story is financial/enabling rather than pure performance-tech).</t>
        </is>
      </c>
      <c r="P17" s="10" t="inlineStr">
        <is>
          <t>World's largest aviation lessor - the financial engine behind global air travel; open aircraft-leasing/aviation-finance category; 'we make the fleets that make the sport possible' framing.</t>
        </is>
      </c>
      <c r="Q17" s="10" t="n"/>
      <c r="R17" s="10" t="inlineStr">
        <is>
          <t>verified-existing</t>
        </is>
      </c>
      <c r="S17" s="10" t="inlineStr">
        <is>
          <t>2026-09-28</t>
        </is>
      </c>
    </row>
    <row r="18">
      <c r="A18" s="10" t="n">
        <v>15</v>
      </c>
      <c r="B18" s="10" t="n">
        <v>84</v>
      </c>
      <c r="C18" s="10" t="inlineStr">
        <is>
          <t>Avolon Holdings</t>
        </is>
      </c>
      <c r="D18" s="10" t="inlineStr">
        <is>
          <t>avolon.aero</t>
        </is>
      </c>
      <c r="E18" s="10" t="inlineStr">
        <is>
          <t>Dublin, Ireland</t>
        </is>
      </c>
      <c r="F18" s="10" t="inlineStr">
        <is>
          <t>Majority-owned by ORIX Corporation (Japan, public, ~$40B market cap); minority holders include Bohai Leasing and others; not state-owned</t>
        </is>
      </c>
      <c r="G18" s="10" t="inlineStr">
        <is>
          <t>Aircraft leasing</t>
        </is>
      </c>
      <c r="H18" s="10" t="inlineStr">
        <is>
          <t>201-1k</t>
        </is>
      </c>
      <c r="I18" s="10" t="inlineStr">
        <is>
          <t>$3.0B total revenue FY2025 (lease revenue $2.75B, up 7% YoY); net income $591M, up 29% YoY (avolon.aero FY2025 results, reported Feb 2026)</t>
        </is>
      </c>
      <c r="J18" s="10" t="inlineStr">
        <is>
          <t>No current published valuation for Avolon itself (last disclosed at $23.7B in a 2018 funding transaction, stale); parent ORIX Corp market cap ~$40.36B as of May 2026 (companiesmarketcap.com) - passes &gt;$1B via parent</t>
        </is>
      </c>
      <c r="K18" s="10" t="inlineStr">
        <is>
          <t>N/A (established leasing platform; no recent equity raise identified)</t>
        </is>
      </c>
      <c r="L18" s="10" t="inlineStr">
        <is>
          <t>meets parameters</t>
        </is>
      </c>
      <c r="M18" s="10" t="n">
        <v>3</v>
      </c>
      <c r="N18" s="10" t="inlineStr">
        <is>
          <t>Yes</t>
        </is>
      </c>
      <c r="O18" s="10" t="inlineStr">
        <is>
          <t>Revenue $3.0B (FY2025) passes; valuation passes via parent ORIX (~$40B mkt cap, May 2026) since Avolon has no recent standalone figure and is majority-owned by a large non-state public parent; headcount 700+ (201-1k band); net income up 29% YoY - clearly improving, not distressed; leases to many airlines worldwide, no concentration; no F1 sponsorship found for Avolon or ORIX. Fit 3/4.</t>
        </is>
      </c>
      <c r="P18" s="10" t="inlineStr">
        <is>
          <t>Fast-growing, profitable aviation-finance platform backed by a top-tier Japanese parent; open leasing/aviation-finance category; growth-and-scale narrative.</t>
        </is>
      </c>
      <c r="Q18" s="10" t="inlineStr">
        <is>
          <t>parent: ORIX Corporation (Japan, no F1 ties found)</t>
        </is>
      </c>
      <c r="R18" s="10" t="inlineStr">
        <is>
          <t>verified-existing</t>
        </is>
      </c>
      <c r="S18" s="10" t="inlineStr">
        <is>
          <t>2026-09-28</t>
        </is>
      </c>
    </row>
    <row r="19">
      <c r="A19" s="10" t="n">
        <v>16</v>
      </c>
      <c r="B19" s="10" t="n">
        <v>84</v>
      </c>
      <c r="C19" s="10" t="inlineStr">
        <is>
          <t>SMBC Aviation Capital</t>
        </is>
      </c>
      <c r="D19" s="10" t="inlineStr">
        <is>
          <t>smbc.aero</t>
        </is>
      </c>
      <c r="E19" s="10" t="inlineStr">
        <is>
          <t>Dublin, Ireland</t>
        </is>
      </c>
      <c r="F19" s="10" t="inlineStr">
        <is>
          <t>Wholly-owned by a Japanese consortium - Sumitomo Mitsui Finance and Leasing / Sumitomo Mitsui Banking Corp (part of SMFG, public, Japan) together with Sumitomo Corporation; not state-owned</t>
        </is>
      </c>
      <c r="G19" s="10" t="inlineStr">
        <is>
          <t>Aircraft leasing</t>
        </is>
      </c>
      <c r="H19" s="10" t="inlineStr">
        <is>
          <t>201-1k</t>
        </is>
      </c>
      <c r="I19" s="10" t="inlineStr">
        <is>
          <t>Lease revenue ~$1.97B plus $36.7M servicing fees for FY ended March 31 2026; profit before tax $707M, up 20% YoY (smbc.aero FY results, reported ~May 2026)</t>
        </is>
      </c>
      <c r="J19" s="10" t="inlineStr">
        <is>
          <t>No standalone published valuation (private, consortium-owned); parent SMFG market cap ~$143-174B as of mid-2026 (multiple trackers) - passes &gt;$1B via parent by a wide margin</t>
        </is>
      </c>
      <c r="K19" s="10" t="inlineStr">
        <is>
          <t>N/A (established leasing platform)</t>
        </is>
      </c>
      <c r="L19" s="10" t="inlineStr">
        <is>
          <t>meets parameters</t>
        </is>
      </c>
      <c r="M19" s="10" t="n">
        <v>3</v>
      </c>
      <c r="N19" s="10" t="inlineStr">
        <is>
          <t>Yes</t>
        </is>
      </c>
      <c r="O19" s="10" t="inlineStr">
        <is>
          <t>Revenue ~$1.97B lease revenue and $707M pre-tax profit (FY ended March 2026) pass comfortably; valuation passes via parent SMFG (~$150B+ mkt cap); headcount 300+ (201-1k band); profit up 20% YoY - clearly improving; leases to many airlines worldwide, no concentration; no F1 sponsorship found for SMBC entities (their confirmed sponsorships are rugby/golf/baseball, not F1). Fit 3/4.</t>
        </is>
      </c>
      <c r="P19" s="10" t="inlineStr">
        <is>
          <t>Backed by one of Japan's largest financial groups; profitable, growing leasing platform; open aviation-finance category; Japan/APAC growth-market angle for F1's expansion strategy.</t>
        </is>
      </c>
      <c r="Q19" s="10" t="inlineStr">
        <is>
          <t>parent: Sumitomo Mitsui Finance and Leasing / SMFG (Japan, no F1 ties found)</t>
        </is>
      </c>
      <c r="R19" s="10" t="inlineStr">
        <is>
          <t>verified-existing</t>
        </is>
      </c>
      <c r="S19" s="10" t="inlineStr">
        <is>
          <t>2026-09-28</t>
        </is>
      </c>
    </row>
    <row r="20">
      <c r="A20" s="10" t="n">
        <v>17</v>
      </c>
      <c r="B20" s="10" t="n">
        <v>84</v>
      </c>
      <c r="C20" s="10" t="inlineStr">
        <is>
          <t>Aviation Capital Group</t>
        </is>
      </c>
      <c r="D20" s="10" t="inlineStr">
        <is>
          <t>aviationcapitalgroup.com</t>
        </is>
      </c>
      <c r="E20" s="10" t="inlineStr">
        <is>
          <t>United States</t>
        </is>
      </c>
      <c r="F20" s="10" t="inlineStr">
        <is>
          <t>Wholly owned subsidiary of Tokyo Century Corporation (Japan, public); a 50% stake transfer to ITOCHU Corporation is pending, expected to close Nov 2026 - parent: Tokyo Century Corporation / ITOCHU, neither state-owned nor F1-tied</t>
        </is>
      </c>
      <c r="G20" s="10" t="inlineStr">
        <is>
          <t>Aircraft leasing (~450 owned/managed/committed aircraft, ~85 airlines, ~50 countries)</t>
        </is>
      </c>
      <c r="H20" s="10" t="inlineStr">
        <is>
          <t>51-200</t>
        </is>
      </c>
      <c r="I20" s="10" t="inlineStr">
        <is>
          <t>$1.3B FY2025, record annual revenue (ACG press release, Feb 25 2026); $668M H1 2026, +9% YoY (ACG press release, Aug 13 2026 basis)</t>
        </is>
      </c>
      <c r="J20" s="10" t="inlineStr">
        <is>
          <t>No standalone valuation (wholly owned subsidiary); parent Tokyo Century Corporation market cap ~$7.94B as of Jul 14 2026 (stockanalysis.com)</t>
        </is>
      </c>
      <c r="K20" s="10" t="inlineStr">
        <is>
          <t>N/A - profitable and self-funded; pre-tax net income $751M FY2025, operating cash flow +20% YoY</t>
        </is>
      </c>
      <c r="L20" s="10" t="inlineStr">
        <is>
          <t>meets parameters</t>
        </is>
      </c>
      <c r="M20" s="10" t="n">
        <v>3</v>
      </c>
      <c r="N20" s="10" t="inlineStr">
        <is>
          <t>Yes</t>
        </is>
      </c>
      <c r="O20" s="10" t="inlineStr">
        <is>
          <t>Clears every hard filter with strong margins: record $1.3B FY2025 revenue with continued growth into 2026, valuation covered via the profitable public parent (Tokyo Century, ~$7.9B market cap), no F1 conflict found, ownership is a large non-state Japanese corporate group (soon joint with ITOCHU, also non-state), headcount and diversified ~85-airline customer base both clear, and financials show record growth with no distress signals.</t>
        </is>
      </c>
      <c r="P20" s="10" t="inlineStr">
        <is>
          <t>Global aviation-growth financier story - position ACG as the capital behind the world's growing fleets, an open category (aircraft leasing/financing) with a genuine global-ambition, precision-engineering-adjacent narrative via its aircraft portfolio.</t>
        </is>
      </c>
      <c r="Q20" s="10" t="inlineStr">
        <is>
          <t>parent: Tokyo Century Corporation, transitioning to 50/50 joint ownership with ITOCHU Corporation (both large public Japanese groups, no F1 ties, expected close Nov 2026)</t>
        </is>
      </c>
      <c r="R20" s="10" t="inlineStr">
        <is>
          <t>verified-existing</t>
        </is>
      </c>
      <c r="S20" s="10" t="inlineStr">
        <is>
          <t>2026-09-28</t>
        </is>
      </c>
    </row>
    <row r="21">
      <c r="A21" s="11" t="n">
        <v>18</v>
      </c>
      <c r="B21" s="11" t="n">
        <v>64</v>
      </c>
      <c r="C21" s="11" t="inlineStr">
        <is>
          <t>Embraer Executive Jets</t>
        </is>
      </c>
      <c r="D21" s="11" t="inlineStr">
        <is>
          <t>executive.embraer.com</t>
        </is>
      </c>
      <c r="E21" s="11" t="inlineStr">
        <is>
          <t>Brazil</t>
        </is>
      </c>
      <c r="F21" s="11" t="inlineStr">
        <is>
          <t>division of Embraer S.A. (NYSE/B3: ERJ/EMBJ, publicly traded); Brazilian government holds a minority 'golden share' with veto rights dating to the 1994 privatization</t>
        </is>
      </c>
      <c r="G21" s="11" t="inlineStr">
        <is>
          <t>executive jets (Phenom light jets, Praetor midsize jets)</t>
        </is>
      </c>
      <c r="H21" s="11" t="inlineStr">
        <is>
          <t>1k-5k</t>
        </is>
      </c>
      <c r="I21" s="11" t="inlineStr">
        <is>
          <t>Executive Aviation segment revenue $2,205.1M in 2025, up 25.1% YoY from $1,762.7M in 2024 (Embraer S.A. SEC 6-K/20-F, FY2025)</t>
        </is>
      </c>
      <c r="J21" s="11" t="inlineStr">
        <is>
          <t>parent Embraer S.A. market cap ~$13.37bn as of Aug 20, 2026 (companiesmarketcap.com), ranging ~$11.9-13.4bn through 2026</t>
        </is>
      </c>
      <c r="K21" s="11" t="inlineStr">
        <is>
          <t>n/a (public parent, not VC-backed)</t>
        </is>
      </c>
      <c r="L21" s="11" t="inlineStr">
        <is>
          <t>meets parameters</t>
        </is>
      </c>
      <c r="M21" s="11" t="n">
        <v>4</v>
      </c>
      <c r="N21" s="11" t="inlineStr">
        <is>
          <t>Stretch</t>
        </is>
      </c>
      <c r="O21" s="11" t="inlineStr">
        <is>
          <t>Hard filters pass: Executive Aviation segment revenue $2.2bn (+25% YoY, FY2025 SEC filing); parent Embraer S.A. market cap ~$13.4bn (Aug 2026); no F1 conflicts found; headcount ~3,000+ (1k-5k band); broad global buyer base. Fit=4 (multi-market, affluent buyers, strong performance/precision brand story, open category) -- would otherwise be a Yes, but capped at Stretch because the Brazilian government holds a minority golden share in parent Embraer S.A.</t>
        </is>
      </c>
      <c r="P21" s="11" t="inlineStr">
        <is>
          <t>Executive Aviation segment revenue up 25% YoY -- pitch Brazilian aerospace engineering-precision and global-ambition story to HNWI/corporate flight buyers via a technical team partnership; open business-jet OEM category on the grid.</t>
        </is>
      </c>
      <c r="Q21" s="11" t="inlineStr">
        <is>
          <t>parent: Embraer S.A. -- Brazilian government holds a minority 'golden share' (minority state stake); duplicate/overlap risk: a separate standalone 'Embraer' entry likely exists elsewhere in the full sector book (per desk-triage flag) -- avoid double-counting in the master tracker</t>
        </is>
      </c>
      <c r="R21" s="11" t="inlineStr">
        <is>
          <t>verified-existing</t>
        </is>
      </c>
      <c r="S21" s="11" t="inlineStr">
        <is>
          <t>2026-09-28</t>
        </is>
      </c>
    </row>
    <row r="22">
      <c r="A22" s="11" t="n">
        <v>19</v>
      </c>
      <c r="B22" s="11" t="n">
        <v>64</v>
      </c>
      <c r="C22" s="11" t="inlineStr">
        <is>
          <t>FlightSafety International (Berkshire Hathaway)</t>
        </is>
      </c>
      <c r="D22" s="11" t="inlineStr">
        <is>
          <t>flightsafety.com</t>
        </is>
      </c>
      <c r="E22" s="11" t="inlineStr">
        <is>
          <t>United States</t>
        </is>
      </c>
      <c r="F22" s="11" t="inlineStr">
        <is>
          <t>wholly-owned subsidiary of Berkshire Hathaway Inc. (NYSE: BRK.A/BRK.B), publicly traded; no state ownership</t>
        </is>
      </c>
      <c r="G22" s="11" t="inlineStr">
        <is>
          <t>aviation training &amp; simulation services</t>
        </is>
      </c>
      <c r="H22" s="11" t="inlineStr">
        <is>
          <t>5k-10k</t>
        </is>
      </c>
      <c r="I22" s="11" t="inlineStr">
        <is>
          <t>Not separately disclosed by Berkshire; bundled within Berkshire's 'Service' group (incl. NetJets) -- Service group earnings rose from $1.79bn to $2.06bn YTD through Q3 2025, aviation revenues up ~9.6-9.7% YoY (Aviation International News, Aug/Nov 2025); FlightSafety-specific revenue is an industry estimate of ~$2bn+ (est), not independently confirmed</t>
        </is>
      </c>
      <c r="J22" s="11" t="inlineStr">
        <is>
          <t>parent Berkshire Hathaway market cap well over $1 trillion in 2026 (widely reported; scale is unambiguous relative to the $1B bar)</t>
        </is>
      </c>
      <c r="K22" s="11" t="inlineStr">
        <is>
          <t>n/a (wholly-owned subsidiary of public parent)</t>
        </is>
      </c>
      <c r="L22" s="11" t="inlineStr">
        <is>
          <t>exceeds - mega-brand</t>
        </is>
      </c>
      <c r="M22" s="11" t="n">
        <v>4</v>
      </c>
      <c r="N22" s="11" t="inlineStr">
        <is>
          <t>Stretch</t>
        </is>
      </c>
      <c r="O22" s="11" t="inlineStr">
        <is>
          <t>Hard bars pass via the scale of parent Berkshire Hathaway (market cap far above $1bn) and segment-level evidence of strong, growing, profitable aviation services (Service group earnings up from $1.79bn to $2.06bn YTD 2025, aviation revenue +9.6% YoY); no F1 conflicts found; headcount ~5,000+ (5k-10k band); diversified global training-customer base. Fit=4 (multi-market, senior-decision-maker buyers, precision/tech brand story, open category). Real reservation: FlightSafety's own revenue is not broken out by Berkshire -- an uncertain, estimated figure.</t>
        </is>
      </c>
      <c r="P22" s="11" t="inlineStr">
        <is>
          <t>Pilot/crew training &amp; simulation precision-technology story -- align with F1's technical brand positioning; target corporate flight departments and HNWI aircraft owners adjacent to F1's affluent audience; open aviation-training category on the grid.</t>
        </is>
      </c>
      <c r="Q22" s="11" t="inlineStr">
        <is>
          <t>wholly-owned subsidiary of Berkshire Hathaway -- sponsorship decision likely sits with the parent, not disclosed independently; FlightSafety-specific revenue not separately reported by Berkshire (bundled with NetJets in the 'Service' segment) -- figure used is an industry estimate (est)</t>
        </is>
      </c>
      <c r="R22" s="11" t="inlineStr">
        <is>
          <t>verified-existing</t>
        </is>
      </c>
      <c r="S22" s="11" t="inlineStr">
        <is>
          <t>2026-09-28</t>
        </is>
      </c>
    </row>
    <row r="23">
      <c r="A23" s="11" t="n">
        <v>20</v>
      </c>
      <c r="B23" s="11" t="n">
        <v>64</v>
      </c>
      <c r="C23" s="11" t="inlineStr">
        <is>
          <t>AAR Corp</t>
        </is>
      </c>
      <c r="D23" s="11" t="inlineStr">
        <is>
          <t>aarcorp.com</t>
        </is>
      </c>
      <c r="E23" s="11" t="inlineStr">
        <is>
          <t>United States</t>
        </is>
      </c>
      <c r="F23" s="11" t="inlineStr">
        <is>
          <t>publicly traded (NYSE: AIR, S&amp;P 600 component); no state ownership identified</t>
        </is>
      </c>
      <c r="G23" s="11" t="inlineStr">
        <is>
          <t>aviation MRO, parts supply &amp; distribution (commercial + government)</t>
        </is>
      </c>
      <c r="H23" s="11" t="inlineStr">
        <is>
          <t>5k-10k</t>
        </is>
      </c>
      <c r="I23" s="11" t="inlineStr">
        <is>
          <t>FY2025 (ended May 31, 2025) sales $2.8bn, +20% YoY; Q4 FY2025 sales $755M, +15% YoY (company press release)</t>
        </is>
      </c>
      <c r="J23" s="11" t="inlineStr">
        <is>
          <t>market cap ~$4.4-5.3bn across 2026 sources (public.com, wallstreetzen.com)</t>
        </is>
      </c>
      <c r="K23" s="11" t="inlineStr">
        <is>
          <t>n/a (established public company, not VC-backed)</t>
        </is>
      </c>
      <c r="L23" s="11" t="inlineStr">
        <is>
          <t>meets parameters</t>
        </is>
      </c>
      <c r="M23" s="11" t="n">
        <v>4</v>
      </c>
      <c r="N23" s="11" t="inlineStr">
        <is>
          <t>Stretch</t>
        </is>
      </c>
      <c r="O23" s="11" t="inlineStr">
        <is>
          <t>Hard filters pass: FY2025 revenue $2.8bn (+20% YoY, company release); market cap ~$4.4-5.3bn (2026); no F1 conflicts found; headcount ~6,000+ (5k-10k band); diversified global airline/government/OEM customer base. Fit=4 (global network, senior B2B buyers, technical global-logistics brand story, open category). Real reservation: thin GAAP profitability (net income only $13M on $2.8bn revenue) despite much stronger adjusted-EPS growth -- capacity-to-spend signal is mixed.</t>
        </is>
      </c>
      <c r="P23" s="11" t="inlineStr">
        <is>
          <t>Global aviation-services/MRO network scale -- pitch a 'keeping the world's fleets flying' reliability story echoing F1's own complex logistics operation; open aviation-MRO category on the grid.</t>
        </is>
      </c>
      <c r="Q23" s="11" t="inlineStr">
        <is>
          <t>thin GAAP net margin (FY2025 net income $13M on $2.8bn revenue, ~0.5%) vs. much stronger adjusted diluted EPS growth (+17%) -- mixed profitability signal; similar aviation-aftermarket/MRO niche to VSE Corp in the same sector tab -- potential category overlap within the book</t>
        </is>
      </c>
      <c r="R23" s="11" t="inlineStr">
        <is>
          <t>verified-existing</t>
        </is>
      </c>
      <c r="S23" s="11" t="inlineStr">
        <is>
          <t>2026-09-28</t>
        </is>
      </c>
    </row>
    <row r="24">
      <c r="A24" s="11" t="n">
        <v>21</v>
      </c>
      <c r="B24" s="11" t="n">
        <v>64</v>
      </c>
      <c r="C24" s="11" t="inlineStr">
        <is>
          <t>Universal Weather and Aviation</t>
        </is>
      </c>
      <c r="D24" s="11" t="inlineStr">
        <is>
          <t>universalweather.com</t>
        </is>
      </c>
      <c r="E24" s="11" t="inlineStr">
        <is>
          <t>Houston, Texas, United States</t>
        </is>
      </c>
      <c r="F24" s="11" t="inlineStr">
        <is>
          <t>Family-owned/private (Evans family - chairman Greg Evans, son of founder Tom Evans; the input's 'Sheridan family' claim was not corroborated by research and appears incorrect)</t>
        </is>
      </c>
      <c r="G24" s="11" t="inlineStr">
        <is>
          <t>Trip support &amp; FBO services for business aviation</t>
        </is>
      </c>
      <c r="H24" s="11" t="inlineStr">
        <is>
          <t>1k-5k</t>
        </is>
      </c>
      <c r="I24" s="11" t="inlineStr">
        <is>
          <t>Estimated $359M-$1B (est) - one tracker cites $359.3M (2026), another estimates $500M-$1B (July 2026); no audited figure disclosed by this private company</t>
        </is>
      </c>
      <c r="J24" s="11" t="inlineStr">
        <is>
          <t>n/a (private, family-owned) - no published valuation; passes the hard revenue bar on the family-owned exception</t>
        </is>
      </c>
      <c r="K24" s="11" t="inlineStr">
        <is>
          <t>N/A (privately held, no external funding)</t>
        </is>
      </c>
      <c r="L24" s="11" t="inlineStr">
        <is>
          <t>meets parameters</t>
        </is>
      </c>
      <c r="M24" s="11" t="n">
        <v>4</v>
      </c>
      <c r="N24" s="11" t="inlineStr">
        <is>
          <t>Stretch</t>
        </is>
      </c>
      <c r="O24" s="11" t="inlineStr">
        <is>
          <t>Hard filters pass: revenue is estimated well above $100M under every source found, though the exact figure is unconfirmed and inconsistent ($359M-$1B range); family-owned with no published valuation passes on the family-owned exception; headcount ~1,700+ per the company's own site (1k-5k band); long-standing, apparently stable private operator (66 years) serving thousands of business-aviation operators worldwide (no concentration risk); no F1 sponsorship conflict (the company publishes F1 Grand Prix trip-planning guides as a client service, not as a sponsor). Marked Stretch because the underlying revenue figure could not be pinned to one confirmed number.</t>
        </is>
      </c>
      <c r="P24" s="11" t="inlineStr">
        <is>
          <t>Already produces F1-race business-aviation planning guides for clients - a warm, organic entry point; pitch a formal trip-support partnership for F1 paddock-club/VIP travel logistics; open category.</t>
        </is>
      </c>
      <c r="Q24" s="11" t="inlineStr">
        <is>
          <t>family-owned, no published valuation (passes on revenue alone); uncertain revenue figure - estimates range $359M-$1B depending on source (est)</t>
        </is>
      </c>
      <c r="R24" s="11" t="inlineStr">
        <is>
          <t>verified-existing</t>
        </is>
      </c>
      <c r="S24" s="11" t="inlineStr">
        <is>
          <t>2026-09-28</t>
        </is>
      </c>
    </row>
    <row r="25">
      <c r="A25" s="11" t="n">
        <v>22</v>
      </c>
      <c r="B25" s="11" t="n">
        <v>64</v>
      </c>
      <c r="C25" s="11" t="inlineStr">
        <is>
          <t>Air Lease Corporation (now Sumisho Air Lease Corporation)</t>
        </is>
      </c>
      <c r="D25" s="11" t="inlineStr">
        <is>
          <t>airleasecorp.com</t>
        </is>
      </c>
      <c r="E25" s="11" t="inlineStr">
        <is>
          <t>United States</t>
        </is>
      </c>
      <c r="F25" s="11" t="inlineStr">
        <is>
          <t>Acquired Apr 8 2026 by a consortium of Sumitomo Corporation, SMBC Aviation Capital, Apollo-managed funds and Brookfield; renamed Sumisho Air Lease Corporation; no longer publicly traded</t>
        </is>
      </c>
      <c r="G25" s="11" t="inlineStr">
        <is>
          <t>Commercial aircraft leasing (~490 owned/managed aircraft)</t>
        </is>
      </c>
      <c r="H25" s="11" t="inlineStr">
        <is>
          <t>51-200</t>
        </is>
      </c>
      <c r="I25" s="11" t="inlineStr">
        <is>
          <t>$3.02B FY2025, up from $2.73B in 2024 (stockanalysis.com/iTiger coverage)</t>
        </is>
      </c>
      <c r="J25" s="11" t="inlineStr">
        <is>
          <t>$7.4B equity purchase price (~$28.2B incl. debt); deal announced Sep 1 2025, closed Apr 8 2026 (Apollo Global Management press release)</t>
        </is>
      </c>
      <c r="K25" s="11" t="inlineStr">
        <is>
          <t>N/A (acquisition, not a raise) - closed Apr 8 2026 with stated 'long-term support' from Sumitomo/SMBC/Apollo/Brookfield</t>
        </is>
      </c>
      <c r="L25" s="11" t="inlineStr">
        <is>
          <t>meets parameters</t>
        </is>
      </c>
      <c r="M25" s="11" t="n">
        <v>4</v>
      </c>
      <c r="N25" s="11" t="inlineStr">
        <is>
          <t>Stretch</t>
        </is>
      </c>
      <c r="O25" s="11" t="inlineStr">
        <is>
          <t>Passes all hard filters (2025 revenue $3.02B, deal valuation $7.4B equity/~$28.2B incl. debt, no F1 tie, ownership consortium has no state majority, headcount and audience both clear) but a real reservation: the company went private just 5 months ago (Apr 2026) under a new multi-party ownership structure, so post-acquisition profitability/spend capacity is not yet independently confirmed.</t>
        </is>
      </c>
      <c r="P25" s="11" t="inlineStr">
        <is>
          <t>Global fleet / global-ambition angle - aircraft leasing underpins the aviation industry's growth story worldwide, now backed by Sumitomo/SMBC/Apollo/Brookfield 'long-term support' messaging that could extend to a marquee global sponsorship platform.</t>
        </is>
      </c>
      <c r="Q25" s="11" t="inlineStr">
        <is>
          <t>very recently taken private (closed Apr 8 2026) and renamed Sumisho Air Lease Corporation - no post-acquisition financial disclosure yet; customer base is ~100+ airline lessees (B2B), not a mass consumer audience</t>
        </is>
      </c>
      <c r="R25" s="11" t="inlineStr">
        <is>
          <t>verified-existing</t>
        </is>
      </c>
      <c r="S25" s="11" t="inlineStr">
        <is>
          <t>2026-09-28</t>
        </is>
      </c>
    </row>
    <row r="26">
      <c r="A26" s="11" t="n">
        <v>23</v>
      </c>
      <c r="B26" s="11" t="n">
        <v>64</v>
      </c>
      <c r="C26" s="11" t="inlineStr">
        <is>
          <t>Chromalloy (Sequa Corp / Carlyle)</t>
        </is>
      </c>
      <c r="D26" s="11" t="inlineStr">
        <is>
          <t>chromalloy.com</t>
        </is>
      </c>
      <c r="E26" s="11" t="inlineStr">
        <is>
          <t>United States</t>
        </is>
      </c>
      <c r="F26" s="11" t="inlineStr">
        <is>
          <t>PE-owned by Veritas Capital (acquired Sequa/Chromalloy from Carlyle, completed Dec 2022). NOTE: input's Carlyle association is stale.</t>
        </is>
      </c>
      <c r="G26" s="11" t="inlineStr">
        <is>
          <t>Engine parts repair &amp; manufacture</t>
        </is>
      </c>
      <c r="H26" s="11" t="inlineStr">
        <is>
          <t>1k-5k (sources conflict: ~2,000 per one estimate vs. input/other estimates of 5,000+; third-party ranges span 1.0-5.0K, Sept 2026)</t>
        </is>
      </c>
      <c r="I26" s="11" t="inlineStr">
        <is>
          <t>Est. $1.0-5.0B (Owler estimate, 2026) — a wide, uncertain range with no precise company-disclosed figure found</t>
        </is>
      </c>
      <c r="J26" s="11" t="inlineStr">
        <is>
          <t>No published valuation; Veritas Capital's Dec 2022 acquisition terms were undisclosed (Businesswire/Veritas Capital press release). PE-owned, so it doesn't qualify for the family/employee-owned valuation exemption.</t>
        </is>
      </c>
      <c r="K26" s="11" t="inlineStr">
        <is>
          <t>Dec 2022: Veritas Capital acquired Sequa/Chromalloy from Carlyle (deal value undisclosed); no raise since identified</t>
        </is>
      </c>
      <c r="L26" s="11" t="inlineStr">
        <is>
          <t>meets parameters</t>
        </is>
      </c>
      <c r="M26" s="11" t="n">
        <v>4</v>
      </c>
      <c r="N26" s="11" t="inlineStr">
        <is>
          <t>Stretch</t>
        </is>
      </c>
      <c r="O26" s="11" t="inlineStr">
        <is>
          <t>F1 conflict clears once ownership is corrected: current owner Veritas Capital has no F1 ties (the Carlyle-Oracle Red Bull Racing deal, live since Sept 2025, postdates and doesn't apply to Carlyle's Dec 2022 sale of this business). Hard filters plausibly pass (likely well over $100M revenue; diversified global airline/OEM customer base; no distress signals — a 2026 industry award and expanding OEM partnerships) but both revenue and valuation are uncertain third-party estimates with no disclosed hard numbers, and PE ownership doesn't qualify for the valuation exemption — a real reservation despite an excellent fit score (4/4).</t>
        </is>
      </c>
      <c r="P26" s="11" t="inlineStr">
        <is>
          <t>A 'keeps engines flying' precision-engineering angle — a direct parallel to F1 power-unit reliability and performance, in an aerospace-MRO category not yet on the grid.</t>
        </is>
      </c>
      <c r="Q26" s="11" t="inlineStr">
        <is>
          <t>revenue and headcount are wide/uncertain third-party estimates, not company-disclosed figures; no published valuation; PE ownership (Veritas Capital) does not get the family/employee-owned exemption; IMPORTANT correction: current owner is Veritas Capital, not Carlyle — Carlyle sold Sequa/Chromalloy in Dec 2022 and has since become an F1 sponsor via Oracle Red Bull Racing (Sept 2025), but that tie does NOT apply to this company under its current ownership</t>
        </is>
      </c>
      <c r="R26" s="11" t="inlineStr">
        <is>
          <t>verified-existing</t>
        </is>
      </c>
      <c r="S26" s="11" t="inlineStr">
        <is>
          <t>2026-09-28</t>
        </is>
      </c>
    </row>
    <row r="27">
      <c r="A27" s="11" t="n">
        <v>24</v>
      </c>
      <c r="B27" s="11" t="n">
        <v>64</v>
      </c>
      <c r="C27" s="11" t="inlineStr">
        <is>
          <t>Sabena technics</t>
        </is>
      </c>
      <c r="D27" s="11" t="inlineStr">
        <is>
          <t>sabenatechnics.com</t>
        </is>
      </c>
      <c r="E27" s="11" t="inlineStr">
        <is>
          <t>France</t>
        </is>
      </c>
      <c r="F27" s="11" t="inlineStr">
        <is>
          <t>PE consortium (Bpifrance, Sagard, TowerBrook), majority stake acquired 2019; TAT Group retains a minority stake; Bpifrance is a French public investment bank, giving a minority state-linked interest</t>
        </is>
      </c>
      <c r="G27" s="11" t="inlineStr">
        <is>
          <t>Aircraft &amp; component MRO</t>
        </is>
      </c>
      <c r="H27" s="11" t="inlineStr">
        <is>
          <t>1k-5k</t>
        </is>
      </c>
      <c r="I27" s="11" t="inlineStr">
        <is>
          <t>~$814.7M (2025, est. per aggregated financial trackers CB Insights/Craft — no official public filing since private); clears &gt;$100M hard bar</t>
        </is>
      </c>
      <c r="J27" s="11" t="inlineStr">
        <is>
          <t>No current published valuation. 2019 buyout valued the company at ~€320M when revenue was €450M (TowerBrook/CFNEWS reporting) — badly outdated vs today's ~$814M revenue, not usable as a current figure</t>
        </is>
      </c>
      <c r="K27" s="11" t="inlineStr">
        <is>
          <t>2019 majority buyout by Sagard/Bpifrance/TowerBrook consortium; no raise since</t>
        </is>
      </c>
      <c r="L27" s="11" t="inlineStr">
        <is>
          <t>meets parameters</t>
        </is>
      </c>
      <c r="M27" s="11" t="n">
        <v>4</v>
      </c>
      <c r="N27" s="11" t="inlineStr">
        <is>
          <t>Stretch</t>
        </is>
      </c>
      <c r="O27" s="11" t="inlineStr">
        <is>
          <t>Revenue clearly passes (~$814.7M, &gt;$100M) and no F1 conflict found in search, but the minority state-linked stake (Bpifrance) and 6+ year PE hold are real reservations per protocol — capped at Stretch.</t>
        </is>
      </c>
      <c r="P27" s="11" t="inlineStr">
        <is>
          <t>Precision aircraft-maintenance engineering story tied to F1 reliability/performance themes; MRO is an open category on the grid.</t>
        </is>
      </c>
      <c r="Q27" s="11" t="inlineStr">
        <is>
          <t>minority state-linked stake via Bpifrance (French public investment bank); PE-owned 6+ years (Sagard/TowerBrook since 2019); revenue figure sourced from a data aggregator, not an official filing (private company)</t>
        </is>
      </c>
      <c r="R27" s="11" t="inlineStr">
        <is>
          <t>verified-existing</t>
        </is>
      </c>
      <c r="S27" s="11" t="inlineStr">
        <is>
          <t>2026-09-28</t>
        </is>
      </c>
    </row>
    <row r="28">
      <c r="A28" s="11" t="n">
        <v>25</v>
      </c>
      <c r="B28" s="11" t="n">
        <v>64</v>
      </c>
      <c r="C28" s="11" t="inlineStr">
        <is>
          <t>SR Technics</t>
        </is>
      </c>
      <c r="D28" s="11" t="inlineStr">
        <is>
          <t>srtechnics.com</t>
        </is>
      </c>
      <c r="E28" s="11" t="inlineStr">
        <is>
          <t>Switzerland</t>
        </is>
      </c>
      <c r="F28" s="11" t="inlineStr">
        <is>
          <t>80% HNA Aviation (China) / 20% Mubadala (Abu Dhabi sovereign wealth fund) — minority state stake. HNA Group (parent) underwent a ~$111B bankruptcy restructuring, formally completed April 2022</t>
        </is>
      </c>
      <c r="G28" s="11" t="inlineStr">
        <is>
          <t>Independent aircraft MRO</t>
        </is>
      </c>
      <c r="H28" s="11" t="inlineStr">
        <is>
          <t>1k-5k</t>
        </is>
      </c>
      <c r="I28" s="11" t="inlineStr">
        <is>
          <t>~$880-900M (est., unverified — Growjo/aggregator data only; no official financial filing located for SR Technics as a private Swiss entity)</t>
        </is>
      </c>
      <c r="J28" s="11" t="inlineStr">
        <is>
          <t>No current published valuation. HNA explored a ~$1B sale of SR Technics in 2019 (Bloomberg) but it did not close; no valuation event since</t>
        </is>
      </c>
      <c r="K28" s="11" t="inlineStr">
        <is>
          <t>n/a — last ownership change was HNA's 2016 acquisition of an 80% stake from Mubadala</t>
        </is>
      </c>
      <c r="L28" s="11" t="inlineStr">
        <is>
          <t>meets parameters</t>
        </is>
      </c>
      <c r="M28" s="11" t="n">
        <v>4</v>
      </c>
      <c r="N28" s="11" t="inlineStr">
        <is>
          <t>Stretch</t>
        </is>
      </c>
      <c r="O28" s="11" t="inlineStr">
        <is>
          <t>No F1 tie found and headcount/scale plausible, but revenue is an unverified estimate, ownership carries a minority sovereign stake (Mubadala), and majority owner HNA's history of bankruptcy restructuring raises a real capacity reservation — Stretch.</t>
        </is>
      </c>
      <c r="P28" s="11" t="inlineStr">
        <is>
          <t>Independent global MRO reliability/precision engineering story, timed to fleet-renewal cycles.</t>
        </is>
      </c>
      <c r="Q28" s="11" t="inlineStr">
        <is>
          <t>minority sovereign stake (Mubadala, 20%); majority owner HNA Aviation's parent group underwent large-scale bankruptcy restructuring (completed 2022) — spending capacity uncertain; revenue figure is an unverified estimate; no official filings found</t>
        </is>
      </c>
      <c r="R28" s="11" t="inlineStr">
        <is>
          <t>verified-existing</t>
        </is>
      </c>
      <c r="S28" s="11" t="inlineStr">
        <is>
          <t>2026-09-28</t>
        </is>
      </c>
    </row>
    <row r="29">
      <c r="A29" s="11" t="n">
        <v>26</v>
      </c>
      <c r="B29" s="11" t="n">
        <v>64</v>
      </c>
      <c r="C29" s="11" t="inlineStr">
        <is>
          <t>Senior plc</t>
        </is>
      </c>
      <c r="D29" s="11" t="inlineStr">
        <is>
          <t>seniorplc.com</t>
        </is>
      </c>
      <c r="E29" s="11" t="inlineStr">
        <is>
          <t>United Kingdom</t>
        </is>
      </c>
      <c r="F29" s="11" t="inlineStr">
        <is>
          <t>publicly traded (LSE: SNR), no state ties</t>
        </is>
      </c>
      <c r="G29" s="11" t="inlineStr">
        <is>
          <t>Fluid conveyance &amp; thermal management components (Aerospace &amp; Flexonics divisions); divested its Aerostructures business to Sullivan Street Partners on 31 Dec 2025 to become a focused fluid-conveyance/thermal-management supplier</t>
        </is>
      </c>
      <c r="H29" s="11" t="inlineStr">
        <is>
          <t>1k-5k</t>
        </is>
      </c>
      <c r="I29" s="11" t="inlineStr">
        <is>
          <t>£738.2M FY2025 group revenue; continuing (post-divestment) operations up 6% at constant currency, adjusted PBT up 21-24% (source: Senior plc FY2025 Annual Results, ~Mar 2026, investegate.co.uk)</t>
        </is>
      </c>
      <c r="J29" s="11" t="inlineStr">
        <is>
          <t>£821.86M market cap (recent 2026 data, TipRanks) — roughly $1.0-1.05B est., near but not confirmed clearly above the $1B bar; irrelevant to the verdict since revenue independently clears the size gate</t>
        </is>
      </c>
      <c r="K29" s="11" t="inlineStr">
        <is>
          <t>n/a — public company; completed sale of Aerostructures business for ~£116.8M total consideration, effective 31 Dec 2025</t>
        </is>
      </c>
      <c r="L29" s="11" t="inlineStr">
        <is>
          <t>meets parameters</t>
        </is>
      </c>
      <c r="M29" s="11" t="n">
        <v>4</v>
      </c>
      <c r="N29" s="11" t="inlineStr">
        <is>
          <t>Stretch</t>
        </is>
      </c>
      <c r="O29" s="11" t="inlineStr">
        <is>
          <t>Revenue clearly passes (£738.2M FY2025) and no F1 tie found, but the company just completed a major divestment (Aerostructures, Dec 2025), leaving current scale/headcount in flux — Stretch.</t>
        </is>
      </c>
      <c r="P29" s="11" t="inlineStr">
        <is>
          <t>Newly-refocused 'pure play' fluid conveyance &amp; thermal management leader — precision/performance engineering story timed to its strategic repositioning.</t>
        </is>
      </c>
      <c r="Q29" s="11" t="inlineStr">
        <is>
          <t>recent major divestment (Aerostructures sold Dec 2025) leaves current headcount/scale figures in flux vs the 5,500+ pre-divestment estimate; customer concentration among aerospace OEM primes in the Aerospace division, offset by diversified Flexonics industrial end-markets (auto, energy, medical); market cap (~£822M) sits close to, but not confirmed above, the $1B valuation bar</t>
        </is>
      </c>
      <c r="R29" s="11" t="inlineStr">
        <is>
          <t>verified-existing</t>
        </is>
      </c>
      <c r="S29" s="11" t="inlineStr">
        <is>
          <t>2026-09-28</t>
        </is>
      </c>
    </row>
    <row r="30">
      <c r="A30" s="11" t="n">
        <v>27</v>
      </c>
      <c r="B30" s="11" t="n">
        <v>64</v>
      </c>
      <c r="C30" s="11" t="inlineStr">
        <is>
          <t>Collins Aerospace (RTX)</t>
        </is>
      </c>
      <c r="D30" s="11" t="inlineStr">
        <is>
          <t>collinsaerospace.com</t>
        </is>
      </c>
      <c r="E30" s="11" t="inlineStr">
        <is>
          <t>United States</t>
        </is>
      </c>
      <c r="F30" s="11" t="inlineStr">
        <is>
          <t>wholly owned subsidiary of RTX Corporation (NYSE: RTX; public, no state ownership)</t>
        </is>
      </c>
      <c r="G30" s="11" t="inlineStr">
        <is>
          <t>Avionics, interiors &amp; aerospace systems</t>
        </is>
      </c>
      <c r="H30" s="11" t="inlineStr">
        <is>
          <t>10k+</t>
        </is>
      </c>
      <c r="I30" s="11" t="inlineStr">
        <is>
          <t>$30.2B FY2025 segment revenue (RTX 10-K, reported 2026) — vastly exceeds the &gt;$100M hard bar</t>
        </is>
      </c>
      <c r="J30" s="11" t="inlineStr">
        <is>
          <t>n/a as a standalone entity (wholly owned subsidiary, no independent market value); RTX parent's market cap is in the hundreds of billions</t>
        </is>
      </c>
      <c r="K30" s="11" t="inlineStr">
        <is>
          <t>n/a — subsidiary of public RTX Corporation</t>
        </is>
      </c>
      <c r="L30" s="11" t="inlineStr">
        <is>
          <t>exceeds - mega-brand</t>
        </is>
      </c>
      <c r="M30" s="11" t="n">
        <v>4</v>
      </c>
      <c r="N30" s="11" t="inlineStr">
        <is>
          <t>Stretch</t>
        </is>
      </c>
      <c r="O30" s="11" t="inlineStr">
        <is>
          <t>All hard filters pass at massive scale ($30.2B FY2025 segment revenue, 70,000+ employees) and no current F1 tie (the 2012 Rockwell Collins/Caterham deal ended with Caterham's 2015 F1 exit), but as a wholly-owned RTX subsidiary with sponsorship decisions centralized at the parent — which is already tracked elsewhere in the master book — real feasibility doubt caps this at Stretch.</t>
        </is>
      </c>
      <c r="P30" s="11" t="inlineStr">
        <is>
          <t>Avionics/aerospace technology precision story — but route outreach via RTX corporate, not the Collins Aerospace subsidiary directly.</t>
        </is>
      </c>
      <c r="Q30" s="11" t="inlineStr">
        <is>
          <t>wholly-owned subsidiary — sponsorship decisions are likely made at RTX corporate level, not independently by Collins Aerospace; parent RTX already appears elsewhere in the master prospect list per desk triage — possible duplicate outreach; historic Rockwell Collins/Caterham F1 technology partnership (announced 2012) is defunct — Caterham exited F1 in 2015, no current tie found; major U.S. defense contractor (RTX/Raytheon) — some reputational sensitivity for consumer-facing sponsorship</t>
        </is>
      </c>
      <c r="R30" s="11" t="inlineStr">
        <is>
          <t>verified-existing</t>
        </is>
      </c>
      <c r="S30" s="11" t="inlineStr">
        <is>
          <t>2026-09-28</t>
        </is>
      </c>
    </row>
    <row r="31">
      <c r="A31" s="11" t="n">
        <v>28</v>
      </c>
      <c r="B31" s="11" t="n">
        <v>64</v>
      </c>
      <c r="C31" s="11" t="inlineStr">
        <is>
          <t>AerFin</t>
        </is>
      </c>
      <c r="D31" s="11" t="inlineStr">
        <is>
          <t>aerfin.com</t>
        </is>
      </c>
      <c r="E31" s="11" t="inlineStr">
        <is>
          <t>United Kingdom</t>
        </is>
      </c>
      <c r="F31" s="11" t="inlineStr">
        <is>
          <t>Privately held; majority owned by CataCap Management (Danish PE) since a 2019 acquisition from CarVal Investors, with Schroders Capital (via Schroder Adveq) as co-investor</t>
        </is>
      </c>
      <c r="G31" s="11" t="inlineStr">
        <is>
          <t>Aircraft/engine parts &amp; asset management</t>
        </is>
      </c>
      <c r="H31" s="11" t="inlineStr">
        <is>
          <t>51-200</t>
        </is>
      </c>
      <c r="I31" s="11" t="inlineStr">
        <is>
          <t>£236.7M turnover for the year to Dec 2024 (Insider Media / Endole / Pomanda) - roughly $300M, passing the $100M hard bar</t>
        </is>
      </c>
      <c r="J31" s="11" t="inlineStr">
        <is>
          <t>N/A - private, PE-owned, no published valuation; at the 2019 acquisition the group projected ~DKK780M revenue / ~DKK115M operating profit (CataCap/Aviation Maintenance Magazine, 2019)</t>
        </is>
      </c>
      <c r="K31" s="11" t="inlineStr">
        <is>
          <t>CataCap acquired majority stake from CarVal Investors, 2019; no financing event within the last 18 months found</t>
        </is>
      </c>
      <c r="L31" s="11" t="inlineStr">
        <is>
          <t>meets parameters</t>
        </is>
      </c>
      <c r="M31" s="11" t="n">
        <v>4</v>
      </c>
      <c r="N31" s="11" t="inlineStr">
        <is>
          <t>Stretch</t>
        </is>
      </c>
      <c r="O31" s="11" t="inlineStr">
        <is>
          <t>Hard filters pass (revenue £236.7M for FY2024 confirmed, no F1 conflict found, UK/Danish private ownership with no compliance issues, broad multi-customer base). Capped at Stretch because PE ownership of 6+ years is a named reservation trigger and no recent (18-month) capital raise confirms fresh growth capacity beyond steady profitability.</t>
        </is>
      </c>
      <c r="P31" s="11" t="inlineStr">
        <is>
          <t>Aircraft-parts precision/engineering story leveraging AerFin's global OEM relationships (world's largest independent E-Jet material supplier) and broad multi-market airline customer base.</t>
        </is>
      </c>
      <c r="Q31" s="11" t="inlineStr">
        <is>
          <t>PE-owned 6+ years (CataCap, since 2019)</t>
        </is>
      </c>
      <c r="R31" s="11" t="inlineStr">
        <is>
          <t>verified-existing</t>
        </is>
      </c>
      <c r="S31" s="11" t="inlineStr">
        <is>
          <t>2026-09-28</t>
        </is>
      </c>
    </row>
    <row r="32">
      <c r="A32" s="11" t="n">
        <v>29</v>
      </c>
      <c r="B32" s="11" t="n">
        <v>64</v>
      </c>
      <c r="C32" s="11" t="inlineStr">
        <is>
          <t>AJW Group</t>
        </is>
      </c>
      <c r="D32" s="11" t="inlineStr">
        <is>
          <t>ajw-group.com</t>
        </is>
      </c>
      <c r="E32" s="11" t="inlineStr">
        <is>
          <t>United Kingdom</t>
        </is>
      </c>
      <c r="F32" s="11" t="inlineStr">
        <is>
          <t>Privately held (A J Walter Aviation Limited) with a minority growth investment from Fonds de solidarité FTQ; not state-owned</t>
        </is>
      </c>
      <c r="G32" s="11" t="inlineStr">
        <is>
          <t>Aircraft parts supply chain &amp; MRO</t>
        </is>
      </c>
      <c r="H32" s="11" t="inlineStr">
        <is>
          <t>201-1k</t>
        </is>
      </c>
      <c r="I32" s="11" t="inlineStr">
        <is>
          <t>~$128.3M (2024 est., Owler/ZoomInfo-sourced estimate) — passes the $100M hard bar but by a thin margin and not independently confirmed</t>
        </is>
      </c>
      <c r="J32" s="11" t="inlineStr">
        <is>
          <t>No published valuation; private with minority PE/growth investment (Fonds de solidarité FTQ, $15.0M, 2024) — treated as passing on revenue alone</t>
        </is>
      </c>
      <c r="K32" s="11" t="inlineStr">
        <is>
          <t>$15.0M growth investment from Fonds de solidarité FTQ (2024, Craft.co/Owler)</t>
        </is>
      </c>
      <c r="L32" s="11" t="inlineStr">
        <is>
          <t>meets parameters</t>
        </is>
      </c>
      <c r="M32" s="11" t="n">
        <v>4</v>
      </c>
      <c r="N32" s="11" t="inlineStr">
        <is>
          <t>Stretch</t>
        </is>
      </c>
      <c r="O32" s="11" t="inlineStr">
        <is>
          <t>Hard filters technically pass: revenue ~$128M (2024 est.) above the $100M bar, private with no published valuation (passes on revenue alone), headcount 500-1,000 (201-1k band), diversified customer base of 1,000+ airlines (no concentration), no F1 conflicts found, ownership private/non-state. Reservation: the revenue figure is an uncertain third-party estimate sitting only modestly above the hard bar -&gt; Stretch despite fit=4.</t>
        </is>
      </c>
      <c r="P32" s="11" t="inlineStr">
        <is>
          <t>Aviation supply-chain precision and global logistics network story ('keeping 1,000+ airlines flying') mirrors F1's own high-precision parts-logistics narrative (est).</t>
        </is>
      </c>
      <c r="Q32" s="11" t="inlineStr">
        <is>
          <t>revenue figure is a third-party estimate (Owler/ZoomInfo), not confirmed via audited financials — sits close to the $100M threshold; minority PE/growth investment from Fonds de solidarité FTQ (2024)</t>
        </is>
      </c>
      <c r="R32" s="11" t="inlineStr">
        <is>
          <t>verified-existing</t>
        </is>
      </c>
      <c r="S32" s="11" t="inlineStr">
        <is>
          <t>2026-09-28</t>
        </is>
      </c>
    </row>
    <row r="33">
      <c r="A33" s="11" t="n">
        <v>30</v>
      </c>
      <c r="B33" s="11" t="n">
        <v>64</v>
      </c>
      <c r="C33" s="11" t="inlineStr">
        <is>
          <t>Bristow Group</t>
        </is>
      </c>
      <c r="D33" s="11" t="inlineStr">
        <is>
          <t>bristowgroup.com</t>
        </is>
      </c>
      <c r="E33" s="11" t="inlineStr">
        <is>
          <t>United States</t>
        </is>
      </c>
      <c r="F33" s="11" t="inlineStr">
        <is>
          <t>Publicly traded (NYSE: VTOL); no state ownership identified</t>
        </is>
      </c>
      <c r="G33" s="11" t="inlineStr">
        <is>
          <t>Helicopter services (offshore, SAR)</t>
        </is>
      </c>
      <c r="H33" s="11" t="inlineStr">
        <is>
          <t>1k-5k</t>
        </is>
      </c>
      <c r="I33" s="11" t="inlineStr">
        <is>
          <t>$1.5B total revenue FY2025, up from $1.4B FY2024; net income $129.1M vs $94.8M prior year (Bristow Group FY2025 results press release/10-K) — clearly passes the $100M hard bar, profitable and improving</t>
        </is>
      </c>
      <c r="J33" s="11" t="inlineStr">
        <is>
          <t>Market cap ~$1.3B as of August 2026 (stockanalysis.com/companiesmarketcap.com); note market cap was as low as ~$971.7M in July 2025 — currently clears the $1B bar but with recent history below it</t>
        </is>
      </c>
      <c r="K33" s="11" t="inlineStr">
        <is>
          <t>n/a (public company; no recent equity raise identified)</t>
        </is>
      </c>
      <c r="L33" s="11" t="inlineStr">
        <is>
          <t>meets parameters</t>
        </is>
      </c>
      <c r="M33" s="11" t="n">
        <v>4</v>
      </c>
      <c r="N33" s="11" t="inlineStr">
        <is>
          <t>Stretch</t>
        </is>
      </c>
      <c r="O33" s="11" t="inlineStr">
        <is>
          <t>Hard filters currently pass: revenue $1.5B FY2025 and improving (net income up ~36%), current market cap ~$1.3B clears the $1B bar, headcount 2,700+ (1k-5k band), no F1 sponsorship conflicts, customer base not concentrated to ~20 accounts (top 3 = 36%, diversified across offshore energy and multiple governments' SAR contracts). Reservation: market cap is a thin/volatile margin over the $1B bar, having been below $1B as recently as mid-2025 -&gt; Stretch despite fit=4.</t>
        </is>
      </c>
      <c r="P33" s="11" t="inlineStr">
        <is>
          <t>Global offshore/SAR helicopter operator with presence across multiple F1 host countries (UK, Brazil, Australia) — a 'precision under pressure' safety-critical performance story fits F1's engineering narrative (est).</t>
        </is>
      </c>
      <c r="Q33" s="11" t="inlineStr">
        <is>
          <t>market cap has been below the $1B bar within the past 18 months (~$971.7M, July 2025) — thin/volatile margin; customer concentration: top 3 customers = ~36.4% of FY2025 revenue (offshore O&amp;G + government SAR contracts)</t>
        </is>
      </c>
      <c r="R33" s="11" t="inlineStr">
        <is>
          <t>verified-existing</t>
        </is>
      </c>
      <c r="S33" s="11" t="inlineStr">
        <is>
          <t>2026-09-28</t>
        </is>
      </c>
    </row>
    <row r="34">
      <c r="A34" s="11" t="n">
        <v>31</v>
      </c>
      <c r="B34" s="11" t="n">
        <v>58</v>
      </c>
      <c r="C34" s="11" t="inlineStr">
        <is>
          <t>Duncan Aviation</t>
        </is>
      </c>
      <c r="D34" s="11" t="inlineStr">
        <is>
          <t>duncanaviation.aero</t>
        </is>
      </c>
      <c r="E34" s="11" t="inlineStr">
        <is>
          <t>United States</t>
        </is>
      </c>
      <c r="F34" s="11" t="inlineStr">
        <is>
          <t>privately held, family-owned (Duncan family, since founding in 1956). NOTE: desk-triage labeled this 'employee-owned (ESOP)'; searches found no evidence of an ESOP structure and multiple sources describe it as family-owned instead</t>
        </is>
      </c>
      <c r="G34" s="11" t="inlineStr">
        <is>
          <t>business jet MRO, avionics, paint/interior &amp; completions</t>
        </is>
      </c>
      <c r="H34" s="11" t="inlineStr">
        <is>
          <t>1k-5k</t>
        </is>
      </c>
      <c r="I34" s="11" t="inlineStr">
        <is>
          <t>Estimates vary widely across data aggregators, roughly $209M-$720.7M (2025/2026 est, e.g. incfact.com, growjo.com) -- private company, no audited public disclosure, uncertain figure</t>
        </is>
      </c>
      <c r="J34" s="11" t="inlineStr">
        <is>
          <t>n/a -- private, no published valuation; family-owned exception applies (passes on revenue alone)</t>
        </is>
      </c>
      <c r="K34" s="11" t="inlineStr">
        <is>
          <t>n/a (private, family-owned, no funding rounds)</t>
        </is>
      </c>
      <c r="L34" s="11" t="inlineStr">
        <is>
          <t>meets parameters</t>
        </is>
      </c>
      <c r="M34" s="11" t="n">
        <v>3</v>
      </c>
      <c r="N34" s="11" t="inlineStr">
        <is>
          <t>Stretch</t>
        </is>
      </c>
      <c r="O34" s="11" t="inlineStr">
        <is>
          <t>Hard filters pass on best available evidence: revenue estimated $209M-$720M (2025/2026, est, wide range across aggregators) is comfortably above the $100M bar even at the low end; family-owned with no published valuation (passes on revenue-alone exception); headcount ~1,800-2,700 (1k-5k band); no F1 conflicts found; diversified customer base across many bizjet operators. Fit=3 (affluent buyers, precision brand story, open category) but US-only footprint weakens market breadth. Real reservation: the revenue figure itself is uncertain/unverified across sources.</t>
        </is>
      </c>
      <c r="P34" s="11" t="inlineStr">
        <is>
          <t>Precision aviation craftsmanship (MRO/completions) angle targeting F1's technical-precision storytelling and HNWI/flight-department decision makers who fly to races via business aviation; open MRO category on the grid.</t>
        </is>
      </c>
      <c r="Q34" s="11" t="inlineStr">
        <is>
          <t>family-owned, no published valuation; revenue estimate uncertain across sources ($209M-$720M+, est); primarily US-domestic footprint (33 US locations); desk-triage ownership label ('employee-owned/ESOP') not corroborated by search -- appears to be family-owned instead</t>
        </is>
      </c>
      <c r="R34" s="11" t="inlineStr">
        <is>
          <t>verified-existing</t>
        </is>
      </c>
      <c r="S34" s="11" t="inlineStr">
        <is>
          <t>2026-09-28</t>
        </is>
      </c>
    </row>
    <row r="35">
      <c r="A35" s="11" t="n">
        <v>32</v>
      </c>
      <c r="B35" s="11" t="n">
        <v>58</v>
      </c>
      <c r="C35" s="11" t="inlineStr">
        <is>
          <t>Gulfstream Aerospace (General Dynamics)</t>
        </is>
      </c>
      <c r="D35" s="11" t="inlineStr">
        <is>
          <t>gulfstream.com</t>
        </is>
      </c>
      <c r="E35" s="11" t="inlineStr">
        <is>
          <t>United States</t>
        </is>
      </c>
      <c r="F35" s="11" t="inlineStr">
        <is>
          <t>Wholly owned subsidiary of General Dynamics (publicly traded NYSE: GD; no state ownership)</t>
        </is>
      </c>
      <c r="G35" s="11" t="inlineStr">
        <is>
          <t>Business jet manufacturing to corporate and ultra-high-net-worth buyers globally</t>
        </is>
      </c>
      <c r="H35" s="11" t="inlineStr">
        <is>
          <t>10k+</t>
        </is>
      </c>
      <c r="I35" s="11" t="inlineStr">
        <is>
          <t>General Dynamics Aerospace segment revenue $13.11B in FY2025, up 16.5% YoY, on 158 aircraft deliveries (up from 136 in 2024); 2026 guidance ~$13.8B (Corporate Jet Investor/aerotime.aero, reported early-to-mid 2026)</t>
        </is>
      </c>
      <c r="J35" s="11" t="inlineStr">
        <is>
          <t>Gulfstream not separately listed; parent General Dynamics market capitalization ~$91.0B as of Sept 26, 2026 (stockanalysis.com/capital.com)</t>
        </is>
      </c>
      <c r="K35" s="11" t="inlineStr">
        <is>
          <t>n/a (subsidiary of profitable public parent)</t>
        </is>
      </c>
      <c r="L35" s="11" t="inlineStr">
        <is>
          <t>meets parameters</t>
        </is>
      </c>
      <c r="M35" s="11" t="n">
        <v>3</v>
      </c>
      <c r="N35" s="11" t="inlineStr">
        <is>
          <t>Stretch</t>
        </is>
      </c>
      <c r="O35" s="11" t="inlineStr">
        <is>
          <t>Hard filters pass (segment revenue $13.1B and parent market cap $91B both clear bars by a wide margin, headcount 10k+, profitable and growing, diversified global buyer base, no confirmed direct F1 tie for Gulfstream or General Dynamics), but real reservations: no independently published valuation (relies on parent scale) and category adjacency with Flexjet (F1's official private-aviation supplier) whose fleet includes Gulfstream jets.</t>
        </is>
      </c>
      <c r="P35" s="11" t="inlineStr">
        <is>
          <t>Ultra-premium performance-engineering story (fastest/longest-range business jets) targeting the affluent owner-operator audience that overlaps with F1's paddock club demographic; needs care to differentiate from Flexjet's existing F1 private-aviation partnership.</t>
        </is>
      </c>
      <c r="Q35" s="11" t="inlineStr">
        <is>
          <t>parent: General Dynamics (large public non-state defense/aerospace group, no F1 ties found); category-adjacency: Flexjet, F1's official private-aviation supplier, operates a fleet that includes Gulfstream aircraft - not a sponsorship tie for Gulfstream/General Dynamics itself, but a proximity risk worth diligence before outreach</t>
        </is>
      </c>
      <c r="R35" s="11" t="inlineStr">
        <is>
          <t>verified-existing</t>
        </is>
      </c>
      <c r="S35" s="11" t="inlineStr">
        <is>
          <t>2026-09-28</t>
        </is>
      </c>
    </row>
    <row r="36">
      <c r="A36" s="11" t="n">
        <v>33</v>
      </c>
      <c r="B36" s="11" t="n">
        <v>58</v>
      </c>
      <c r="C36" s="11" t="inlineStr">
        <is>
          <t>Signature Aviation</t>
        </is>
      </c>
      <c r="D36" s="11" t="inlineStr">
        <is>
          <t>signatureaviation.com</t>
        </is>
      </c>
      <c r="E36" s="11" t="inlineStr">
        <is>
          <t>United Kingdom</t>
        </is>
      </c>
      <c r="F36" s="11" t="inlineStr">
        <is>
          <t>PE consortium - Blackstone (35%), Global Infrastructure Partners (35%), Cascade Investment (30%); taken private May 2021 for $4.7B</t>
        </is>
      </c>
      <c r="G36" s="11" t="inlineStr">
        <is>
          <t>FBO network &amp; aircraft ground services (200+ locations, 27 countries)</t>
        </is>
      </c>
      <c r="H36" s="11" t="inlineStr">
        <is>
          <t>5k-10k</t>
        </is>
      </c>
      <c r="I36" s="11" t="inlineStr">
        <is>
          <t>$2.29B FY2021 - last disclosed figure pre-privatization (Corporate Jet Investor/Wikipedia); no public financials since the 2021 go-private, likely higher given continued expansion incl. Fort Lauderdale Executive Jet Center acquisition, Nov 2025 (est)</t>
        </is>
      </c>
      <c r="J36" s="11" t="inlineStr">
        <is>
          <t>$4.7B acquisition value, May 2021 (Blackstone press release)</t>
        </is>
      </c>
      <c r="K36" s="11" t="inlineStr">
        <is>
          <t>N/A (PE buyout, not a raise); active bolt-on M&amp;A continues, e.g. Fort Lauderdale Executive Jet Center acquisition, Nov 2025</t>
        </is>
      </c>
      <c r="L36" s="11" t="inlineStr">
        <is>
          <t>meets parameters</t>
        </is>
      </c>
      <c r="M36" s="11" t="n">
        <v>3</v>
      </c>
      <c r="N36" s="11" t="inlineStr">
        <is>
          <t>Stretch</t>
        </is>
      </c>
      <c r="O36" s="11" t="inlineStr">
        <is>
          <t>Passes hard filters (2021 revenue and valuation figures both comfortably clear the bars, no F1 tie found for Signature itself, ownership is a PE consortium with no state stake, headcount and audience both fine) but real reservations: PE-owned 4+ years, and financial disclosure is stale since the company stopped public reporting in 2021.</t>
        </is>
      </c>
      <c r="P36" s="11" t="inlineStr">
        <is>
          <t>Global ground-ops precision and reliability story - 'the infrastructure behind performance' - timed to Signature's active US market expansion (Fort Lauderdale, Nov 2025), in an aviation-services niche not yet claimed at the ground-handling level.</t>
        </is>
      </c>
      <c r="Q36" s="11" t="inlineStr">
        <is>
          <t>PE-owned 4+ years (since May 2021 consortium buyout); no public financials since 2021 go-private - revenue figure is dated/est; private-aviation category partially claimed on the grid (Flexjet series deal; ONEflight/McLaren team deal)</t>
        </is>
      </c>
      <c r="R36" s="11" t="inlineStr">
        <is>
          <t>verified-existing</t>
        </is>
      </c>
      <c r="S36" s="11" t="inlineStr">
        <is>
          <t>2026-09-28</t>
        </is>
      </c>
    </row>
    <row r="37">
      <c r="A37" s="11" t="n">
        <v>34</v>
      </c>
      <c r="B37" s="11" t="n">
        <v>58</v>
      </c>
      <c r="C37" s="11" t="inlineStr">
        <is>
          <t>TAG Aviation</t>
        </is>
      </c>
      <c r="D37" s="11" t="inlineStr">
        <is>
          <t>tagaviation.com</t>
        </is>
      </c>
      <c r="E37" s="11" t="inlineStr">
        <is>
          <t>Switzerland</t>
        </is>
      </c>
      <c r="F37" s="11" t="inlineStr">
        <is>
          <t>Privately held; owned by TAG Group, the Ojjeh family's holding company, which historically also held a significant McLaren Group (F1 constructor) shareholding</t>
        </is>
      </c>
      <c r="G37" s="11" t="inlineStr">
        <is>
          <t>Aircraft management, charter &amp; FBO</t>
        </is>
      </c>
      <c r="H37" s="11" t="inlineStr">
        <is>
          <t>201-1k</t>
        </is>
      </c>
      <c r="I37" s="11" t="inlineStr">
        <is>
          <t>Conflicting third-party estimates: ~$326.6M (unspecified-year estimate) vs. ~$75M as of Dec 2025; given TAG's scale (TAG Farnborough Airport ownership plus multi-country aircraft management/charter/FBO operations), the higher figure is more plausible but unconfirmed by audited disclosure (est)</t>
        </is>
      </c>
      <c r="J37" s="11" t="inlineStr">
        <is>
          <t>N/A - private and effectively family-controlled (TAG Group/Ojjeh family); no published valuation, treated as pass-on-revenue-alone given family control</t>
        </is>
      </c>
      <c r="K37" s="11" t="inlineStr">
        <is>
          <t>N/A - no recent financing event found</t>
        </is>
      </c>
      <c r="L37" s="11" t="inlineStr">
        <is>
          <t>meets parameters</t>
        </is>
      </c>
      <c r="M37" s="11" t="n">
        <v>3</v>
      </c>
      <c r="N37" s="11" t="inlineStr">
        <is>
          <t>Stretch</t>
        </is>
      </c>
      <c r="O37" s="11" t="inlineStr">
        <is>
          <t>Hard filters plausibly pass (headcount 600+, likely &gt;$100M revenue given operational scale, family-controlled ownership with no state/sanctions issues) and no CURRENT confirmed F1 tie was found (Ojjeh family's McLaren shareholding appears fully divested by March 2024). Capped at Stretch because the revenue figure is genuinely unconfirmed/conflicting, and the 40-year TAG Group/McLaren ownership history warrants explicit compliance confirmation before outreach.</t>
        </is>
      </c>
      <c r="P37" s="11" t="inlineStr">
        <is>
          <t>Aviation-heritage 'engineering precision' story built on TAG's own decades of aircraft-management pedigree - proceed only after confirming zero residual TAG Group/Ojjeh family financial tie to McLaren.</t>
        </is>
      </c>
      <c r="Q37" s="11" t="inlineStr">
        <is>
          <t>revenue figure uncertain/conflicting across sources; owner TAG Group (Ojjeh family) historically held a direct McLaren Group equity stake for 30+ years; reporting (Wikipedia; BlackBook Motorsport, Sep 2025) indicates Mumtalakat acquired all outstanding McLaren Group shares by March 2024, suggesting the Ojjeh family's stake was bought out by then - no CURRENT ownership tie confirmed, but the TAG-McLaren/TAG Heuer motorsport lineage is a well-known legacy association worth compliance diligence</t>
        </is>
      </c>
      <c r="R37" s="11" t="inlineStr">
        <is>
          <t>verified-existing</t>
        </is>
      </c>
      <c r="S37" s="11" t="inlineStr">
        <is>
          <t>2026-09-28</t>
        </is>
      </c>
    </row>
    <row r="38">
      <c r="A38" s="11" t="n">
        <v>35</v>
      </c>
      <c r="B38" s="11" t="n">
        <v>58</v>
      </c>
      <c r="C38" s="11" t="inlineStr">
        <is>
          <t>West Star Aviation</t>
        </is>
      </c>
      <c r="D38" s="11" t="inlineStr">
        <is>
          <t>weststaraviation.com</t>
        </is>
      </c>
      <c r="E38" s="11" t="inlineStr">
        <is>
          <t>United States</t>
        </is>
      </c>
      <c r="F38" s="11" t="inlineStr">
        <is>
          <t>Privately held; acquired by Greenbriar Equity Group from The Sterling Group, May 2025</t>
        </is>
      </c>
      <c r="G38" s="11" t="inlineStr">
        <is>
          <t>Business jet MRO</t>
        </is>
      </c>
      <c r="H38" s="11" t="inlineStr">
        <is>
          <t>1k-5k</t>
        </is>
      </c>
      <c r="I38" s="11" t="inlineStr">
        <is>
          <t>Third-party estimates vary widely: ~$153.7M (ZoomInfo) to ~$367.4M (RocketReach, 2025), with IncFact citing a broad $100-500M range; likely exceeds $100M given scale (6 major MRO facilities, #1-ranked independent MRO per Prof. Pilot PRASE survey, 3,000+ staff) but no audited figure is published (est)</t>
        </is>
      </c>
      <c r="J38" s="11" t="inlineStr">
        <is>
          <t>N/A - private, PE-owned; terms of the May 2025 Greenbriar acquisition from The Sterling Group were undisclosed</t>
        </is>
      </c>
      <c r="K38" s="11" t="inlineStr">
        <is>
          <t>Acquired by Greenbriar Equity Group from The Sterling Group, May 2025 (terms undisclosed) - within the 18-month window, signaling fresh capital for growth</t>
        </is>
      </c>
      <c r="L38" s="11" t="inlineStr">
        <is>
          <t>meets parameters</t>
        </is>
      </c>
      <c r="M38" s="11" t="n">
        <v>3</v>
      </c>
      <c r="N38" s="11" t="inlineStr">
        <is>
          <t>Stretch</t>
        </is>
      </c>
      <c r="O38" s="11" t="inlineStr">
        <is>
          <t>Hard filters plausibly pass (headcount 3,000+, likely &gt;$100M revenue given scale, fresh PE ownership since May 2025 signals capacity to spend, no F1 conflict found) but the revenue figure is genuinely uncertain across sources (range ~$154M-$367M) with no published valuation to cross-check it.</t>
        </is>
      </c>
      <c r="P38" s="11" t="inlineStr">
        <is>
          <t>Precision-engineering/reliability story tied to being the #1-rated independent business-jet MRO network in the US, timed to the recent Greenbriar-backed growth push.</t>
        </is>
      </c>
      <c r="Q38" s="11" t="inlineStr">
        <is>
          <t>revenue figure uncertain - third-party estimates span ~2.4x ($153.7M-$367.4M); no published valuation (private, PE-owned)</t>
        </is>
      </c>
      <c r="R38" s="11" t="inlineStr">
        <is>
          <t>verified-existing</t>
        </is>
      </c>
      <c r="S38" s="11" t="inlineStr">
        <is>
          <t>2026-09-28</t>
        </is>
      </c>
    </row>
    <row r="39">
      <c r="A39" s="11" t="n">
        <v>36</v>
      </c>
      <c r="B39" s="11" t="n">
        <v>58</v>
      </c>
      <c r="C39" s="11" t="inlineStr">
        <is>
          <t>Global Jet Concept</t>
        </is>
      </c>
      <c r="D39" s="11" t="inlineStr">
        <is>
          <t>globaljetconcept.com</t>
        </is>
      </c>
      <c r="E39" s="11" t="inlineStr">
        <is>
          <t>Switzerland</t>
        </is>
      </c>
      <c r="F39" s="11" t="inlineStr">
        <is>
          <t>Privately/founder-owned (Geneva); founders remain actively involved in daily operations; no PE or institutional ownership found</t>
        </is>
      </c>
      <c r="G39" s="11" t="inlineStr">
        <is>
          <t>Business jet management &amp; charter</t>
        </is>
      </c>
      <c r="H39" s="11" t="inlineStr">
        <is>
          <t>201-1k</t>
        </is>
      </c>
      <c r="I39" s="11" t="inlineStr">
        <is>
          <t>$750M (est, ZoomInfo/company data as of June 2025) — a third-party estimate for a private company, likely includes pass-through aircraft operating/management costs typical of fleet-management revenue models</t>
        </is>
      </c>
      <c r="J39" s="11" t="inlineStr">
        <is>
          <t>No published valuation — privately/founder-owned, treated like family-owned per protocol (passes on revenue alone)</t>
        </is>
      </c>
      <c r="K39" s="11" t="inlineStr">
        <is>
          <t>N/A — privately financed, no external funding rounds found</t>
        </is>
      </c>
      <c r="L39" s="11" t="inlineStr">
        <is>
          <t>meets parameters</t>
        </is>
      </c>
      <c r="M39" s="11" t="n">
        <v>3</v>
      </c>
      <c r="N39" s="11" t="inlineStr">
        <is>
          <t>Stretch</t>
        </is>
      </c>
      <c r="O39" s="11" t="inlineStr">
        <is>
          <t>Passes hard filters (est. $750M revenue clears the $100M bar; treated like family-owned given no published valuation; no direct F1 team/series conflict found; no ownership/compliance issues) but with real reservations: the $750M figure is an unverified third-party estimate for an opaque private company, and F1's official private-aviation-supplier slot is already held by Flexjet, softening the open-category fit.</t>
        </is>
      </c>
      <c r="P39" s="11" t="inlineStr">
        <is>
          <t>Position as a global ultra-high-net-worth travel and event-logistics partner for race weekends (charter plus full-service aircraft management), distinct from Flexjet's fractional-ownership angle — target paddock club and hospitality fly-in packages across the calendar's international markets.</t>
        </is>
      </c>
      <c r="Q39" s="11" t="inlineStr">
        <is>
          <t>privately/founder-owned, no published valuation (treated like family-owned); revenue figure is a single unverified third-party estimate, not company-disclosed</t>
        </is>
      </c>
      <c r="R39" s="11" t="inlineStr">
        <is>
          <t>verified-existing</t>
        </is>
      </c>
      <c r="S39" s="11" t="inlineStr">
        <is>
          <t>2026-09-28</t>
        </is>
      </c>
    </row>
    <row r="40">
      <c r="A40" s="11" t="n">
        <v>37</v>
      </c>
      <c r="B40" s="11" t="n">
        <v>58</v>
      </c>
      <c r="C40" s="11" t="inlineStr">
        <is>
          <t>Atlantic Aviation</t>
        </is>
      </c>
      <c r="D40" s="11" t="inlineStr">
        <is>
          <t>atlanticaviation.com</t>
        </is>
      </c>
      <c r="E40" s="11" t="inlineStr">
        <is>
          <t>United States</t>
        </is>
      </c>
      <c r="F40" s="11" t="inlineStr">
        <is>
          <t>PE-owned by KKR (acquired from Macquarie Infrastructure, 2021); not state-owned</t>
        </is>
      </c>
      <c r="G40" s="11" t="inlineStr">
        <is>
          <t>FBO network operator</t>
        </is>
      </c>
      <c r="H40" s="11" t="inlineStr">
        <is>
          <t>1k-5k</t>
        </is>
      </c>
      <c r="I40" s="11" t="inlineStr">
        <is>
          <t>Not publicly disclosed (private PE portfolio company); est. $1-1.5B (est) based on network scale (100+ FBO locations) and the 2025 ~$10B valuation — likely well above the $100M bar but unconfirmed directly</t>
        </is>
      </c>
      <c r="J40" s="11" t="inlineStr">
        <is>
          <t>~$10B under KKR exploring a sale/stake sale/IPO (April 2025, Bloomberg/PE Insights), up from the $4.475B acquisition price in 2021 — clears the $1B hard bar comfortably</t>
        </is>
      </c>
      <c r="K40" s="11" t="inlineStr">
        <is>
          <t>KKR acquired the company for ~$4.5B in 2021 (from Macquarie Infrastructure); KKR is exploring a ~$10B sale/stake sale/IPO (April 2025, Bloomberg)</t>
        </is>
      </c>
      <c r="L40" s="11" t="inlineStr">
        <is>
          <t>exceeds - mega-brand</t>
        </is>
      </c>
      <c r="M40" s="11" t="n">
        <v>3</v>
      </c>
      <c r="N40" s="11" t="inlineStr">
        <is>
          <t>Stretch</t>
        </is>
      </c>
      <c r="O40" s="11" t="inlineStr">
        <is>
          <t>Hard filters pass overall: valuation ~$10B (Apr 2025, Bloomberg) far exceeds the $1B bar; revenue not disclosed but plausibly well above $100M given scale and valuation (est., unconfirmed); headcount 3,000+ (1k-5k band); diversified network of 100+ locations, no customer concentration; no F1 conflicts found; PE ownership not state-linked. Reservations: revenue figure is an unconfirmed estimate, and KKR has owned the company 4+ years -&gt; Stretch despite fit=3 and mega-brand valuation.</t>
        </is>
      </c>
      <c r="P40" s="11" t="inlineStr">
        <is>
          <t>Ultra-affluent private/business aviation clientele overlaps with F1's paddock-club demographic; a 'precision ground support for the world's most demanding travelers' angle ties into F1 travel/logistics storytelling (est).</t>
        </is>
      </c>
      <c r="Q40" s="11" t="inlineStr">
        <is>
          <t>revenue not publicly disclosed — estimate only; PE-owned 4+ years (KKR since 2021)</t>
        </is>
      </c>
      <c r="R40" s="11" t="inlineStr">
        <is>
          <t>verified-existing</t>
        </is>
      </c>
      <c r="S40" s="11" t="inlineStr">
        <is>
          <t>2026-09-28</t>
        </is>
      </c>
    </row>
    <row r="41">
      <c r="A41" s="11" t="n">
        <v>38</v>
      </c>
      <c r="B41" s="11" t="n">
        <v>58</v>
      </c>
      <c r="C41" s="11" t="inlineStr">
        <is>
          <t>Avfuel Corporation</t>
        </is>
      </c>
      <c r="D41" s="11" t="inlineStr">
        <is>
          <t>avfuel.com</t>
        </is>
      </c>
      <c r="E41" s="11" t="inlineStr">
        <is>
          <t>United States</t>
        </is>
      </c>
      <c r="F41" s="11" t="inlineStr">
        <is>
          <t>Family-owned (Sincock family — Craig R. Sincock, CEO/owner; second generation C.R. Sincock II now president as of Jan 2026); private, no published valuation</t>
        </is>
      </c>
      <c r="G41" s="11" t="inlineStr">
        <is>
          <t>Aviation fuel supply &amp; branding network</t>
        </is>
      </c>
      <c r="H41" s="11" t="inlineStr">
        <is>
          <t>201-1k</t>
        </is>
      </c>
      <c r="I41" s="11" t="inlineStr">
        <is>
          <t>Estimates vary widely and are uncertain: ~$281M corporate/service revenue (2026 est., Growjo); other sources cite a $100-500M range (ZoomInfo); total branded fuel volume/sales across its FBO/airport network is plausibly much higher (est. $1-4B) — the $100M hard bar is likely met but the figure is unconfirmed</t>
        </is>
      </c>
      <c r="J41" s="11" t="inlineStr">
        <is>
          <t>No published valuation — family-owned; passes on revenue alone per family-owned rule, subject to revenue confirmation</t>
        </is>
      </c>
      <c r="K41" s="11" t="inlineStr">
        <is>
          <t>n/a (family-owned, no external funding raises identified)</t>
        </is>
      </c>
      <c r="L41" s="11" t="inlineStr">
        <is>
          <t>meets parameters</t>
        </is>
      </c>
      <c r="M41" s="11" t="n">
        <v>3</v>
      </c>
      <c r="N41" s="11" t="inlineStr">
        <is>
          <t>Stretch</t>
        </is>
      </c>
      <c r="O41" s="11" t="inlineStr">
        <is>
          <t>Hard filters plausibly pass: family-owned with no published valuation (passes on revenue alone), revenue likely above $100M given network scale though the specific figure is contested across sources, headcount ~200-1,000 (201-1k band), broad customer base (thousands of FBOs/airports, no concentration), no F1 sponsorship conflicts. Reservation: the revenue figure is a genuinely uncertain estimate -&gt; Stretch.</t>
        </is>
      </c>
      <c r="P41" s="11" t="inlineStr">
        <is>
          <t>Sustainable Aviation Fuel (SAF) leadership aligns with F1's 2030 net-zero/sustainable-fuel ambitions — an SAF-innovation angle sidesteps direct competition with Aramco/Shell/Petronas in the traditional fuel category (est).</t>
        </is>
      </c>
      <c r="Q41" s="11" t="inlineStr">
        <is>
          <t>family-owned, no published valuation; revenue estimates vary widely across sources — genuinely uncertain figure; fuel/energy sponsorship category already crowded on the F1 grid (Aramco, Shell, Petronas)</t>
        </is>
      </c>
      <c r="R41" s="11" t="inlineStr">
        <is>
          <t>verified-existing</t>
        </is>
      </c>
      <c r="S41" s="11" t="inlineStr">
        <is>
          <t>2026-09-28</t>
        </is>
      </c>
    </row>
  </sheetData>
  <autoFilter ref="A3:S4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S33"/>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Sporting Goods &amp; Fitness — existing New-Sectors book, now verified — 30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"08 Sporting Goods &amp; Fitness".</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0" t="n">
        <v>1</v>
      </c>
      <c r="B4" s="10" t="n">
        <v>92</v>
      </c>
      <c r="C4" s="10" t="inlineStr">
        <is>
          <t>Amer Sports</t>
        </is>
      </c>
      <c r="D4" s="10" t="inlineStr">
        <is>
          <t>amersports.com</t>
        </is>
      </c>
      <c r="E4" s="10" t="inlineStr">
        <is>
          <t>Finland (HQ) / listed NYSE</t>
        </is>
      </c>
      <c r="F4" s="10" t="inlineStr">
        <is>
          <t>Anta Sports-led consortium holds 44.5% (largest shareholder, not majority); other consortium members incl. FountainVest Partners, Anamered Investments, Tencent; publicly traded on NYSE since Feb 2024 IPO</t>
        </is>
      </c>
      <c r="G4" s="10" t="inlineStr">
        <is>
          <t>Outdoor/performance apparel &amp; equipment (Salomon, Arc'teryx, Wilson, Atomic, Peak Performance)</t>
        </is>
      </c>
      <c r="H4" s="10" t="inlineStr">
        <is>
          <t>10k+</t>
        </is>
      </c>
      <c r="I4" s="10" t="inlineStr">
        <is>
          <t>$6.6B FY2025 (multiples.vc/public-filings coverage)</t>
        </is>
      </c>
      <c r="J4" s="10" t="inlineStr">
        <is>
          <t>$21.4B market cap as of Jun 18 2026 (NYSE: AS)</t>
        </is>
      </c>
      <c r="K4" s="10" t="inlineStr">
        <is>
          <t>N/A - public company; IPO Feb 2024</t>
        </is>
      </c>
      <c r="L4" s="10" t="inlineStr">
        <is>
          <t>exceeds - mega-brand</t>
        </is>
      </c>
      <c r="M4" s="10" t="n">
        <v>4</v>
      </c>
      <c r="N4" s="10" t="inlineStr">
        <is>
          <t>Yes</t>
        </is>
      </c>
      <c r="O4" s="10" t="inlineStr">
        <is>
          <t>Clears every hard filter with room to spare: $6.6B FY2025 revenue, $21.4B market cap, no F1 sponsorship conflict found for Amer Sports or its brands (Salomon/Arc'teryx/Wilson), largest shareholder Anta Sports holds only 44.5% (not majority, not state), headcount 13,000+, and a genuine mass consumer/retail audience. Fit score of 4 with a strong performance/precision brand narrative.</t>
        </is>
      </c>
      <c r="P4" s="10" t="inlineStr">
        <is>
          <t>Technical-performance-gear story - Arc'teryx/Salomon's precision-engineering-for-extreme-conditions positioning maps directly onto F1's performance/technology narrative, in a sporting-goods category not yet claimed on the grid.</t>
        </is>
      </c>
      <c r="Q4" s="10" t="inlineStr">
        <is>
          <t>largest shareholder Anta Sports (44.5%) reportedly already tracked as a separate lead elsewhere in the master sheet - check for dedup</t>
        </is>
      </c>
      <c r="R4" s="10" t="inlineStr">
        <is>
          <t>verified-existing</t>
        </is>
      </c>
      <c r="S4" s="10" t="inlineStr">
        <is>
          <t>2026-09-28</t>
        </is>
      </c>
    </row>
    <row r="5">
      <c r="A5" s="10" t="n">
        <v>2</v>
      </c>
      <c r="B5" s="10" t="n">
        <v>92</v>
      </c>
      <c r="C5" s="10" t="inlineStr">
        <is>
          <t>Acushnet Holdings (Titleist)</t>
        </is>
      </c>
      <c r="D5" s="10" t="inlineStr">
        <is>
          <t>acushnetgolf.com</t>
        </is>
      </c>
      <c r="E5" s="10" t="inlineStr">
        <is>
          <t>USA (Fairhaven, MA)</t>
        </is>
      </c>
      <c r="F5" s="10" t="inlineStr">
        <is>
          <t>public (NYSE: GOLF)</t>
        </is>
      </c>
      <c r="G5" s="10" t="inlineStr">
        <is>
          <t>golf equipment/apparel</t>
        </is>
      </c>
      <c r="H5" s="10" t="inlineStr">
        <is>
          <t>5k-10k</t>
        </is>
      </c>
      <c r="I5" s="10" t="inlineStr">
        <is>
          <t>$2.56B, FY2025, +4.1% YoY (company FY2025 earnings release)</t>
        </is>
      </c>
      <c r="J5" s="10" t="inlineStr">
        <is>
          <t>Market cap ~$4.97B (2025, company earnings-period data)</t>
        </is>
      </c>
      <c r="K5" s="10" t="inlineStr">
        <is>
          <t>n/a - public, cash-flow funded</t>
        </is>
      </c>
      <c r="L5" s="10" t="inlineStr">
        <is>
          <t>meets parameters</t>
        </is>
      </c>
      <c r="M5" s="10" t="n">
        <v>4</v>
      </c>
      <c r="N5" s="10" t="inlineStr">
        <is>
          <t>Yes</t>
        </is>
      </c>
      <c r="O5" s="10" t="inlineStr">
        <is>
          <t>Passes all hard filters: revenue $2.56B (FY2025) and market cap ~$4.97B both clear hard bars decisively; public, profitable, growing; no F1 team/series/driver/GP conflict found; fit score 4/4.</t>
        </is>
      </c>
      <c r="P5" s="10" t="inlineStr">
        <is>
          <t>Titleist's precision ball/club engineering story and affluent, senior-decision-maker golf audience map directly onto F1's performance-technology positioning; golf equipment is an open category on the grid.</t>
        </is>
      </c>
      <c r="Q5" s="10" t="inlineStr">
        <is>
          <t>input triage flagged 'Titleist' brand name as separately present in an internal exclusion master - appears to be a data/dedup note, not a confirmed F1 tie found in search; recommend internal check before outreach</t>
        </is>
      </c>
      <c r="R5" s="10" t="inlineStr">
        <is>
          <t>verified-existing</t>
        </is>
      </c>
      <c r="S5" s="10" t="inlineStr">
        <is>
          <t>2026-09-28</t>
        </is>
      </c>
    </row>
    <row r="6">
      <c r="A6" s="10" t="n">
        <v>3</v>
      </c>
      <c r="B6" s="10" t="n">
        <v>92</v>
      </c>
      <c r="C6" s="10" t="inlineStr">
        <is>
          <t>ClassPass (Mindbody) - now part of Playlist</t>
        </is>
      </c>
      <c r="D6" s="10" t="n"/>
      <c r="E6" s="10" t="inlineStr">
        <is>
          <t>USA</t>
        </is>
      </c>
      <c r="F6" s="10" t="inlineStr">
        <is>
          <t>PE/VC-backed: Vista Equity Partners (majority since 2019), plus Temasek and L Catterton; new investor Affinity Partners (2025); rebranded as 'Playlist' (parent of Mindbody, Booker, ClassPass), which agreed to merge with EGYM</t>
        </is>
      </c>
      <c r="G6" s="10" t="inlineStr">
        <is>
          <t>fitness marketplace app / wellness-tech platform</t>
        </is>
      </c>
      <c r="H6" s="10" t="inlineStr">
        <is>
          <t>1k-5k</t>
        </is>
      </c>
      <c r="I6" s="10" t="inlineStr">
        <is>
          <t>Playlist + EGYM combined generated &gt;$800M net revenue, 2025 (company press release, ~March 2026)</t>
        </is>
      </c>
      <c r="J6" s="10" t="inlineStr">
        <is>
          <t>$7.5B combined enterprise valuation in the Playlist-EGYM merger, announced ~March 2026 (TechCrunch/Athletech News/SGB Media)</t>
        </is>
      </c>
      <c r="K6" s="10" t="inlineStr">
        <is>
          <t>$785M new equity investment led by Affinity Partners with Vista, Temasek, L Catterton, announced ~March 2026 - within 18 months, earmarked for AI/growth initiatives</t>
        </is>
      </c>
      <c r="L6" s="10" t="inlineStr">
        <is>
          <t>exceeds - mega-brand</t>
        </is>
      </c>
      <c r="M6" s="10" t="n">
        <v>4</v>
      </c>
      <c r="N6" s="10" t="inlineStr">
        <is>
          <t>Yes</t>
        </is>
      </c>
      <c r="O6" s="10" t="inlineStr">
        <is>
          <t>Passes all hard filters decisively: combined Playlist/EGYM revenue &gt;$800M (2025) and $7.5B merger valuation both clear hard bars; $785M raise in 2025 for growth/AI (within 18 months, satisfies VC-backed capacity-to-spend criterion); no F1 team/series/driver/GP conflict found; fit score 4/4.</t>
        </is>
      </c>
      <c r="P6" s="10" t="inlineStr">
        <is>
          <t>Freshly funded ($785M, 2025) global fitness/wellness-tech platform with AI-enabled products fits an F1 'performance and technology' narrative; wellness-tech is an open sponsorship category on the grid.</t>
        </is>
      </c>
      <c r="Q6" s="10" t="inlineStr">
        <is>
          <t>input flagged 'parent Mindbody already in exclusion master' - no F1 tie or other disqualifying reason found via search; likely a data/dedup note, recommend internal check before outreach; recently merged/rebranded (ClassPass+Mindbody -&gt; Playlist -&gt; pending merger with EGYM, 2025-2026) - integration in progress</t>
        </is>
      </c>
      <c r="R6" s="10" t="inlineStr">
        <is>
          <t>verified-existing</t>
        </is>
      </c>
      <c r="S6" s="10" t="inlineStr">
        <is>
          <t>2026-09-28</t>
        </is>
      </c>
    </row>
    <row r="7">
      <c r="A7" s="10" t="n">
        <v>4</v>
      </c>
      <c r="B7" s="10" t="n">
        <v>92</v>
      </c>
      <c r="C7" s="10" t="inlineStr">
        <is>
          <t>Callaway Golf (Topgolf Callaway Brands) - now Callaway Golf Company (NYSE: CALY)</t>
        </is>
      </c>
      <c r="D7" s="10" t="n"/>
      <c r="E7" s="10" t="inlineStr">
        <is>
          <t>USA (Carlsbad, CA)</t>
        </is>
      </c>
      <c r="F7" s="10" t="inlineStr">
        <is>
          <t>public (NYSE: CALY, formerly MODG; renamed January 2026)</t>
        </is>
      </c>
      <c r="G7" s="10" t="inlineStr">
        <is>
          <t>golf equipment &amp; apparel (Callaway, Odyssey, TravisMathew, Ogio); Topgolf entertainment business majority-divested</t>
        </is>
      </c>
      <c r="H7" s="10" t="inlineStr">
        <is>
          <t>1k-5k</t>
        </is>
      </c>
      <c r="I7" s="10" t="inlineStr">
        <is>
          <t>~$2B TTM through Q3 2025 for the core golf-equipment/apparel segment post-Topgolf separation (company reporting); combined FY2025 guidance pre-full-separation was $3.90-3.94B</t>
        </is>
      </c>
      <c r="J7" s="10" t="inlineStr">
        <is>
          <t>Market cap ~$2.5-2.8B, September 2026 (stockanalysis.com/macrotrends)</t>
        </is>
      </c>
      <c r="K7" s="10" t="inlineStr">
        <is>
          <t>n/a - public; November 2025 sale of 60% Topgolf/Toptracer stake to Leonard Green &amp; Partners (~$1.1B valuation) generated ~$800M cash used for ~$1B debt paydown and a $200M buyback</t>
        </is>
      </c>
      <c r="L7" s="10" t="inlineStr">
        <is>
          <t>meets parameters</t>
        </is>
      </c>
      <c r="M7" s="10" t="n">
        <v>4</v>
      </c>
      <c r="N7" s="10" t="inlineStr">
        <is>
          <t>Yes</t>
        </is>
      </c>
      <c r="O7" s="10" t="inlineStr">
        <is>
          <t>Passes all hard filters: core golf-equipment revenue ~$2B (TTM through Q3 2025) and market cap ~$2.5-2.8B (Sept 2026) both clear hard bars; profitable and improving post-restructuring (Q1 2026 revenue +9%, adjusted EBITDA +31%); no F1 team/series/driver/GP conflict found; fit score 4/4.</t>
        </is>
      </c>
      <c r="P7" s="10" t="inlineStr">
        <is>
          <t>Newly refocused, deleveraged golf-equipment pure-play (post-Topgolf divestiture, renamed Callaway Golf Co. in 2026) with improving growth and margins - precision-engineering story fits F1's performance narrative; golf equipment is an open category on the grid.</t>
        </is>
      </c>
      <c r="Q7" s="10" t="inlineStr">
        <is>
          <t>recently restructured - sold 60% of Topgolf/Toptracer to Leonard Green &amp; Partners (~$1.1B valuation) and renamed to Callaway Golf Company/ticker CALY, effective January 2026; some employee trackers still show elevated headcount (~27,700) that may lag the deconsolidation of Topgolf</t>
        </is>
      </c>
      <c r="R7" s="10" t="inlineStr">
        <is>
          <t>verified-existing</t>
        </is>
      </c>
      <c r="S7" s="10" t="inlineStr">
        <is>
          <t>2026-09-28</t>
        </is>
      </c>
    </row>
    <row r="8">
      <c r="A8" s="10" t="n">
        <v>5</v>
      </c>
      <c r="B8" s="10" t="n">
        <v>92</v>
      </c>
      <c r="C8" s="10" t="inlineStr">
        <is>
          <t>Anta Sports</t>
        </is>
      </c>
      <c r="D8" s="10" t="inlineStr">
        <is>
          <t>anta.com</t>
        </is>
      </c>
      <c r="E8" s="10" t="inlineStr">
        <is>
          <t>China</t>
        </is>
      </c>
      <c r="F8" s="10" t="inlineStr">
        <is>
          <t>Public (HKEX: 2020)</t>
        </is>
      </c>
      <c r="G8" s="10" t="inlineStr">
        <is>
          <t>athletic footwear &amp; apparel</t>
        </is>
      </c>
      <c r="H8" s="10" t="inlineStr">
        <is>
          <t>10k+</t>
        </is>
      </c>
      <c r="I8" s="10" t="inlineStr">
        <is>
          <t>RMB 80.22B (~$11B) FY2025, +13.3% YoY, record high (ANTA IR press release, ir.anta.com, FY2025 results)</t>
        </is>
      </c>
      <c r="J8" s="10" t="inlineStr">
        <is>
          <t>Market cap ~HK$267.9B (~$34B) as of May 2025 (ad-hoc-news.de / market data)</t>
        </is>
      </c>
      <c r="K8" s="10" t="inlineStr">
        <is>
          <t>N/A - public company, HKEX-listed since 2007</t>
        </is>
      </c>
      <c r="L8" s="10" t="inlineStr">
        <is>
          <t>exceeds - mega-brand</t>
        </is>
      </c>
      <c r="M8" s="10" t="n">
        <v>4</v>
      </c>
      <c r="N8" s="10" t="inlineStr">
        <is>
          <t>Yes</t>
        </is>
      </c>
      <c r="O8" s="10" t="inlineStr">
        <is>
          <t>All hard filters clear with large margin (revenue ~$11B, market cap ~$34B, 10,000+ headcount, profit growth, no F1 conflicts, public ownership) and fit score 4/4.</t>
        </is>
      </c>
      <c r="P8" s="10" t="inlineStr">
        <is>
          <t>Leverage Anta's global multi-brand portfolio (Arc'teryx, Salomon, Wilson) for a premium-performance/technology partnership targeting affluent global outdoor and sports consumers alongside F1's international audience.</t>
        </is>
      </c>
      <c r="Q8" s="10" t="n"/>
      <c r="R8" s="10" t="inlineStr">
        <is>
          <t>verified-existing</t>
        </is>
      </c>
      <c r="S8" s="10" t="inlineStr">
        <is>
          <t>2026-09-28</t>
        </is>
      </c>
    </row>
    <row r="9">
      <c r="A9" s="10" t="n">
        <v>6</v>
      </c>
      <c r="B9" s="10" t="n">
        <v>84</v>
      </c>
      <c r="C9" s="10" t="inlineStr">
        <is>
          <t>Speedo International (Pentland Group)</t>
        </is>
      </c>
      <c r="D9" s="10" t="inlineStr">
        <is>
          <t>speedo.com</t>
        </is>
      </c>
      <c r="E9" s="10" t="inlineStr">
        <is>
          <t>UK (London)</t>
        </is>
      </c>
      <c r="F9" s="10" t="inlineStr">
        <is>
          <t>family-owned (Rubin family, Pentland Group), private</t>
        </is>
      </c>
      <c r="G9" s="10" t="inlineStr">
        <is>
          <t>swimwear/performance apparel</t>
        </is>
      </c>
      <c r="H9" s="10" t="inlineStr">
        <is>
          <t>1k-5k</t>
        </is>
      </c>
      <c r="I9" s="10" t="inlineStr">
        <is>
          <t>Parent Pentland Group reports ~$8B annual sales (pentlandgroup.com, cited 2026); Speedo brand revenue not separately disclosed but a fraction of group total, still well above $100M (est)</t>
        </is>
      </c>
      <c r="J9" s="10" t="inlineStr">
        <is>
          <t>n/a - family-owned, no published valuation for Pentland Group or the Speedo brand</t>
        </is>
      </c>
      <c r="K9" s="10" t="inlineStr">
        <is>
          <t>n/a - privately held, no external funding identified</t>
        </is>
      </c>
      <c r="L9" s="10" t="inlineStr">
        <is>
          <t>meets parameters</t>
        </is>
      </c>
      <c r="M9" s="10" t="n">
        <v>3</v>
      </c>
      <c r="N9" s="10" t="inlineStr">
        <is>
          <t>Yes</t>
        </is>
      </c>
      <c r="O9" s="10" t="inlineStr">
        <is>
          <t>Passes all hard filters: family-owned parent (Pentland Group, Rubin family) with no published valuation passes on revenue alone (~$8B group sales); no F1 team/series/driver/GP conflict found for Speedo or Pentland; not state-owned; fit score 3/4.</t>
        </is>
      </c>
      <c r="P9" s="10" t="inlineStr">
        <is>
          <t>Position Speedo's performance-fabric/hydrodynamic engineering heritage against F1's technology-and-precision narrative; swimwear/performance-apparel is an open sponsorship category on the 2026 grid.</t>
        </is>
      </c>
      <c r="Q9" s="10" t="inlineStr">
        <is>
          <t>family-owned, no published valuation; parent: Pentland Group (large private conglomerate; no F1 ties found)</t>
        </is>
      </c>
      <c r="R9" s="10" t="inlineStr">
        <is>
          <t>verified-existing</t>
        </is>
      </c>
      <c r="S9" s="10" t="inlineStr">
        <is>
          <t>2026-09-28</t>
        </is>
      </c>
    </row>
    <row r="10">
      <c r="A10" s="10" t="n">
        <v>7</v>
      </c>
      <c r="B10" s="10" t="n">
        <v>84</v>
      </c>
      <c r="C10" s="10" t="inlineStr">
        <is>
          <t>Yonex</t>
        </is>
      </c>
      <c r="D10" s="10" t="inlineStr">
        <is>
          <t>yonex.com</t>
        </is>
      </c>
      <c r="E10" s="10" t="inlineStr">
        <is>
          <t>Japan</t>
        </is>
      </c>
      <c r="F10" s="10" t="inlineStr">
        <is>
          <t>public (Tokyo Stock Exchange: 7906); founding Yoneyama family retains a stake but the company is publicly listed - corrects input triage of 'family-owned'</t>
        </is>
      </c>
      <c r="G10" s="10" t="inlineStr">
        <is>
          <t>badminton/tennis/golf equipment</t>
        </is>
      </c>
      <c r="H10" s="10" t="inlineStr">
        <is>
          <t>1k-5k</t>
        </is>
      </c>
      <c r="I10" s="10" t="inlineStr">
        <is>
          <t>¥138.28B (~$920M est at ~150 JPY/USD), FY ended March 31, 2025, +18.75% YoY (stockanalysis.com)</t>
        </is>
      </c>
      <c r="J10" s="10" t="inlineStr">
        <is>
          <t>Market cap ~¥245B (~$1.6-1.7B est), September 2026 (stockanalysis.com/TradingView)</t>
        </is>
      </c>
      <c r="K10" s="10" t="inlineStr">
        <is>
          <t>n/a - established public company; no recent capital raise needed</t>
        </is>
      </c>
      <c r="L10" s="10" t="inlineStr">
        <is>
          <t>meets parameters</t>
        </is>
      </c>
      <c r="M10" s="10" t="n">
        <v>3</v>
      </c>
      <c r="N10" s="10" t="inlineStr">
        <is>
          <t>Yes</t>
        </is>
      </c>
      <c r="O10" s="10" t="inlineStr">
        <is>
          <t>Passes all hard filters: revenue ~$920M (est, FY2025) and market cap ~$1.6B (Sept 2026) both clear hard bars; public, profitable, growing 18%+ YoY; no F1 team/series/driver/GP conflict found; fit score 3/4. Note: input triaged Yonex as 'family-owned' but it is publicly listed (TYO:7906) with a disclosed market cap.</t>
        </is>
      </c>
      <c r="P10" s="10" t="inlineStr">
        <is>
          <t>Yonex's materials-science/aerodynamic engineering story (racquet &amp; club technology) pairs naturally with F1's performance-technology narrative; racquet-sports equipment is an open category on the grid.</t>
        </is>
      </c>
      <c r="Q10" s="10" t="n"/>
      <c r="R10" s="10" t="inlineStr">
        <is>
          <t>verified-existing</t>
        </is>
      </c>
      <c r="S10" s="10" t="inlineStr">
        <is>
          <t>2026-09-28</t>
        </is>
      </c>
    </row>
    <row r="11">
      <c r="A11" s="10" t="n">
        <v>8</v>
      </c>
      <c r="B11" s="10" t="n">
        <v>84</v>
      </c>
      <c r="C11" s="10" t="inlineStr">
        <is>
          <t>Alo Yoga</t>
        </is>
      </c>
      <c r="D11" s="10" t="inlineStr">
        <is>
          <t>aloyoga.com</t>
        </is>
      </c>
      <c r="E11" s="10" t="inlineStr">
        <is>
          <t>USA (Beverly Hills, CA)</t>
        </is>
      </c>
      <c r="F11" s="10" t="inlineStr">
        <is>
          <t>founder-owned (Danny Harris &amp; Marco DeGeorge), 100% private</t>
        </is>
      </c>
      <c r="G11" s="10" t="inlineStr">
        <is>
          <t>athleisure/yoga apparel</t>
        </is>
      </c>
      <c r="H11" s="10" t="inlineStr">
        <is>
          <t>1k-5k</t>
        </is>
      </c>
      <c r="I11" s="10" t="inlineStr">
        <is>
          <t>$454M, 2025 (ecdb.com est)</t>
        </is>
      </c>
      <c r="J11" s="10" t="inlineStr">
        <is>
          <t>~$10B reported valuation stemming from a 2023 Moelis-run investment process; still cited in 2025-2026 press coverage as the company's benchmark valuation, though no transaction closed</t>
        </is>
      </c>
      <c r="K11" s="10" t="inlineStr">
        <is>
          <t>No external funding taken to date - founders retain 100% ownership; 2023 Moelis process explored a raise at ~$10B but no deal closed</t>
        </is>
      </c>
      <c r="L11" s="10" t="inlineStr">
        <is>
          <t>exceeds - mega-brand</t>
        </is>
      </c>
      <c r="M11" s="10" t="n">
        <v>3</v>
      </c>
      <c r="N11" s="10" t="inlineStr">
        <is>
          <t>Yes</t>
        </is>
      </c>
      <c r="O11" s="10" t="inlineStr">
        <is>
          <t>Passes all hard filters: revenue $454M (2025) and reported valuation ~$10B both clear hard bars decisively; founder-owned with no debt/distress signals; no formal F1 team/series/driver/GP sponsorship found (only informal, unpaid activations, which is not a contractual conflict); fit score 3/4.</t>
        </is>
      </c>
      <c r="P11" s="10" t="inlineStr">
        <is>
          <t>Alo is already organically embedded in F1 culture (Monaco/Miami GP wellness activations, driver-partner content) without a paid deal - a natural, warm conversion into a formal sponsorship given existing brand affinity and its affluent, globally expanding customer base.</t>
        </is>
      </c>
      <c r="Q11" s="10" t="inlineStr">
        <is>
          <t>already active in F1-adjacent culture via informal activations (Monaco 'Alo Voyage' wellness yacht, Miami GP Paddock Club wellness space, driver-partner content) without any formal sponsorship - not a contractual conflict</t>
        </is>
      </c>
      <c r="R11" s="10" t="inlineStr">
        <is>
          <t>verified-existing</t>
        </is>
      </c>
      <c r="S11" s="10" t="inlineStr">
        <is>
          <t>2026-09-28</t>
        </is>
      </c>
    </row>
    <row r="12">
      <c r="A12" s="10" t="n">
        <v>9</v>
      </c>
      <c r="B12" s="10" t="n">
        <v>84</v>
      </c>
      <c r="C12" s="10" t="inlineStr">
        <is>
          <t>JD Sports Fashion</t>
        </is>
      </c>
      <c r="D12" s="10" t="inlineStr">
        <is>
          <t>jdplc.com</t>
        </is>
      </c>
      <c r="E12" s="10" t="inlineStr">
        <is>
          <t>UK</t>
        </is>
      </c>
      <c r="F12" s="10" t="inlineStr">
        <is>
          <t>public (LSE: JD.)</t>
        </is>
      </c>
      <c r="G12" s="10" t="inlineStr">
        <is>
          <t>sporting goods/sneaker retail (global, incl. US via Hibbett/Finish Line-type banners)</t>
        </is>
      </c>
      <c r="H12" s="10" t="inlineStr">
        <is>
          <t>10k+</t>
        </is>
      </c>
      <c r="I12" s="10" t="inlineStr">
        <is>
          <t>$14.23B revenue FY2025; $17.32B revenue FY2026. Source: companiesmarketcap.com (accessed Sep 2026).</t>
        </is>
      </c>
      <c r="J12" s="10" t="inlineStr">
        <is>
          <t>Market cap ~$5.28-5.29B as of Jul-Aug 2026. Source: companiesmarketcap.com, stockanalysis.com.</t>
        </is>
      </c>
      <c r="K12" s="10" t="inlineStr">
        <is>
          <t>n/a (public company, no recent funding round)</t>
        </is>
      </c>
      <c r="L12" s="10" t="inlineStr">
        <is>
          <t>meets parameters</t>
        </is>
      </c>
      <c r="M12" s="10" t="n">
        <v>3</v>
      </c>
      <c r="N12" s="10" t="inlineStr">
        <is>
          <t>Yes</t>
        </is>
      </c>
      <c r="O12" s="10" t="inlineStr">
        <is>
          <t>All hard filters pass: no F1 team/series/driver/GP conflicts found (direct or via parent); revenue ($17.32B) and market cap (~$5.3B) both far exceed the $100M/$1B bars; headcount 60,000+ (10k+ band); public UK ownership, no compliance flags; strong revenue growth (FY2025 to FY2026) with no distress signals indicates clear spending capacity. Fit score is 3 (multi-market presence, global sportswear brand story, open category), clearing the &gt;=2 bar with no material reservation.</t>
        </is>
      </c>
      <c r="P12" s="10" t="inlineStr">
        <is>
          <t>Open sportswear-retail category; leverage JD's sneaker-culture/streetwear credibility for a Gen Z-facing lifestyle or driver capsule-collection partnership tied to F1's growing youth fanbase (est).</t>
        </is>
      </c>
      <c r="Q12" s="10" t="n"/>
      <c r="R12" s="10" t="inlineStr">
        <is>
          <t>verified-existing</t>
        </is>
      </c>
      <c r="S12" s="10" t="inlineStr">
        <is>
          <t>2026-09-28</t>
        </is>
      </c>
    </row>
    <row r="13">
      <c r="A13" s="10" t="n">
        <v>10</v>
      </c>
      <c r="B13" s="10" t="n">
        <v>84</v>
      </c>
      <c r="C13" s="10" t="inlineStr">
        <is>
          <t>Life Time Group Holdings</t>
        </is>
      </c>
      <c r="D13" s="10" t="inlineStr">
        <is>
          <t>lifetime.life</t>
        </is>
      </c>
      <c r="E13" s="10" t="inlineStr">
        <is>
          <t>USA</t>
        </is>
      </c>
      <c r="F13" s="10" t="inlineStr">
        <is>
          <t>public (NYSE: LTH)</t>
        </is>
      </c>
      <c r="G13" s="10" t="inlineStr">
        <is>
          <t>premium athletic country clubs</t>
        </is>
      </c>
      <c r="H13" s="10" t="inlineStr">
        <is>
          <t>10k+</t>
        </is>
      </c>
      <c r="I13" s="10" t="inlineStr">
        <is>
          <t>$3.00B revenue FY2025, up 14.28% YoY from $2.62B; net income $373.67M, up 139.16% YoY. Source: stockanalysis.com (accessed Sep 2026, reflecting FY2025 results).</t>
        </is>
      </c>
      <c r="J13" s="10" t="inlineStr">
        <is>
          <t>Market cap ~$9.18B as of July 7, 2026. Source: stockanalysis.com.</t>
        </is>
      </c>
      <c r="K13" s="10" t="inlineStr">
        <is>
          <t>n/a (public company, no recent funding round)</t>
        </is>
      </c>
      <c r="L13" s="10" t="inlineStr">
        <is>
          <t>meets parameters</t>
        </is>
      </c>
      <c r="M13" s="10" t="n">
        <v>3</v>
      </c>
      <c r="N13" s="10" t="inlineStr">
        <is>
          <t>Yes</t>
        </is>
      </c>
      <c r="O13" s="10" t="inlineStr">
        <is>
          <t>All hard filters pass: no F1 team/series/driver/GP conflicts found; revenue ($3.00B, +14% YoY) and market cap ($9.18B) both far exceed the $100M/$1B bars; headcount 35,000+ (10k+ band); public US ownership, no compliance flags; earnings up 139% YoY shows clear and improving spending capacity, not distress. Fit score 3 (affluent audience, strong performance-brand-story match, open category) clears the &gt;=2 bar with no material reservation.</t>
        </is>
      </c>
      <c r="P13" s="10" t="inlineStr">
        <is>
          <t>Premium, affluent membership base fits an F1 paddock-club/hospitality or recovery-and-training performance partnership with a team, positioning Life Time as the wellness/training brand of the grid (est).</t>
        </is>
      </c>
      <c r="Q13" s="10" t="n"/>
      <c r="R13" s="10" t="inlineStr">
        <is>
          <t>verified-existing</t>
        </is>
      </c>
      <c r="S13" s="10" t="inlineStr">
        <is>
          <t>2026-09-28</t>
        </is>
      </c>
    </row>
    <row r="14">
      <c r="A14" s="10" t="n">
        <v>11</v>
      </c>
      <c r="B14" s="10" t="n">
        <v>84</v>
      </c>
      <c r="C14" s="10" t="inlineStr">
        <is>
          <t>Xtep International</t>
        </is>
      </c>
      <c r="D14" s="10" t="inlineStr">
        <is>
          <t>xtep.com.cn</t>
        </is>
      </c>
      <c r="E14" s="10" t="inlineStr">
        <is>
          <t>China</t>
        </is>
      </c>
      <c r="F14" s="10" t="inlineStr">
        <is>
          <t>Public (HKEX: 1368)</t>
        </is>
      </c>
      <c r="G14" s="10" t="inlineStr">
        <is>
          <t>athletic footwear &amp; apparel (Xtep, Saucony, Merrell)</t>
        </is>
      </c>
      <c r="H14" s="10" t="inlineStr">
        <is>
          <t>10k+</t>
        </is>
      </c>
      <c r="I14" s="10" t="inlineStr">
        <is>
          <t>CNY 14.15B (~$2.0B) FY2025, +4.23% YoY (stockanalysis.com, FY2025 results)</t>
        </is>
      </c>
      <c r="J14" s="10" t="inlineStr">
        <is>
          <t>Market cap ~HK$11.8B (~$1.5B) as of Apr 2026 (stockanalysis.com/tipranks)</t>
        </is>
      </c>
      <c r="K14" s="10" t="inlineStr">
        <is>
          <t>N/A - public company, HKEX-listed since 2008</t>
        </is>
      </c>
      <c r="L14" s="10" t="inlineStr">
        <is>
          <t>meets parameters</t>
        </is>
      </c>
      <c r="M14" s="10" t="n">
        <v>3</v>
      </c>
      <c r="N14" s="10" t="inlineStr">
        <is>
          <t>Yes</t>
        </is>
      </c>
      <c r="O14" s="10" t="inlineStr">
        <is>
          <t>Hard filters clear (revenue ~$2.0B, market cap ~$1.5B, no F1 conflicts, public ownership, 10,000+ headcount, stable growth) and fit score 3/4, aided by genuine international reach via Saucony/Merrell.</t>
        </is>
      </c>
      <c r="P14" s="10" t="inlineStr">
        <is>
          <t>Position the Saucony/Merrell global performance-running and outdoor portfolio as the F1 sponsorship vehicle, giving Xtep an international (not just China) activation story.</t>
        </is>
      </c>
      <c r="Q14" s="10" t="inlineStr">
        <is>
          <t>market cap declined from ~HK$14.5B (Dec 2025) to ~HK$11.8B (Apr 2026), still comfortably above the $1B bar</t>
        </is>
      </c>
      <c r="R14" s="10" t="inlineStr">
        <is>
          <t>verified-existing</t>
        </is>
      </c>
      <c r="S14" s="10" t="inlineStr">
        <is>
          <t>2026-09-28</t>
        </is>
      </c>
    </row>
    <row r="15">
      <c r="A15" s="11" t="n">
        <v>12</v>
      </c>
      <c r="B15" s="11" t="n">
        <v>64</v>
      </c>
      <c r="C15" s="11" t="inlineStr">
        <is>
          <t>Babolat</t>
        </is>
      </c>
      <c r="D15" s="11" t="inlineStr">
        <is>
          <t>babolat.com</t>
        </is>
      </c>
      <c r="E15" s="11" t="inlineStr">
        <is>
          <t>France</t>
        </is>
      </c>
      <c r="F15" s="11" t="inlineStr">
        <is>
          <t>Family-owned (Babolat family, since 1875; Eric Babolat, current chairman/president)</t>
        </is>
      </c>
      <c r="G15" s="11" t="inlineStr">
        <is>
          <t>Tennis, badminton, padel &amp; pickleball equipment</t>
        </is>
      </c>
      <c r="H15" s="11" t="inlineStr">
        <is>
          <t>201-1k</t>
        </is>
      </c>
      <c r="I15" s="11" t="inlineStr">
        <is>
          <t>€152M FY2024 (Babolat VS main operating entity, Pappers/societe.com French filings) vs. ~€200M FY2023 per company statement (Sport Buzz Business, 2024) - figures vary by source/consolidation scope (est)</t>
        </is>
      </c>
      <c r="J15" s="11" t="inlineStr">
        <is>
          <t>N/A - family-owned, no published valuation; passes on revenue alone per family-owned exception</t>
        </is>
      </c>
      <c r="K15" s="11" t="inlineStr">
        <is>
          <t>N/A - privately held, no external financing rounds found</t>
        </is>
      </c>
      <c r="L15" s="11" t="inlineStr">
        <is>
          <t>meets parameters</t>
        </is>
      </c>
      <c r="M15" s="11" t="n">
        <v>4</v>
      </c>
      <c r="N15" s="11" t="inlineStr">
        <is>
          <t>Stretch</t>
        </is>
      </c>
      <c r="O15" s="11" t="inlineStr">
        <is>
          <t>Passes on revenue via the family-owned exception (comfortably above $100M even at the low-end €152M figure) with no F1 conflict and no ownership issue, but the revenue figure itself is genuinely uncertain across sources (€152M-€200M), which is the reservation.</t>
        </is>
      </c>
      <c r="P15" s="11" t="inlineStr">
        <is>
          <t>Precision-engineering-in-tennis story - racquet/string technology as a proxy for F1's own precision-engineering obsession, an open category (racquet sports) with strong performance-brand fit.</t>
        </is>
      </c>
      <c r="Q15" s="11" t="inlineStr">
        <is>
          <t>family-owned, no published valuation; revenue figure uncertain: reported between €152M (Babolat VS entity, FY2024, Pappers/societe.com) and ~€200M (company statement, FY2023, Sport Buzz Business) - ~30% spread, likely differing consolidation scope</t>
        </is>
      </c>
      <c r="R15" s="11" t="inlineStr">
        <is>
          <t>verified-existing</t>
        </is>
      </c>
      <c r="S15" s="11" t="inlineStr">
        <is>
          <t>2026-09-28</t>
        </is>
      </c>
    </row>
    <row r="16">
      <c r="A16" s="11" t="n">
        <v>13</v>
      </c>
      <c r="B16" s="11" t="n">
        <v>64</v>
      </c>
      <c r="C16" s="11" t="inlineStr">
        <is>
          <t>Fabletics</t>
        </is>
      </c>
      <c r="D16" s="11" t="inlineStr">
        <is>
          <t>fabletics.com</t>
        </is>
      </c>
      <c r="E16" s="11" t="inlineStr">
        <is>
          <t>USA</t>
        </is>
      </c>
      <c r="F16" s="11" t="inlineStr">
        <is>
          <t>Privately held under TechStyle Fashion Group (Kate Hudson co-founder/brand face; historical PE/VC investors incl. Alliance Consumer Growth, TCV, Matrix Partners - no confirmed TPG stake found in current sourcing)</t>
        </is>
      </c>
      <c r="G16" s="11" t="inlineStr">
        <is>
          <t>Activewear/athleisure DTC subscription retail</t>
        </is>
      </c>
      <c r="H16" s="11" t="inlineStr">
        <is>
          <t>1k-5k</t>
        </is>
      </c>
      <c r="I16" s="11" t="inlineStr">
        <is>
          <t>Surpassed $1B in FY2025, +18% YoY (+25% in Q4); VIP membership revenue ~$550M on 2.7M VIP members (SGB Media, 2026)</t>
        </is>
      </c>
      <c r="J16" s="11" t="inlineStr">
        <is>
          <t>Uncertain/borderline: TechStyle Fashion Group reported at $915.73M-$1B (Preqin/PM Insights) vs. $6.94B on the Forge Global secondary marketplace - conflicting figures, near or possibly above the $1B threshold with no single authoritative recent number</t>
        </is>
      </c>
      <c r="K16" s="11" t="inlineStr">
        <is>
          <t>No raise within 18 months found; company describes self-funded growth, 'ahead of schedule' on a 5-year plan</t>
        </is>
      </c>
      <c r="L16" s="11" t="inlineStr">
        <is>
          <t>meets parameters</t>
        </is>
      </c>
      <c r="M16" s="11" t="n">
        <v>4</v>
      </c>
      <c r="N16" s="11" t="inlineStr">
        <is>
          <t>Stretch</t>
        </is>
      </c>
      <c r="O16" s="11" t="inlineStr">
        <is>
          <t>Revenue clearly passes ($1B+ FY2025, growing 18-25% YoY) and no F1 conflict or ownership issue was found, but the valuation figure is genuinely uncertain - sourced estimates range from just under $1B to $6.94B with no single authoritative recent number, so the valuation hard bar can't be confirmed with confidence.</t>
        </is>
      </c>
      <c r="P16" s="11" t="inlineStr">
        <is>
          <t>Fitness-performance-meets-lifestyle story - Kate Hudson/wellness brand positioning paired with strong DTC growth momentum, in an athleisure category not yet claimed on the grid.</t>
        </is>
      </c>
      <c r="Q16" s="11" t="inlineStr">
        <is>
          <t>valuation uncertain/borderline: reported between $915M-$1B (Preqin/PM Insights) and $6.94B (Forge Global) - near or at the $1B threshold with no clean authoritative figure; ownership/PE-backer structure not fully confirmed in current sourcing</t>
        </is>
      </c>
      <c r="R16" s="11" t="inlineStr">
        <is>
          <t>verified-existing</t>
        </is>
      </c>
      <c r="S16" s="11" t="inlineStr">
        <is>
          <t>2026-09-28</t>
        </is>
      </c>
    </row>
    <row r="17">
      <c r="A17" s="11" t="n">
        <v>14</v>
      </c>
      <c r="B17" s="11" t="n">
        <v>64</v>
      </c>
      <c r="C17" s="11" t="inlineStr">
        <is>
          <t>Self Esteem Brands (Anytime Fitness)</t>
        </is>
      </c>
      <c r="D17" s="11" t="inlineStr">
        <is>
          <t>selfesteembrands.com</t>
        </is>
      </c>
      <c r="E17" s="11" t="inlineStr">
        <is>
          <t>USA</t>
        </is>
      </c>
      <c r="F17" s="11" t="inlineStr">
        <is>
          <t>Merged with Orangetheory Fitness (Apr 2024, all-stock 'merger of equals') to form Purpose Brands; founders (Chuck Runyon, Dave Mortensen) and PE growth-equity investor Roark Capital (invested since 2014) both hold stakes; exact ownership split not disclosed</t>
        </is>
      </c>
      <c r="G17" s="11" t="inlineStr">
        <is>
          <t>Gym/fitness franchisor (Anytime Fitness, Orangetheory, The Bar Method, Basecamp/Sumhiit Fitness, Waxing the City)</t>
        </is>
      </c>
      <c r="H17" s="11" t="inlineStr">
        <is>
          <t>1k-5k</t>
        </is>
      </c>
      <c r="I17" s="11" t="inlineStr">
        <is>
          <t>Corporate/franchisor revenue not separately disclosed; combined system reported at ~$3.5-3.7B, but sources describe this inconsistently as either 'systemwide sales' (aggregate franchisee-level revenue across ~7,000 locations) or 'company revenue' - the figure is very likely systemwide sales, not franchisor revenue. Desk-triage estimate of $150-250M for actual franchisor revenue is plausible but unverified (est)</t>
        </is>
      </c>
      <c r="J17" s="11" t="inlineStr">
        <is>
          <t>No dated, sourced, entity-specific valuation found; the reported $3.5-3.7B figures describe combined-brand systemwide scale, not a confirmed company valuation</t>
        </is>
      </c>
      <c r="K17" s="11" t="inlineStr">
        <is>
          <t>N/A - all-stock merger of equals (closed Apr 2024), not a funding raise</t>
        </is>
      </c>
      <c r="L17" s="11" t="inlineStr">
        <is>
          <t>meets parameters</t>
        </is>
      </c>
      <c r="M17" s="11" t="n">
        <v>4</v>
      </c>
      <c r="N17" s="11" t="inlineStr">
        <is>
          <t>Stretch</t>
        </is>
      </c>
      <c r="O17" s="11" t="inlineStr">
        <is>
          <t>No F1 conflict and no ownership red flag, and the business is clearly large-scale (7,000+ locations, 6M+ members across the merged Purpose Brands), but neither revenue nor valuation has a clean, dated, sourced figure specific to the franchisor entity - the public figures found conflate systemwide franchisee sales with company revenue, so both hard-bar figures are uncertain rather than confirmed.</t>
        </is>
      </c>
      <c r="P17" s="11" t="inlineStr">
        <is>
          <t>Global fitness-franchise-ambition story - 50-country footprint and post-merger scale (Purpose Brands) map to F1's global-growth narrative, in a fitness/gym category not yet claimed on the grid.</t>
        </is>
      </c>
      <c r="Q17" s="11" t="inlineStr">
        <is>
          <t>no published entity-specific valuation; reported $3.5-3.7B figures likely conflate systemwide franchisee sales with company revenue/value - genuinely uncertain metric; PE minority/growth investor (Roark Capital, since 2014) alongside founders - not majority state, not distress; revenue figure is a desk estimate, not independently confirmed from a primary source</t>
        </is>
      </c>
      <c r="R17" s="11" t="inlineStr">
        <is>
          <t>verified-existing</t>
        </is>
      </c>
      <c r="S17" s="11" t="inlineStr">
        <is>
          <t>2026-09-28</t>
        </is>
      </c>
    </row>
    <row r="18">
      <c r="A18" s="11" t="n">
        <v>15</v>
      </c>
      <c r="B18" s="11" t="n">
        <v>64</v>
      </c>
      <c r="C18" s="11" t="inlineStr">
        <is>
          <t>Crunch Fitness</t>
        </is>
      </c>
      <c r="D18" s="11" t="inlineStr">
        <is>
          <t>crunch.com</t>
        </is>
      </c>
      <c r="E18" s="11" t="inlineStr">
        <is>
          <t>United States</t>
        </is>
      </c>
      <c r="F18" s="11" t="inlineStr">
        <is>
          <t>Crunch Holdings' majority stake acquired by private equity firm Leonard Green &amp; Partners from TPG Growth, deal valued at over $1.5B (announced 2025); largest franchisee CR Fitness Holdings separately received a $350M growth investment from Sixth Street alongside existing owner North Castle Partners</t>
        </is>
      </c>
      <c r="G18" s="11" t="inlineStr">
        <is>
          <t>Gym franchise</t>
        </is>
      </c>
      <c r="H18" s="11" t="inlineStr">
        <is>
          <t>5k-10k</t>
        </is>
      </c>
      <c r="I18" s="11" t="inlineStr">
        <is>
          <t>Systemwide sales of $957M in 2023, +23.3% YoY (Franchise Times Top 400 list); the franchisor's own consolidated/corporate revenue is not separately disclosed (est)</t>
        </is>
      </c>
      <c r="J18" s="11" t="inlineStr">
        <is>
          <t>&gt;$1.5B — Leonard Green &amp; Partners majority-stake acquisition of Crunch Holdings, valued at over $1.5B (2025, SGB Media/Franchise Times/PRNewswire)</t>
        </is>
      </c>
      <c r="K18" s="11" t="inlineStr">
        <is>
          <t>Leonard Green &amp; Partners majority investment (deal finalized/announced 2024-2025); separately, CR Fitness Holdings (largest franchisee) received a $350M strategic growth investment from Sixth Street (2024-2025, Sixth Street press release) — both within the 18-month capacity window</t>
        </is>
      </c>
      <c r="L18" s="11" t="inlineStr">
        <is>
          <t>meets parameters</t>
        </is>
      </c>
      <c r="M18" s="11" t="n">
        <v>4</v>
      </c>
      <c r="N18" s="11" t="inlineStr">
        <is>
          <t>Stretch</t>
        </is>
      </c>
      <c r="O18" s="11" t="inlineStr">
        <is>
          <t>Hard bars plausibly clear — valuation of &gt;$1.5B (Leonard Green acquisition, 2024-2025) comfortably passes the $1B bar, and $957M systemwide sales (2023) plus 3M+ members strongly suggest real revenue scale, spend capacity, and a broad customer base — but the company's own consolidated/franchisor revenue figure (versus systemwide sales) is not independently confirmed, so this is marked Stretch rather than a clean Yes.</t>
        </is>
      </c>
      <c r="P18" s="11" t="inlineStr">
        <is>
          <t>A 'train like an F1 driver' performance-fitness campaign built around Crunch's rapid US/international expansion (1,200+ clubs, 3M+ members) — an open fitness-franchise category on the current grid.</t>
        </is>
      </c>
      <c r="Q18" s="11" t="inlineStr">
        <is>
          <t>revenue confirmed is systemwide sales, not the franchisor's own consolidated P&amp;L revenue; PE ownership under Leonard Green is recent (2024-2025), not yet the 4+-year PE-owned soft flag threshold</t>
        </is>
      </c>
      <c r="R18" s="11" t="inlineStr">
        <is>
          <t>verified-existing</t>
        </is>
      </c>
      <c r="S18" s="11" t="inlineStr">
        <is>
          <t>2026-09-28</t>
        </is>
      </c>
    </row>
    <row r="19">
      <c r="A19" s="11" t="n">
        <v>16</v>
      </c>
      <c r="B19" s="11" t="n">
        <v>64</v>
      </c>
      <c r="C19" s="11" t="inlineStr">
        <is>
          <t>Equinox Group</t>
        </is>
      </c>
      <c r="D19" s="11" t="inlineStr">
        <is>
          <t>equinox.com</t>
        </is>
      </c>
      <c r="E19" s="11" t="inlineStr">
        <is>
          <t>USA</t>
        </is>
      </c>
      <c r="F19" s="11" t="inlineStr">
        <is>
          <t>Private, majority owned by The Related Companies; recapitalized with institutional credit investors (Sixth Street, Silver Lake, Ares Management, HPS Investment Partners, L Catterton) in March 2024; no state ownership</t>
        </is>
      </c>
      <c r="G19" s="11" t="inlineStr">
        <is>
          <t>premium fitness clubs</t>
        </is>
      </c>
      <c r="H19" s="11" t="inlineStr">
        <is>
          <t>10k+</t>
        </is>
      </c>
      <c r="I19" s="11" t="inlineStr">
        <is>
          <t>~$2B (2025, per reporting on Equinox Holdings) — clearly passes the $100M hard bar</t>
        </is>
      </c>
      <c r="J19" s="11" t="inlineStr">
        <is>
          <t>No published equity valuation; raised ~$1.8B in refinancing/recapitalization (March 2024, PR Newswire) to address maturing loans and fund growth — treated as passing on revenue alone</t>
        </is>
      </c>
      <c r="K19" s="11" t="inlineStr">
        <is>
          <t>~$1.8B refinancing led by Sixth Street and Silver Lake, with Ares Management, HPS Investment Partners, and L Catterton (March 2024, PR Newswire)</t>
        </is>
      </c>
      <c r="L19" s="11" t="inlineStr">
        <is>
          <t>meets parameters</t>
        </is>
      </c>
      <c r="M19" s="11" t="n">
        <v>4</v>
      </c>
      <c r="N19" s="11" t="inlineStr">
        <is>
          <t>Stretch</t>
        </is>
      </c>
      <c r="O19" s="11" t="inlineStr">
        <is>
          <t>Hard filters largely pass: revenue ~$2B (2025) far above the $100M bar; private ownership with no published valuation treated as passing on revenue alone; headcount 10,000+; large affluent membership base with no concentration; no F1 conflicts found; strong fit=4 given the direct 'High Performance Living' brand match. Reservation: the March 2024 $1.8B refinancing followed reported 2022-2024 liquidity strain, leaving genuine uncertainty about clean capacity to sustain a ~$3.5M/yr sponsorship commitment -&gt; Stretch.</t>
        </is>
      </c>
      <c r="P19" s="11" t="inlineStr">
        <is>
          <t>'High Performance Living' brand positioning directly mirrors F1 performance-optimization messaging; premium affluent membership overlaps with F1's target demographic — a paddock-club/VIP hospitality tie-in (est).</t>
        </is>
      </c>
      <c r="Q19" s="11" t="inlineStr">
        <is>
          <t>heavy leverage: $1.8B debt refinancing (March 2024) amid reported 2022-2024 liquidity strain — capacity/distress picture uncertain despite strong revenue; no published equity valuation (private, institutionally backed via debt rather than equity)</t>
        </is>
      </c>
      <c r="R19" s="11" t="inlineStr">
        <is>
          <t>verified-existing</t>
        </is>
      </c>
      <c r="S19" s="11" t="inlineStr">
        <is>
          <t>2026-09-28</t>
        </is>
      </c>
    </row>
    <row r="20">
      <c r="A20" s="11" t="n">
        <v>17</v>
      </c>
      <c r="B20" s="11" t="n">
        <v>58</v>
      </c>
      <c r="C20" s="11" t="inlineStr">
        <is>
          <t>PureGym Group</t>
        </is>
      </c>
      <c r="D20" s="11" t="inlineStr">
        <is>
          <t>puregym.com</t>
        </is>
      </c>
      <c r="E20" s="11" t="inlineStr">
        <is>
          <t>UK</t>
        </is>
      </c>
      <c r="F20" s="11" t="inlineStr">
        <is>
          <t>PE-owned - Leonard Green &amp; Partners (Los Angeles), majority owner since Nov 2017 buyout (£600M/~$825M)</t>
        </is>
      </c>
      <c r="G20" s="11" t="inlineStr">
        <is>
          <t>Budget gym chain (UK, Denmark, Switzerland, US via Blink Fitness, Middle East franchise)</t>
        </is>
      </c>
      <c r="H20" s="11" t="inlineStr">
        <is>
          <t>5k-10k</t>
        </is>
      </c>
      <c r="I20" s="11" t="inlineStr">
        <is>
          <t>£742M (~$1B) FY2025, +23% YoY (PureGym FY25 results press release / Athletech News, 2026)</t>
        </is>
      </c>
      <c r="J20" s="11" t="inlineStr">
        <is>
          <t>No confirmed current valuation. Last real transaction: £600M/~$825M (Nov 2017, Leonard Green buyout) - below $1B. A speculative ~£1.5B (~$1.9B) IPO valuation was floated circa 2021 but never realized and is now dated/unconfirmed.</t>
        </is>
      </c>
      <c r="K20" s="11" t="inlineStr">
        <is>
          <t>N/A - PE-owned since 2017, no recent raise found; expanding via M&amp;A (Blink Fitness acquisition, late 2024)</t>
        </is>
      </c>
      <c r="L20" s="11" t="inlineStr">
        <is>
          <t>meets parameters</t>
        </is>
      </c>
      <c r="M20" s="11" t="n">
        <v>3</v>
      </c>
      <c r="N20" s="11" t="inlineStr">
        <is>
          <t>Stretch</t>
        </is>
      </c>
      <c r="O20" s="11" t="inlineStr">
        <is>
          <t>Revenue clearly passes (£742M/~$1B FY2025, +23% YoY) with no F1 conflict and no state-ownership issue, but two real reservations: PE ownership for 9 years, and no confirmed current valuation over $1B (only a dated, speculative 2021 IPO estimate) despite the company's scale strongly suggesting it now clears that bar.</t>
        </is>
      </c>
      <c r="P20" s="11" t="inlineStr">
        <is>
          <t>Mass-market fitness-democratization story tied to PureGym's active US expansion (Blink Fitness) - accessible performance/wellness for millions, though the brand's budget positioning is a weaker match to F1's premium-audience skew than other candidates in this batch.</t>
        </is>
      </c>
      <c r="Q20" s="11" t="inlineStr">
        <is>
          <t>PE-owned 4+ years (Leonard Green, since Nov 2017 - 9 years); no confirmed current valuation above $1B - last real transaction ($825M, 2017) was below the bar; only a dated, unconfirmed ~$1.9B 2021 IPO estimate exists</t>
        </is>
      </c>
      <c r="R20" s="11" t="inlineStr">
        <is>
          <t>verified-existing</t>
        </is>
      </c>
      <c r="S20" s="11" t="inlineStr">
        <is>
          <t>2026-09-28</t>
        </is>
      </c>
    </row>
    <row r="21">
      <c r="A21" s="11" t="n">
        <v>18</v>
      </c>
      <c r="B21" s="11" t="n">
        <v>58</v>
      </c>
      <c r="C21" s="11" t="inlineStr">
        <is>
          <t>Rawlings Sporting Goods</t>
        </is>
      </c>
      <c r="D21" s="11" t="inlineStr">
        <is>
          <t>rawlings.com</t>
        </is>
      </c>
      <c r="E21" s="11" t="inlineStr">
        <is>
          <t>USA</t>
        </is>
      </c>
      <c r="F21" s="11" t="inlineStr">
        <is>
          <t>PE-owned (Seidler Equity Partners 75%, MLB 25%, since June 2018)</t>
        </is>
      </c>
      <c r="G21" s="11" t="inlineStr">
        <is>
          <t>baseball/softball equipment</t>
        </is>
      </c>
      <c r="H21" s="11" t="inlineStr">
        <is>
          <t>1k-5k</t>
        </is>
      </c>
      <c r="I21" s="11" t="inlineStr">
        <is>
          <t>~$500M-$1.0B (est, Owler/industry estimate); historical net sales ~$330M in 2017 (Newell Brands sale filings) - no precise current figure disclosed</t>
        </is>
      </c>
      <c r="J21" s="11" t="inlineStr">
        <is>
          <t>Owner reported exploring a sale at ~$2B valuation including debt (SGB Media Online report, est) - date of report not confirmed precisely</t>
        </is>
      </c>
      <c r="K21" s="11" t="inlineStr">
        <is>
          <t>Acquired by Seidler Equity Partners/MLB for $395M, June 5 2018 (PitchBook); no subsequent external raise identified</t>
        </is>
      </c>
      <c r="L21" s="11" t="inlineStr">
        <is>
          <t>meets parameters</t>
        </is>
      </c>
      <c r="M21" s="11" t="n">
        <v>3</v>
      </c>
      <c r="N21" s="11" t="inlineStr">
        <is>
          <t>Stretch</t>
        </is>
      </c>
      <c r="O21" s="11" t="inlineStr">
        <is>
          <t>Hard filters plausibly pass on estimated figures (revenue ~$500M-1B, reported ~$2B sale-exploration valuation) but figures are unconfirmed/estimated only and ownership is PE 4+ years - both flagged as reservations per protocol.</t>
        </is>
      </c>
      <c r="P21" s="11" t="inlineStr">
        <is>
          <t>Frame Rawlings' precision equipment-engineering heritage (bats, gloves, protective gear) as a performance/craftsmanship story for F1, reaching baseball's affluent-adjacent youth/family sponsorship market in the US, Japan and Latin America (est).</t>
        </is>
      </c>
      <c r="Q21" s="11" t="inlineStr">
        <is>
          <t>PE-owned 8+ years (Seidler Equity Partners since 2018); revenue and valuation figures are estimates only, no audited/public figures available (private company)</t>
        </is>
      </c>
      <c r="R21" s="11" t="inlineStr">
        <is>
          <t>verified-existing</t>
        </is>
      </c>
      <c r="S21" s="11" t="inlineStr">
        <is>
          <t>2026-09-28</t>
        </is>
      </c>
    </row>
    <row r="22">
      <c r="A22" s="11" t="n">
        <v>19</v>
      </c>
      <c r="B22" s="11" t="n">
        <v>58</v>
      </c>
      <c r="C22" s="11" t="inlineStr">
        <is>
          <t>Reebok (Authentic Brands Group)</t>
        </is>
      </c>
      <c r="D22" s="11" t="inlineStr">
        <is>
          <t>reebok.com</t>
        </is>
      </c>
      <c r="E22" s="11" t="inlineStr">
        <is>
          <t>USA</t>
        </is>
      </c>
      <c r="F22" s="11" t="inlineStr">
        <is>
          <t>Brand owned by Authentic Brands Group (ABG), a PE-backed brand-licensing holding company majority backed by CVC Capital Partners and General Atlantic since ~2019; Reebok is a licensing entity acquired by ABG from Adidas in 2021</t>
        </is>
      </c>
      <c r="G22" s="11" t="inlineStr">
        <is>
          <t>athletic footwear/apparel</t>
        </is>
      </c>
      <c r="H22" s="11" t="inlineStr">
        <is>
          <t>1k-5k</t>
        </is>
      </c>
      <c r="I22" s="11" t="inlineStr">
        <is>
          <t>Reebok International (licensing/royalty) revenue $302.5M in 2024, up 9.4% from $276.4M in 2023; net profit $180.4M, up 10% (SGB Media, SGI Europe, FashionNetwork, reporting FY2024 results) — clearly passes the $100M bar and growing/profitable</t>
        </is>
      </c>
      <c r="J22" s="11" t="inlineStr">
        <is>
          <t>Parent Authentic Brands Group valued at ~$12.1-17B (May 2024 funding round, CB Insights) to ~$20B (per other 2024 reporting) — far exceeds the $1B bar</t>
        </is>
      </c>
      <c r="K22" s="11" t="inlineStr">
        <is>
          <t>ABG raised new capital at ~$12.1-20B valuation (May 2024, Business of Fashion/CB Insights); Reebok itself was acquired by ABG from Adidas for ~$2.46B (2021)</t>
        </is>
      </c>
      <c r="L22" s="11" t="inlineStr">
        <is>
          <t>exceeds - mega-brand</t>
        </is>
      </c>
      <c r="M22" s="11" t="n">
        <v>3</v>
      </c>
      <c r="N22" s="11" t="inlineStr">
        <is>
          <t>Stretch</t>
        </is>
      </c>
      <c r="O22" s="11" t="inlineStr">
        <is>
          <t>Hard filters pass cleanly: Reebok revenue $302.5M (2024), growing and highly profitable; parent ABG valued ~$12-20B, far above the $1B bar; headcount ~1,000-2,000 (1k-5k band); global mass-market customer base with no concentration; no F1 sponsorship conflicts found. Reservation: ABG has been PE-backed 4+ years -&gt; capped at Stretch per the PE-duration rule despite mega-brand scale and fit=3.</t>
        </is>
      </c>
      <c r="P22" s="11" t="inlineStr">
        <is>
          <t>Leverage Reebok's 2025 global relaunch momentum (new licensee/retail partnership expansion under ABG) and training/CrossFit performance heritage for an F1 fitness/training-culture crossover, positioned as a challenger to the existing Puma-Ferrari apparel tie (est).</t>
        </is>
      </c>
      <c r="Q22" s="11" t="inlineStr">
        <is>
          <t>PE-owned 4+ years (ABG majority-backed by CVC Capital Partners/General Atlantic since ~2019); athletic apparel/footwear category already occupied on the grid (Puma-Ferrari)</t>
        </is>
      </c>
      <c r="R22" s="11" t="inlineStr">
        <is>
          <t>verified-existing</t>
        </is>
      </c>
      <c r="S22" s="11" t="inlineStr">
        <is>
          <t>2026-09-28</t>
        </is>
      </c>
    </row>
    <row r="23">
      <c r="A23" s="11" t="n">
        <v>20</v>
      </c>
      <c r="B23" s="11" t="n">
        <v>58</v>
      </c>
      <c r="C23" s="11" t="inlineStr">
        <is>
          <t>RSG Group (Gold's Gym, McFit)</t>
        </is>
      </c>
      <c r="D23" s="11" t="inlineStr">
        <is>
          <t>rsggroup.com</t>
        </is>
      </c>
      <c r="E23" s="11" t="inlineStr">
        <is>
          <t>Germany</t>
        </is>
      </c>
      <c r="F23" s="11" t="inlineStr">
        <is>
          <t>100% family-owned; inherited by Gerd Schaller (brother of founder Rainer Schaller, who died in a 2022 plane crash), now part of the management team as of Jan 2025; no state ownership</t>
        </is>
      </c>
      <c r="G23" s="11" t="inlineStr">
        <is>
          <t>gym chain conglomerate</t>
        </is>
      </c>
      <c r="H23" s="11" t="inlineStr">
        <is>
          <t>10k+</t>
        </is>
      </c>
      <c r="I23" s="11" t="inlineStr">
        <is>
          <t>Genuinely uncertain across sources: historical figures cited range from ~€200-325M (various pre-2022 years) to the input triage's estimate of ~€2B; 4.5 million members across 700+ clubs in multiple European countries (RSG Group/Wikipedia) suggest substantial scale, but no confirmed current consolidated revenue figure was found</t>
        </is>
      </c>
      <c r="J23" s="11" t="inlineStr">
        <is>
          <t>No published valuation — 100% family-owned; passes on revenue alone per family-owned rule, subject to revenue confirmation</t>
        </is>
      </c>
      <c r="K23" s="11" t="inlineStr">
        <is>
          <t>n/a (100% family-owned, no external funding raises identified)</t>
        </is>
      </c>
      <c r="L23" s="11" t="inlineStr">
        <is>
          <t>meets parameters</t>
        </is>
      </c>
      <c r="M23" s="11" t="n">
        <v>3</v>
      </c>
      <c r="N23" s="11" t="inlineStr">
        <is>
          <t>Stretch</t>
        </is>
      </c>
      <c r="O23" s="11" t="inlineStr">
        <is>
          <t>Hard filters plausibly pass: family-owned with no published valuation (passes on revenue alone), revenue very likely above $100M given 4.5M members across 700+ clubs though the precise current figure could not be confirmed, headcount 10,000+ (10k+ band), large diversified membership base, no F1 conflicts, ownership succession has stabilized post-2022. Reservation: revenue figure is genuinely uncertain across sources -&gt; Stretch.</t>
        </is>
      </c>
      <c r="P23" s="11" t="inlineStr">
        <is>
          <t>Pan-European mass-fitness brand (4.5M members spanning multiple F1 host countries) could anchor a grassroots 'train like an F1 driver' fan-engagement campaign timed to European race weekends (est).</t>
        </is>
      </c>
      <c r="Q23" s="11" t="inlineStr">
        <is>
          <t>revenue figure highly uncertain/conflicting across sources; family ownership succession following the founder's 2022 death (now resolved under brother Gerd Schaller, but financial disclosure remains limited)</t>
        </is>
      </c>
      <c r="R23" s="11" t="inlineStr">
        <is>
          <t>verified-existing</t>
        </is>
      </c>
      <c r="S23" s="11" t="inlineStr">
        <is>
          <t>2026-09-28</t>
        </is>
      </c>
    </row>
    <row r="24">
      <c r="A24" s="11" t="n">
        <v>21</v>
      </c>
      <c r="B24" s="11" t="n">
        <v>58</v>
      </c>
      <c r="C24" s="11" t="inlineStr">
        <is>
          <t>Spalding (Russell Brands)</t>
        </is>
      </c>
      <c r="D24" s="11" t="inlineStr">
        <is>
          <t>spalding.com</t>
        </is>
      </c>
      <c r="E24" s="11" t="inlineStr">
        <is>
          <t>USA (Russell Brands / Fruit of the Loom lineage)</t>
        </is>
      </c>
      <c r="F24" s="11" t="inlineStr">
        <is>
          <t>Wholly-owned subsidiary of Russell Brands / Fruit of the Loom, both owned by Berkshire Hathaway (NYSE: BRK.A/B) since 2006</t>
        </is>
      </c>
      <c r="G24" s="11" t="inlineStr">
        <is>
          <t>Basketball &amp; sports equipment</t>
        </is>
      </c>
      <c r="H24" s="11" t="inlineStr">
        <is>
          <t>201-1k</t>
        </is>
      </c>
      <c r="I24" s="11" t="inlineStr">
        <is>
          <t>Spalding standalone revenue not disclosed; parent Russell Brands reported ~$1.438B (est, no specific year, LeadIQ/Wikipedia, checked Sept 2026)</t>
        </is>
      </c>
      <c r="J24" s="11" t="inlineStr">
        <is>
          <t>No standalone valuation; parent Berkshire Hathaway market cap in the ~$1 trillion+ range (NYSE, Sept 2026) - passes via parent proxy</t>
        </is>
      </c>
      <c r="K24" s="11" t="inlineStr">
        <is>
          <t>N/A - subsidiary of public parent, no independent funding events</t>
        </is>
      </c>
      <c r="L24" s="11" t="inlineStr">
        <is>
          <t>meets parameters</t>
        </is>
      </c>
      <c r="M24" s="11" t="n">
        <v>3</v>
      </c>
      <c r="N24" s="11" t="inlineStr">
        <is>
          <t>Stretch</t>
        </is>
      </c>
      <c r="O24" s="11" t="inlineStr">
        <is>
          <t>Hard filters pass only via parent-level proxy: revenue and valuation both rely on Berkshire Hathaway/Russell Brands figures rather than a confirmed Spalding-standalone number (uncertain figure); ownership is resolved (Berkshire Hathaway, not an F1 sponsor, not state-owned); no F1 conflicts found; headcount and audience are adequate.</t>
        </is>
      </c>
      <c r="P24" s="11" t="inlineStr">
        <is>
          <t>Global basketball-equipment heritage backed by Berkshire's stability - position a 'court meets track' crossover angle, tapping F1's fast-growing US audience overlap with basketball fandom.</t>
        </is>
      </c>
      <c r="Q24" s="11" t="inlineStr">
        <is>
          <t>parent: Berkshire Hathaway (via Fruit of the Loom/Russell Brands); standalone Spalding financials not disclosed - relying on parent-level figures as proxy</t>
        </is>
      </c>
      <c r="R24" s="11" t="inlineStr">
        <is>
          <t>verified-existing</t>
        </is>
      </c>
      <c r="S24" s="11" t="inlineStr">
        <is>
          <t>2026-09-28</t>
        </is>
      </c>
    </row>
    <row r="25">
      <c r="A25" s="11" t="n">
        <v>22</v>
      </c>
      <c r="B25" s="11" t="n">
        <v>52</v>
      </c>
      <c r="C25" s="11" t="inlineStr">
        <is>
          <t>Basic-Fit</t>
        </is>
      </c>
      <c r="D25" s="11" t="inlineStr">
        <is>
          <t>basic-fit.com</t>
        </is>
      </c>
      <c r="E25" s="11" t="inlineStr">
        <is>
          <t>Netherlands (Hoofddorp)</t>
        </is>
      </c>
      <c r="F25" s="11" t="inlineStr">
        <is>
          <t>public (Euronext Amsterdam: BFIT)</t>
        </is>
      </c>
      <c r="G25" s="11" t="inlineStr">
        <is>
          <t>budget/value gym chain</t>
        </is>
      </c>
      <c r="H25" s="11" t="inlineStr">
        <is>
          <t>10k+</t>
        </is>
      </c>
      <c r="I25" s="11" t="inlineStr">
        <is>
          <t>€1.42B, FY2025, +16.9% YoY (MarketScreener/company FY2025 results)</t>
        </is>
      </c>
      <c r="J25" s="11" t="inlineStr">
        <is>
          <t>Market cap ~€1.79B (~$1.9B est), August 2026 (ad-hoc-news.de)</t>
        </is>
      </c>
      <c r="K25" s="11" t="inlineStr">
        <is>
          <t>n/a - public, self-funded expansion (capex increased for club growth)</t>
        </is>
      </c>
      <c r="L25" s="11" t="inlineStr">
        <is>
          <t>meets parameters</t>
        </is>
      </c>
      <c r="M25" s="11" t="n">
        <v>2</v>
      </c>
      <c r="N25" s="11" t="inlineStr">
        <is>
          <t>Stretch</t>
        </is>
      </c>
      <c r="O25" s="11" t="inlineStr">
        <is>
          <t>Passes hard filters (revenue €1.42B FY2025, market cap ~€1.79B, no F1 conflict found, public and profitable/improving, thousands of members) but fit score is only 2/4 with weak angles - Basic-Fit's budget/mass-market positioning doesn't map cleanly to an affluent audience or a performance-technology brand story.</t>
        </is>
      </c>
      <c r="P25" s="11" t="inlineStr">
        <is>
          <t>European gym-chain scale and a large fitness-conscious member base could target F1's growing youth/fitness-oriented fanbase, but needs a differentiated performance-tech creative hook to move beyond a budget-gym positioning.</t>
        </is>
      </c>
      <c r="Q25" s="11" t="n"/>
      <c r="R25" s="11" t="inlineStr">
        <is>
          <t>verified-existing</t>
        </is>
      </c>
      <c r="S25" s="11" t="inlineStr">
        <is>
          <t>2026-09-28</t>
        </is>
      </c>
    </row>
    <row r="26">
      <c r="A26" s="11" t="n">
        <v>23</v>
      </c>
      <c r="B26" s="11" t="n">
        <v>52</v>
      </c>
      <c r="C26" s="11" t="inlineStr">
        <is>
          <t>Frasers Group</t>
        </is>
      </c>
      <c r="D26" s="11" t="inlineStr">
        <is>
          <t>frasers.group</t>
        </is>
      </c>
      <c r="E26" s="11" t="inlineStr">
        <is>
          <t>UK</t>
        </is>
      </c>
      <c r="F26" s="11" t="inlineStr">
        <is>
          <t>public (LSE: FRAS)</t>
        </is>
      </c>
      <c r="G26" s="11" t="inlineStr">
        <is>
          <t>sporting goods retail conglomerate (Sports Direct, Evans Cycles, Everlast, Flannels, House of Fraser)</t>
        </is>
      </c>
      <c r="H26" s="11" t="inlineStr">
        <is>
          <t>10k+</t>
        </is>
      </c>
      <c r="I26" s="11" t="inlineStr">
        <is>
          <t>£4.93B (~$6.2B est) revenue FY2025 (year ended Apr 27, 2025), down ~7.4% YoY; LTM to Oct 26, 2025 ~£5.05B, down ~2.2% YoY. Source: stockanalysis.com/companiesmarketcap.com (accessed Sep 2026), citing company filings.</t>
        </is>
      </c>
      <c r="J26" s="11" t="inlineStr">
        <is>
          <t>Market cap ~£2.94B (Dec 8, 2025) rising to ~£3.31B (Jun 2026) / ~$4.67B (Aug 12, 2026). Source: stockanalysis.com, companiesmarketcap.com.</t>
        </is>
      </c>
      <c r="K26" s="11" t="inlineStr">
        <is>
          <t>n/a (public company, no recent funding round)</t>
        </is>
      </c>
      <c r="L26" s="11" t="inlineStr">
        <is>
          <t>meets parameters</t>
        </is>
      </c>
      <c r="M26" s="11" t="n">
        <v>2</v>
      </c>
      <c r="N26" s="11" t="inlineStr">
        <is>
          <t>Stretch</t>
        </is>
      </c>
      <c r="O26" s="11" t="inlineStr">
        <is>
          <t>All hard filters pass: no F1/team/series/GP conflicts found (direct or via parent); revenue (£4.93B) and market cap (~£3.3-4.7B) both comfortably clear the $100M/$1B bars; headcount 27,000+ (10k+ band); public UK ownership, no compliance flags; continued profitability and buybacks indicate spending capacity. However fit score is only 2 with weak angles: Sports Direct's value/mass-market audience does not match the affluent-buyer criterion, and the diversified retail-conglomerate brand story maps loosely to F1 themes.</t>
        </is>
      </c>
      <c r="P26" s="11" t="inlineStr">
        <is>
          <t>Open 'sporting goods retail' category on the grid; activate via owned performance brands (Everlast, Slazenger) and pan-European store network for in-store F1 promotions/merchandise tie-ins (est).</t>
        </is>
      </c>
      <c r="Q26" s="11" t="inlineStr">
        <is>
          <t>owns Sports Direct and Everlast, also separately listed in this book; revenue declined ~7% YoY FY2025 (est monitor for margin pressure, though profitable and buying back shares)</t>
        </is>
      </c>
      <c r="R26" s="11" t="inlineStr">
        <is>
          <t>verified-existing</t>
        </is>
      </c>
      <c r="S26" s="11" t="inlineStr">
        <is>
          <t>2026-09-28</t>
        </is>
      </c>
    </row>
    <row r="27">
      <c r="A27" s="11" t="n">
        <v>24</v>
      </c>
      <c r="B27" s="11" t="n">
        <v>52</v>
      </c>
      <c r="C27" s="11" t="inlineStr">
        <is>
          <t>Planet Fitness</t>
        </is>
      </c>
      <c r="D27" s="11" t="inlineStr">
        <is>
          <t>planetfitness.com</t>
        </is>
      </c>
      <c r="E27" s="11" t="inlineStr">
        <is>
          <t>USA</t>
        </is>
      </c>
      <c r="F27" s="11" t="inlineStr">
        <is>
          <t>public (NYSE: PLNT)</t>
        </is>
      </c>
      <c r="G27" s="11" t="inlineStr">
        <is>
          <t>gym chain (franchise model)</t>
        </is>
      </c>
      <c r="H27" s="11" t="inlineStr">
        <is>
          <t>10k+</t>
        </is>
      </c>
      <c r="I27" s="11" t="inlineStr">
        <is>
          <t>$1.324B total revenue FY2025, up $142.5M (+12.1%) YoY (franchise segment $381.0M, corporate clubs $546.1M, equipment $310.1M). Source: Planet Fitness Q4/FY2025 earnings release, investor.planetfitness.com (reported early 2026).</t>
        </is>
      </c>
      <c r="J27" s="11" t="inlineStr">
        <is>
          <t>Market cap ~$4.38B as of July 2026. Source: companiesmarketcap.com.</t>
        </is>
      </c>
      <c r="K27" s="11" t="inlineStr">
        <is>
          <t>n/a (public company, no recent funding round)</t>
        </is>
      </c>
      <c r="L27" s="11" t="inlineStr">
        <is>
          <t>meets parameters</t>
        </is>
      </c>
      <c r="M27" s="11" t="n">
        <v>2</v>
      </c>
      <c r="N27" s="11" t="inlineStr">
        <is>
          <t>Stretch</t>
        </is>
      </c>
      <c r="O27" s="11" t="inlineStr">
        <is>
          <t>All hard filters pass: no F1 team/series/driver/GP conflicts found; revenue ($1.324B, +12.1% YoY) and market cap (~$4.38B) both clear the $100M/$1B bars; headcount 20,000+ system-wide / 5,000+ corporate (10k+ band); public US ownership, no compliance flags; growing revenue with no distress signals indicates spending capacity. However fit score is only 2 with weak angles: Planet Fitness's budget/casual audience and non-performance brand identity don't match the affluent-buyer or performance-brand-story criteria.</t>
        </is>
      </c>
      <c r="P27" s="11" t="inlineStr">
        <is>
          <t>Open 'value fitness' category on the grid; mass-reach membership base could support a broad fan-engagement or watch-party activation tied to F1's expanding US audience (est).</t>
        </is>
      </c>
      <c r="Q27" s="11" t="inlineStr">
        <is>
          <t>brand identity ('Judgement Free Zone', budget membership) skews value/mass-market rather than affluent — a fit consideration, not a hard filter</t>
        </is>
      </c>
      <c r="R27" s="11" t="inlineStr">
        <is>
          <t>verified-existing</t>
        </is>
      </c>
      <c r="S27" s="11" t="inlineStr">
        <is>
          <t>2026-09-28</t>
        </is>
      </c>
    </row>
    <row r="28">
      <c r="A28" s="11" t="n">
        <v>25</v>
      </c>
      <c r="B28" s="11" t="n">
        <v>52</v>
      </c>
      <c r="C28" s="11" t="inlineStr">
        <is>
          <t>Sports Direct (Frasers Group)</t>
        </is>
      </c>
      <c r="D28" s="11" t="inlineStr">
        <is>
          <t>sportsdirect.com</t>
        </is>
      </c>
      <c r="E28" s="11" t="inlineStr">
        <is>
          <t>UK</t>
        </is>
      </c>
      <c r="F28" s="11" t="inlineStr">
        <is>
          <t>wholly-owned subsidiary of Frasers Group (public, LSE: FRAS); parent has no F1 ties</t>
        </is>
      </c>
      <c r="G28" s="11" t="inlineStr">
        <is>
          <t>sporting goods retail</t>
        </is>
      </c>
      <c r="H28" s="11" t="inlineStr">
        <is>
          <t>10k+</t>
        </is>
      </c>
      <c r="I28" s="11" t="inlineStr">
        <is>
          <t>No standalone figure; UK Sports Retail segment (largely Sports Direct) was ~51.7% of Frasers Group's FY2024 revenue (~£2.5B / ~$3.2B est); FY26 segment revenue down 4.7% YoY per SGB Media (2026), reported only within parent Frasers Group financials.</t>
        </is>
      </c>
      <c r="J28" s="11" t="inlineStr">
        <is>
          <t>No standalone valuation; carries parent Frasers Group's market cap (~£3.31B / ~$4.2-4.7B, 2026, per companiesmarketcap.com/stockanalysis.com).</t>
        </is>
      </c>
      <c r="K28" s="11" t="inlineStr">
        <is>
          <t>n/a (subsidiary of public company, no recent funding round)</t>
        </is>
      </c>
      <c r="L28" s="11" t="inlineStr">
        <is>
          <t>meets parameters</t>
        </is>
      </c>
      <c r="M28" s="11" t="n">
        <v>2</v>
      </c>
      <c r="N28" s="11" t="inlineStr">
        <is>
          <t>Stretch</t>
        </is>
      </c>
      <c r="O28" s="11" t="inlineStr">
        <is>
          <t>Hard filters pass via parent: no F1 conflicts for Sports Direct or parent Frasers Group; segment revenue (~£2.5B+ est) and parent valuation (~£3.3B+) both clear the $100M/$1B bars; headcount 20,000+ (10k+ band); parent is a large public group with no F1 ties (keep per subsidiary rule), no compliance flags. Fit score is only 2 with weak angles (mass-market audience, generic brand story) — same profile as parent Frasers Group, and this entry duplicates that candidate elsewhere in the book.</t>
        </is>
      </c>
      <c r="P28" s="11" t="inlineStr">
        <is>
          <t>Same open sporting-goods-retail category as parent Frasers Group; use its value/mass retail footprint for merchandise and in-store F1 promotions across UK/European stores (est).</t>
        </is>
      </c>
      <c r="Q28" s="11" t="inlineStr">
        <is>
          <t>duplicate/subsidiary of Frasers Group, also separately listed in this book as its own candidate; parent: Frasers Group (confirmed no F1 team/series/driver/GP ties)</t>
        </is>
      </c>
      <c r="R28" s="11" t="inlineStr">
        <is>
          <t>verified-existing</t>
        </is>
      </c>
      <c r="S28" s="11" t="inlineStr">
        <is>
          <t>2026-09-28</t>
        </is>
      </c>
    </row>
    <row r="29">
      <c r="A29" s="11" t="n">
        <v>26</v>
      </c>
      <c r="B29" s="11" t="n">
        <v>52</v>
      </c>
      <c r="C29" s="11" t="inlineStr">
        <is>
          <t>361 Degrees International</t>
        </is>
      </c>
      <c r="D29" s="11" t="inlineStr">
        <is>
          <t>361sport.com</t>
        </is>
      </c>
      <c r="E29" s="11" t="inlineStr">
        <is>
          <t>China</t>
        </is>
      </c>
      <c r="F29" s="11" t="inlineStr">
        <is>
          <t>Public (HKEX: 1361)</t>
        </is>
      </c>
      <c r="G29" s="11" t="inlineStr">
        <is>
          <t>athletic footwear &amp; apparel</t>
        </is>
      </c>
      <c r="H29" s="11" t="inlineStr">
        <is>
          <t>5k-10k</t>
        </is>
      </c>
      <c r="I29" s="11" t="inlineStr">
        <is>
          <t>CNY 11.15B (~$1.55B) FY2025, +10.64% YoY (stockanalysis.com, reporting FY2025 results, accessed Sep 2026)</t>
        </is>
      </c>
      <c r="J29" s="11" t="inlineStr">
        <is>
          <t>Market cap ~HK$12.45B (~$1.6B) as of Dec 2025 (stockanalysis.com)</t>
        </is>
      </c>
      <c r="K29" s="11" t="inlineStr">
        <is>
          <t>N/A - public company, HKEX-listed since 2009</t>
        </is>
      </c>
      <c r="L29" s="11" t="inlineStr">
        <is>
          <t>meets parameters</t>
        </is>
      </c>
      <c r="M29" s="11" t="n">
        <v>2</v>
      </c>
      <c r="N29" s="11" t="inlineStr">
        <is>
          <t>Stretch</t>
        </is>
      </c>
      <c r="O29" s="11" t="inlineStr">
        <is>
          <t>Hard filters pass (revenue ~$1.55B, market cap ~$1.6B, no F1 conflicts, public ownership, 8,000+ headcount) but fit score is only 2 with weak angles - limited international market presence undercuts the F1 global-audience story.</t>
        </is>
      </c>
      <c r="P29" s="11" t="inlineStr">
        <is>
          <t>Position 361° as an emerging global performance-running challenger using F1's international stage to accelerate expansion beyond its China home base (est).</t>
        </is>
      </c>
      <c r="Q29" s="11" t="inlineStr">
        <is>
          <t>primarily domestic-China revenue base, thin international footprint</t>
        </is>
      </c>
      <c r="R29" s="11" t="inlineStr">
        <is>
          <t>verified-existing</t>
        </is>
      </c>
      <c r="S29" s="11" t="inlineStr">
        <is>
          <t>2026-09-28</t>
        </is>
      </c>
    </row>
    <row r="30">
      <c r="A30" s="11" t="n">
        <v>27</v>
      </c>
      <c r="B30" s="11" t="n">
        <v>52</v>
      </c>
      <c r="C30" s="11" t="inlineStr">
        <is>
          <t>Li-Ning</t>
        </is>
      </c>
      <c r="D30" s="11" t="inlineStr">
        <is>
          <t>lining.com</t>
        </is>
      </c>
      <c r="E30" s="11" t="inlineStr">
        <is>
          <t>China</t>
        </is>
      </c>
      <c r="F30" s="11" t="inlineStr">
        <is>
          <t>Public (HKEX: 2331)</t>
        </is>
      </c>
      <c r="G30" s="11" t="inlineStr">
        <is>
          <t>athletic footwear &amp; apparel</t>
        </is>
      </c>
      <c r="H30" s="11" t="inlineStr">
        <is>
          <t>10k+</t>
        </is>
      </c>
      <c r="I30" s="11" t="inlineStr">
        <is>
          <t>RMB 29.60B (~$4.1B) FY2025, +3.22% YoY (stockanalysis.com, FY2025 results)</t>
        </is>
      </c>
      <c r="J30" s="11" t="inlineStr">
        <is>
          <t>Market cap ~HK$47.5B (~$6.1B) as of Sep 2026 (stockanalysis.com)</t>
        </is>
      </c>
      <c r="K30" s="11" t="inlineStr">
        <is>
          <t>N/A - public company, HKEX-listed since 2004</t>
        </is>
      </c>
      <c r="L30" s="11" t="inlineStr">
        <is>
          <t>meets parameters</t>
        </is>
      </c>
      <c r="M30" s="11" t="n">
        <v>2</v>
      </c>
      <c r="N30" s="11" t="inlineStr">
        <is>
          <t>Stretch</t>
        </is>
      </c>
      <c r="O30" s="11" t="inlineStr">
        <is>
          <t>Hard filters pass (revenue ~$4.1B, market cap ~$6.1B, no F1 conflicts, public ownership, 10,000+ headcount) but fit score is only 2 with weak angles - domestic-skewed audience and declining earnings temper the case.</t>
        </is>
      </c>
      <c r="P30" s="11" t="inlineStr">
        <is>
          <t>Use Li-Ning's push into global streetwear/fashion crossover (Paris Fashion Week presence) as a platform to court F1's younger, style-conscious international fanbase (est).</t>
        </is>
      </c>
      <c r="Q30" s="11" t="inlineStr">
        <is>
          <t>earnings declined -2.56% YoY despite revenue growth (margin pressure from marketing costs)</t>
        </is>
      </c>
      <c r="R30" s="11" t="inlineStr">
        <is>
          <t>verified-existing</t>
        </is>
      </c>
      <c r="S30" s="11" t="inlineStr">
        <is>
          <t>2026-09-28</t>
        </is>
      </c>
    </row>
    <row r="31">
      <c r="A31" s="11" t="n">
        <v>28</v>
      </c>
      <c r="B31" s="11" t="n">
        <v>52</v>
      </c>
      <c r="C31" s="11" t="inlineStr">
        <is>
          <t>Riddell (BRG Sports)</t>
        </is>
      </c>
      <c r="D31" s="11" t="inlineStr">
        <is>
          <t>riddell.com</t>
        </is>
      </c>
      <c r="E31" s="11" t="inlineStr">
        <is>
          <t>USA</t>
        </is>
      </c>
      <c r="F31" s="11" t="inlineStr">
        <is>
          <t>PE-backed (Fenway Partners since 2003; BC Partners $400M convertible preferred/debt investment, Apr 2024)</t>
        </is>
      </c>
      <c r="G31" s="11" t="inlineStr">
        <is>
          <t>football helmets/protective equipment</t>
        </is>
      </c>
      <c r="H31" s="11" t="inlineStr">
        <is>
          <t>201-1k</t>
        </is>
      </c>
      <c r="I31" s="11" t="inlineStr">
        <is>
          <t>No current published figure found; historical reference point &gt;$100M in 2002; input desk estimate ~$500M+ group revenue (est, unverified)</t>
        </is>
      </c>
      <c r="J31" s="11" t="inlineStr">
        <is>
          <t>Not disclosed; company reported to be exploring a potential sale (Fox Business), no valuation figure found</t>
        </is>
      </c>
      <c r="K31" s="11" t="inlineStr">
        <is>
          <t>BC Partners Credit $400M investment (convertible preferred equity + debt), announced April 3, 2024 (Bloomberg)</t>
        </is>
      </c>
      <c r="L31" s="11" t="inlineStr">
        <is>
          <t>meets parameters</t>
        </is>
      </c>
      <c r="M31" s="11" t="n">
        <v>2</v>
      </c>
      <c r="N31" s="11" t="inlineStr">
        <is>
          <t>Stretch</t>
        </is>
      </c>
      <c r="O31" s="11" t="inlineStr">
        <is>
          <t>No confirmed F1 conflict, but revenue/valuation are unpublished estimates only, ownership is long-tenured PE, and fit is a weak 2/4 given the North America-only sport and litigation overhang - real reservations stack up even though no single hard filter is confirmed failed.</t>
        </is>
      </c>
      <c r="P31" s="11" t="inlineStr">
        <is>
          <t>Lead with Riddell's helmet safety-technology R&amp;D (impact sensors, materials science) as a precision/safety-engineering story, while flagging that litigation exposure needs separate reputational vetting before outreach.</t>
        </is>
      </c>
      <c r="Q31" s="11" t="inlineStr">
        <is>
          <t>PE-owned 20+ years (Fenway Partners since 2003, plus BC Partners 2024 capital injection); concussion-litigation reputational risk (carried from input triage); no published revenue or valuation figures - estimates only</t>
        </is>
      </c>
      <c r="R31" s="11" t="inlineStr">
        <is>
          <t>verified-existing</t>
        </is>
      </c>
      <c r="S31" s="11" t="inlineStr">
        <is>
          <t>2026-09-28</t>
        </is>
      </c>
    </row>
    <row r="32">
      <c r="A32" s="11" t="n">
        <v>29</v>
      </c>
      <c r="B32" s="11" t="n">
        <v>52</v>
      </c>
      <c r="C32" s="11" t="inlineStr">
        <is>
          <t>24 Hour Fitness</t>
        </is>
      </c>
      <c r="D32" s="11" t="inlineStr">
        <is>
          <t>24hourfitness.com</t>
        </is>
      </c>
      <c r="E32" s="11" t="inlineStr">
        <is>
          <t>USA</t>
        </is>
      </c>
      <c r="F32" s="11" t="inlineStr">
        <is>
          <t>Privately held; owned by former creditors post-Chapter 11 — Sculptor Capital Investments, Monarch Alternative Capital, and Cyrus Capital Partners (since Dec 2020); no state ownership</t>
        </is>
      </c>
      <c r="G32" s="11" t="inlineStr">
        <is>
          <t>gym chain</t>
        </is>
      </c>
      <c r="H32" s="11" t="inlineStr">
        <is>
          <t>5k-10k</t>
        </is>
      </c>
      <c r="I32" s="11" t="inlineStr">
        <is>
          <t>Est. $2.7B (third-party estimate, 2026) — unconfirmed but plausible given 244 locations and its position as the #2 US gym chain by revenue after LA Fitness; likely well above the $100M hard bar</t>
        </is>
      </c>
      <c r="J32" s="11" t="inlineStr">
        <is>
          <t>No published equity valuation (privately held, creditor-owned); closed a $305M senior secured refinancing facility in May 2025 (PR Newswire), described as reflecting 'improved financial performance'</t>
        </is>
      </c>
      <c r="K32" s="11" t="inlineStr">
        <is>
          <t>$305M senior secured facility closed May 2025 (PR Newswire)</t>
        </is>
      </c>
      <c r="L32" s="11" t="inlineStr">
        <is>
          <t>meets parameters</t>
        </is>
      </c>
      <c r="M32" s="11" t="n">
        <v>2</v>
      </c>
      <c r="N32" s="11" t="inlineStr">
        <is>
          <t>Stretch</t>
        </is>
      </c>
      <c r="O32" s="11" t="inlineStr">
        <is>
          <t>Hard filters plausibly pass: revenue est. $2.7B (unconfirmed) well above the $100M bar, private/creditor-owned with no published valuation, headcount ~7,500 (5k-10k band), broad member base with no concentration, no F1 conflicts, recent $305M refinancing (May 2025) signals improving financial position post-bankruptcy rather than ongoing distress. Reservation: fit score is only 2, with a weak angle given the US-only footprint and non-affluent core demographic -&gt; Stretch.</t>
        </is>
      </c>
      <c r="P32" s="11" t="inlineStr">
        <is>
          <t>Post-bankruptcy turnaround/resilience narrative pairs with F1's own underdog storylines, though limited to single-market (US GP) activation given the domestic-only footprint (est).</t>
        </is>
      </c>
      <c r="Q32" s="11" t="inlineStr">
        <is>
          <t>revenue figure is an unconfirmed third-party estimate; creditor/PE-owned 4+ years since Dec 2020 Chapter 11 emergence (Sculptor Capital, Monarch Alternative Capital, Cyrus Capital Partners); domestic-only (US) footprint limits multi-market F1 fit; 2020 Chapter 11 bankruptcy history</t>
        </is>
      </c>
      <c r="R32" s="11" t="inlineStr">
        <is>
          <t>verified-existing</t>
        </is>
      </c>
      <c r="S32" s="11" t="inlineStr">
        <is>
          <t>2026-09-28</t>
        </is>
      </c>
    </row>
    <row r="33">
      <c r="A33" s="11" t="n">
        <v>30</v>
      </c>
      <c r="B33" s="11" t="n">
        <v>52</v>
      </c>
      <c r="C33" s="11" t="inlineStr">
        <is>
          <t>Peak Sport Products</t>
        </is>
      </c>
      <c r="D33" s="11" t="inlineStr">
        <is>
          <t>peaksport.com</t>
        </is>
      </c>
      <c r="E33" s="11" t="inlineStr">
        <is>
          <t>China</t>
        </is>
      </c>
      <c r="F33" s="11" t="inlineStr">
        <is>
          <t>private/family (China)</t>
        </is>
      </c>
      <c r="G33" s="11" t="inlineStr">
        <is>
          <t>athletic footwear &amp; apparel</t>
        </is>
      </c>
      <c r="H33" s="11" t="inlineStr">
        <is>
          <t>5k-10k</t>
        </is>
      </c>
      <c r="I33" s="11" t="inlineStr">
        <is>
          <t>RMB 6.26 billion (~$870M USD, est) in FY2024, up from RMB 5.86 billion in FY2023 (Sina Finance, reporting Oct 2025) — clears the $100M hard bar</t>
        </is>
      </c>
      <c r="J33" s="11" t="inlineStr">
        <is>
          <t>No published current valuation; raised ~$232M (RMB 1.5bn) in a September 2021 strategic-investment round ahead of a planned IPO (Nikkei Asia/PitchBook); private/family-owned, delisted from HKEX in 2016</t>
        </is>
      </c>
      <c r="K33" s="11" t="inlineStr">
        <is>
          <t>~$232M strategic investment, September 2021 (Nikkei Asia)</t>
        </is>
      </c>
      <c r="L33" s="11" t="inlineStr">
        <is>
          <t>meets parameters</t>
        </is>
      </c>
      <c r="M33" s="11" t="n">
        <v>2</v>
      </c>
      <c r="N33" s="11" t="inlineStr">
        <is>
          <t>Stretch</t>
        </is>
      </c>
      <c r="O33" s="11" t="inlineStr">
        <is>
          <t>Passes hard filters (FY2024 revenue ~$870M est. clears the $100M bar; family-owned so the no-published-valuation gap is allowed to pass; no F1 sponsorship conflicts found; ownership is private/family, not state); capped at Stretch because fit_score is only 2, with a still largely China-domestic footprint and a mass-market (not clearly affluent) buyer base.</t>
        </is>
      </c>
      <c r="P33" s="11" t="inlineStr">
        <is>
          <t>Global-ambition growth story: China's #2 domestic sportswear brand pursuing an IPO and international expansion could use F1 as a platform for a global relaunch (est).</t>
        </is>
      </c>
      <c r="Q33" s="11" t="inlineStr">
        <is>
          <t>family-owned, no published valuation; financials sourced from Chinese business press/registry reporting rather than audited public disclosure</t>
        </is>
      </c>
      <c r="R33" s="11" t="inlineStr">
        <is>
          <t>verified-existing</t>
        </is>
      </c>
      <c r="S33" s="11" t="inlineStr">
        <is>
          <t>2026-09-28</t>
        </is>
      </c>
    </row>
  </sheetData>
  <autoFilter ref="A3:S33"/>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S41"/>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Maritime, Shipping &amp; Ports — existing New-Sectors book, now verified — 38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"09 Maritime, Shipping &amp; Ports".</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0" t="n">
        <v>1</v>
      </c>
      <c r="B4" s="10" t="n">
        <v>92</v>
      </c>
      <c r="C4" s="10" t="inlineStr">
        <is>
          <t>Hafnia Limited</t>
        </is>
      </c>
      <c r="D4" s="10" t="inlineStr">
        <is>
          <t>hafniabw.com</t>
        </is>
      </c>
      <c r="E4" s="10" t="inlineStr">
        <is>
          <t>Denmark/Singapore (dual HQ)</t>
        </is>
      </c>
      <c r="F4" s="10" t="inlineStr">
        <is>
          <t>Public, dual-listed (Oslo Børs: HAFNI / Singapore Exchange); no state or family control identified</t>
        </is>
      </c>
      <c r="G4" s="10" t="inlineStr">
        <is>
          <t>product tankers (crude &amp; refined petroleum transport)</t>
        </is>
      </c>
      <c r="H4" s="10" t="inlineStr">
        <is>
          <t>201-1k</t>
        </is>
      </c>
      <c r="I4" s="10" t="inlineStr">
        <is>
          <t>SGD 2.92B (~US$2.16B) FY2025, down from SGD 3.89B FY2024 (companiesmarketcap.com, reported 2026) (est currency conversion)</t>
        </is>
      </c>
      <c r="J4" s="10" t="inlineStr">
        <is>
          <t>Market cap ~US$4.39B as of Sept 24, 2026 (stockanalysis.com); also cited ~US$3.55B as of June 19, 2026</t>
        </is>
      </c>
      <c r="K4" s="10" t="inlineStr">
        <is>
          <t>n/a - public company, no recent funding round</t>
        </is>
      </c>
      <c r="L4" s="10" t="inlineStr">
        <is>
          <t>meets parameters</t>
        </is>
      </c>
      <c r="M4" s="10" t="n">
        <v>4</v>
      </c>
      <c r="N4" s="10" t="inlineStr">
        <is>
          <t>Yes</t>
        </is>
      </c>
      <c r="O4" s="10" t="inlineStr">
        <is>
          <t>All hard filters pass: revenue ~US$2.16B FY2025 (&gt;$100M bar), market cap ~US$3.5-4.4B (&gt;$1B bar), headcount 700+ (201-1k band, &gt;51), no F1 team/series/driver/GP ties found, public ownership with no state/gambling/alcohol issues, fit score 4/4.</t>
        </is>
      </c>
      <c r="P4" s="10" t="inlineStr">
        <is>
          <t>Global product-tanker fleet as the 'engine room' of world energy logistics - pitch a performance/precision-under-pressure narrative (real-time fleet optimization, fuel efficiency) into an open category with no current F1 shipping/tanker sponsor.</t>
        </is>
      </c>
      <c r="Q4" s="10" t="inlineStr">
        <is>
          <t>revenue down ~25% YoY (SGD 3.89B to 2.92B) amid tanker-rate normalization from 2023-24 highs</t>
        </is>
      </c>
      <c r="R4" s="10" t="inlineStr">
        <is>
          <t>verified-existing</t>
        </is>
      </c>
      <c r="S4" s="10" t="inlineStr">
        <is>
          <t>2026-09-28</t>
        </is>
      </c>
    </row>
    <row r="5">
      <c r="A5" s="10" t="n">
        <v>2</v>
      </c>
      <c r="B5" s="10" t="n">
        <v>92</v>
      </c>
      <c r="C5" s="10" t="inlineStr">
        <is>
          <t>Pacific Basin Shipping</t>
        </is>
      </c>
      <c r="D5" s="10" t="inlineStr">
        <is>
          <t>pacificbasin.com</t>
        </is>
      </c>
      <c r="E5" s="10" t="inlineStr">
        <is>
          <t>Hong Kong</t>
        </is>
      </c>
      <c r="F5" s="10" t="inlineStr">
        <is>
          <t>Public (HKEX: 2343), no state/family control identified</t>
        </is>
      </c>
      <c r="G5" s="10" t="inlineStr">
        <is>
          <t>dry bulk shipping (Handysize/Supramax)</t>
        </is>
      </c>
      <c r="H5" s="10" t="inlineStr">
        <is>
          <t>1k-5k (est, company-cited ~3,000+ employees, not independently re-verified)</t>
        </is>
      </c>
      <c r="I5" s="10" t="inlineStr">
        <is>
          <t>US$2.08B FY2025, down 19.4% from US$2.58B FY2024; EBITDA US$263.1M, net profit US$58.2M - companiesmarketcap.com / company results, reported 2026</t>
        </is>
      </c>
      <c r="J5" s="10" t="inlineStr">
        <is>
          <t>Market cap ~US$2.80B (HK$21.1B) as of Sept 2026 - companiesmarketcap.com</t>
        </is>
      </c>
      <c r="K5" s="10" t="inlineStr">
        <is>
          <t>n/a - public company; noted 46% shareholder return in FY2025 (buybacks/dividends)</t>
        </is>
      </c>
      <c r="L5" s="10" t="inlineStr">
        <is>
          <t>meets parameters</t>
        </is>
      </c>
      <c r="M5" s="10" t="n">
        <v>4</v>
      </c>
      <c r="N5" s="10" t="inlineStr">
        <is>
          <t>Yes</t>
        </is>
      </c>
      <c r="O5" s="10" t="inlineStr">
        <is>
          <t>All hard filters pass: revenue $2.08B FY2025 (well over $100M bar), market cap ~$2.80B (&gt;$1B bar), headcount in the thousands (&gt;51), profitable with strong shareholder returns (not in distress), no F1 ties found, public ownership with no state/gambling/alcohol issues, fit score 4/4.</t>
        </is>
      </c>
      <c r="P5" s="10" t="inlineStr">
        <is>
          <t>World's largest owner-operator of Handysize/Supramax dry bulkers - pitch an Asia-Pacific growth/market-timing angle (APAC F1 calendar - Singapore, China, Japan GPs) into the open dry-bulk category.</t>
        </is>
      </c>
      <c r="Q5" s="10" t="inlineStr">
        <is>
          <t>revenue down ~19% YoY (2025 vs 2024) amid dry-bulk rate normalization, though still solidly profitable ($58.2M net profit, $263M EBITDA)</t>
        </is>
      </c>
      <c r="R5" s="10" t="inlineStr">
        <is>
          <t>verified-existing</t>
        </is>
      </c>
      <c r="S5" s="10" t="inlineStr">
        <is>
          <t>2026-09-28</t>
        </is>
      </c>
    </row>
    <row r="6">
      <c r="A6" s="10" t="n">
        <v>3</v>
      </c>
      <c r="B6" s="10" t="n">
        <v>92</v>
      </c>
      <c r="C6" s="10" t="inlineStr">
        <is>
          <t>Star Bulk Carriers</t>
        </is>
      </c>
      <c r="D6" s="10" t="inlineStr">
        <is>
          <t>starbulk.com</t>
        </is>
      </c>
      <c r="E6" s="10" t="inlineStr">
        <is>
          <t>Greece (Marousi); Marshall Islands incorporated</t>
        </is>
      </c>
      <c r="F6" s="10" t="inlineStr">
        <is>
          <t>Public (Nasdaq: SBLK), no state/family control</t>
        </is>
      </c>
      <c r="G6" s="10" t="inlineStr">
        <is>
          <t>dry bulk shipping (Newcastlemax to Handysize)</t>
        </is>
      </c>
      <c r="H6" s="10" t="inlineStr">
        <is>
          <t>1k-5k (~298 onshore staff + 4,000+ seafarer pool, per company data / Revelio Labs, 2026)</t>
        </is>
      </c>
      <c r="I6" s="10" t="inlineStr">
        <is>
          <t>TTM revenue US$1.04B (as of ~April 2026); FY2024 revenue US$1.27B (+33.3% YoY, post Eagle Bulk merger completed April 2024) - macrotrends / company data</t>
        </is>
      </c>
      <c r="J6" s="10" t="inlineStr">
        <is>
          <t>Market cap ~US$2.75B as of April 2026 - macrotrends</t>
        </is>
      </c>
      <c r="K6" s="10" t="inlineStr">
        <is>
          <t>n/a - public company; grew via all-stock merger with Eagle Bulk Shipping (completed April 9, 2024), expanding fleet to 156 vessels</t>
        </is>
      </c>
      <c r="L6" s="10" t="inlineStr">
        <is>
          <t>meets parameters</t>
        </is>
      </c>
      <c r="M6" s="10" t="n">
        <v>4</v>
      </c>
      <c r="N6" s="10" t="inlineStr">
        <is>
          <t>Yes</t>
        </is>
      </c>
      <c r="O6" s="10" t="inlineStr">
        <is>
          <t>All hard filters pass: revenue $1.0B+ TTM (&gt;$100M bar), market cap ~$2.75B (&gt;$1B bar), headcount in the thousands (&gt;51), no F1 ties found, public ownership with no state/gambling/alcohol issues, fit score 4/4. Post-merger scale (156-vessel fleet) supports capacity to spend.</t>
        </is>
      </c>
      <c r="P6" s="10" t="inlineStr">
        <is>
          <t>Newly-enlarged global dry-bulk leader post Eagle Bulk merger - pitch a 'new era of scale' consolidation story into the open dry-bulk category, timed to the recently completed merger narrative.</t>
        </is>
      </c>
      <c r="Q6" s="10" t="inlineStr">
        <is>
          <t>TTM revenue down ~18% from the FY2024 peak amid dry-bulk rate normalization</t>
        </is>
      </c>
      <c r="R6" s="10" t="inlineStr">
        <is>
          <t>verified-existing</t>
        </is>
      </c>
      <c r="S6" s="10" t="inlineStr">
        <is>
          <t>2026-09-28</t>
        </is>
      </c>
    </row>
    <row r="7">
      <c r="A7" s="10" t="n">
        <v>4</v>
      </c>
      <c r="B7" s="10" t="n">
        <v>92</v>
      </c>
      <c r="C7" s="10" t="inlineStr">
        <is>
          <t>Torm plc</t>
        </is>
      </c>
      <c r="D7" s="10" t="inlineStr">
        <is>
          <t>torm.com</t>
        </is>
      </c>
      <c r="E7" s="10" t="inlineStr">
        <is>
          <t>United Kingdom (London), operationally Denmark (Copenhagen)</t>
        </is>
      </c>
      <c r="F7" s="10" t="inlineStr">
        <is>
          <t>Public (Nasdaq: TRMD / Nasdaq Copenhagen: TRMD.A), no state/family control</t>
        </is>
      </c>
      <c r="G7" s="10" t="inlineStr">
        <is>
          <t>product tankers (refined petroleum transport)</t>
        </is>
      </c>
      <c r="H7" s="10" t="inlineStr">
        <is>
          <t>1k-5k (3,000+ incl. seafarers, per input, not independently re-verified)</t>
        </is>
      </c>
      <c r="I7" s="10" t="inlineStr">
        <is>
          <t>US$1.34B FY2025, down 14.1% from US$1.56B FY2024 - stockanalysis.com</t>
        </is>
      </c>
      <c r="J7" s="10" t="inlineStr">
        <is>
          <t>Market cap ~US$2.2-3.5B across recent 2025-2026 readings (varies by source/date; ~DKK 23.79B as of 2026) - stockanalysis.com / marketscreener.com</t>
        </is>
      </c>
      <c r="K7" s="10" t="inlineStr">
        <is>
          <t>n/a - public company</t>
        </is>
      </c>
      <c r="L7" s="10" t="inlineStr">
        <is>
          <t>meets parameters</t>
        </is>
      </c>
      <c r="M7" s="10" t="n">
        <v>4</v>
      </c>
      <c r="N7" s="10" t="inlineStr">
        <is>
          <t>Yes</t>
        </is>
      </c>
      <c r="O7" s="10" t="inlineStr">
        <is>
          <t>All hard filters pass: revenue $1.34B FY2025 (&gt;$100M bar), market cap well over $1B, headcount in the thousands (&gt;51), no F1 ties found, public ownership with no state/gambling/alcohol issues, fit score 4/4.</t>
        </is>
      </c>
      <c r="P7" s="10" t="inlineStr">
        <is>
          <t>Major refined-products tanker fleet linking global energy markets - pitch a precision-logistics/energy-transition angle into the open product-tanker category.</t>
        </is>
      </c>
      <c r="Q7" s="10" t="inlineStr">
        <is>
          <t>revenue down ~14% YoY (2025 vs 2024) amid product-tanker rate normalization from 2022-24 highs</t>
        </is>
      </c>
      <c r="R7" s="10" t="inlineStr">
        <is>
          <t>verified-existing</t>
        </is>
      </c>
      <c r="S7" s="10" t="inlineStr">
        <is>
          <t>2026-09-28</t>
        </is>
      </c>
    </row>
    <row r="8">
      <c r="A8" s="10" t="n">
        <v>5</v>
      </c>
      <c r="B8" s="10" t="n">
        <v>92</v>
      </c>
      <c r="C8" s="10" t="inlineStr">
        <is>
          <t>Kawasaki Kisen Kaisha (K Line)</t>
        </is>
      </c>
      <c r="D8" s="10" t="inlineStr">
        <is>
          <t>kline.co.jp</t>
        </is>
      </c>
      <c r="E8" s="10" t="inlineStr">
        <is>
          <t>Japan</t>
        </is>
      </c>
      <c r="F8" s="10" t="inlineStr">
        <is>
          <t>Public (Tokyo Stock Exchange, 9107.T); no state/sovereign stake found</t>
        </is>
      </c>
      <c r="G8" s="10" t="inlineStr">
        <is>
          <t>diversified shipping (dry bulk, LNG/energy, car carrier, product logistics)</t>
        </is>
      </c>
      <c r="H8" s="10" t="inlineStr">
        <is>
          <t>5k-10k</t>
        </is>
      </c>
      <c r="I8" s="10" t="inlineStr">
        <is>
          <t>TTM revenue $6.75B as of FY end Mar 31, 2026 (source: Yahoo Finance/PitchBook, retrieved Sep 2026) — clears &gt;$100M bar</t>
        </is>
      </c>
      <c r="J8" s="10" t="inlineStr">
        <is>
          <t>Market cap $9.9B as of Jun 18, 2026 (source: market data aggregator via WebSearch) — clears &gt;$1B bar</t>
        </is>
      </c>
      <c r="K8" s="10" t="inlineStr">
        <is>
          <t>N/A (public company, no funding round)</t>
        </is>
      </c>
      <c r="L8" s="10" t="inlineStr">
        <is>
          <t>exceeds - mega-brand</t>
        </is>
      </c>
      <c r="M8" s="10" t="n">
        <v>4</v>
      </c>
      <c r="N8" s="10" t="inlineStr">
        <is>
          <t>Yes</t>
        </is>
      </c>
      <c r="O8" s="10" t="inlineStr">
        <is>
          <t>No F1/team/series tie found (direct or via parent); public with market cap ~10x and revenue ~68x the hard bars; no majority-state or compliance ownership issue; headcount and diversified customer base comfortably clear the remaining filters.</t>
        </is>
      </c>
      <c r="P8" s="10" t="inlineStr">
        <is>
          <t>Global multi-cargo carrier (bulk, LNG, car carriers) pitches an 'invisible infrastructure of global trade' story and its investment in next-gen fuel/green-shipping tech as a performance-and-precision angle for an open logistics category.</t>
        </is>
      </c>
      <c r="Q8" s="10" t="n"/>
      <c r="R8" s="10" t="inlineStr">
        <is>
          <t>verified-existing</t>
        </is>
      </c>
      <c r="S8" s="10" t="inlineStr">
        <is>
          <t>2026-09-28</t>
        </is>
      </c>
    </row>
    <row r="9">
      <c r="A9" s="10" t="n">
        <v>6</v>
      </c>
      <c r="B9" s="10" t="n">
        <v>92</v>
      </c>
      <c r="C9" s="10" t="inlineStr">
        <is>
          <t>Mitsui O.S.K. Lines (MOL)</t>
        </is>
      </c>
      <c r="D9" s="10" t="inlineStr">
        <is>
          <t>mol.co.jp</t>
        </is>
      </c>
      <c r="E9" s="10" t="inlineStr">
        <is>
          <t>Japan</t>
        </is>
      </c>
      <c r="F9" s="10" t="inlineStr">
        <is>
          <t>Public (Tokyo Stock Exchange, 9104.T); no state/sovereign stake found</t>
        </is>
      </c>
      <c r="G9" s="10" t="inlineStr">
        <is>
          <t>diversified shipping (dry bulk, tankers, LNG, car carrier, container)</t>
        </is>
      </c>
      <c r="H9" s="10" t="inlineStr">
        <is>
          <t>5k-10k</t>
        </is>
      </c>
      <c r="I9" s="10" t="inlineStr">
        <is>
          <t>TTM revenue ~$11-12B as of Jun 2026 (source: companiesmarketcap.com / Yahoo Finance, retrieved Sep 2026) — clears &gt;$100M bar</t>
        </is>
      </c>
      <c r="J9" s="10" t="inlineStr">
        <is>
          <t>Market cap ~$12.3B as of mid-2026 (source: market data aggregator via WebSearch) — clears &gt;$1B bar</t>
        </is>
      </c>
      <c r="K9" s="10" t="inlineStr">
        <is>
          <t>N/A (public company, no funding round)</t>
        </is>
      </c>
      <c r="L9" s="10" t="inlineStr">
        <is>
          <t>exceeds - mega-brand</t>
        </is>
      </c>
      <c r="M9" s="10" t="n">
        <v>4</v>
      </c>
      <c r="N9" s="10" t="inlineStr">
        <is>
          <t>Yes</t>
        </is>
      </c>
      <c r="O9" s="10" t="inlineStr">
        <is>
          <t>No F1 tie found for MOL or any parent; public, revenue and market cap each many multiples of the hard bars; no state/compliance ownership issue; large diversified customer base.</t>
        </is>
      </c>
      <c r="P9" s="10" t="inlineStr">
        <is>
          <t>World's largest tanker owner/operator investing in wind-assisted rotor sails and ammonia-fueled vessels — a sustainable-performance-technology story that mirrors F1's own hybrid/efficiency narrative.</t>
        </is>
      </c>
      <c r="Q9" s="10" t="n"/>
      <c r="R9" s="10" t="inlineStr">
        <is>
          <t>verified-existing</t>
        </is>
      </c>
      <c r="S9" s="10" t="inlineStr">
        <is>
          <t>2026-09-28</t>
        </is>
      </c>
    </row>
    <row r="10">
      <c r="A10" s="10" t="n">
        <v>7</v>
      </c>
      <c r="B10" s="10" t="n">
        <v>92</v>
      </c>
      <c r="C10" s="10" t="inlineStr">
        <is>
          <t>Wallenius Wilhelmsen</t>
        </is>
      </c>
      <c r="D10" s="10" t="inlineStr">
        <is>
          <t>walleniuswilhelmsen.com</t>
        </is>
      </c>
      <c r="E10" s="10" t="inlineStr">
        <is>
          <t>Norway/Sweden</t>
        </is>
      </c>
      <c r="F10" s="10" t="inlineStr">
        <is>
          <t>Public (Oslo Bors, WAWI.OL), Wallenius/Wilhelmsen family-controlled but publicly traded; no state stake found</t>
        </is>
      </c>
      <c r="G10" s="10" t="inlineStr">
        <is>
          <t>RoRo &amp; car carrier shipping (automotive/high-and-heavy logistics)</t>
        </is>
      </c>
      <c r="H10" s="10" t="inlineStr">
        <is>
          <t>5k-10k</t>
        </is>
      </c>
      <c r="I10" s="10" t="inlineStr">
        <is>
          <t>TTM revenue $5.15B as of Jun 30, 2026 (source: stockanalysis.com/Alpha Spread, retrieved Sep 2026) — clears &gt;$100M bar</t>
        </is>
      </c>
      <c r="J10" s="10" t="inlineStr">
        <is>
          <t>Market cap $8.11B as of Sep 18, 2026 (source: companiesmarketcap.com, retrieved Sep 2026) — clears &gt;$1B bar</t>
        </is>
      </c>
      <c r="K10" s="10" t="inlineStr">
        <is>
          <t>N/A (public company, no funding round)</t>
        </is>
      </c>
      <c r="L10" s="10" t="inlineStr">
        <is>
          <t>exceeds - mega-brand</t>
        </is>
      </c>
      <c r="M10" s="10" t="n">
        <v>4</v>
      </c>
      <c r="N10" s="10" t="inlineStr">
        <is>
          <t>Yes</t>
        </is>
      </c>
      <c r="O10" s="10" t="inlineStr">
        <is>
          <t>No F1 tie found; publicly traded with revenue ~51x and market cap ~8x the hard bars; family control does not amount to majority-state or compliance issue; 2026 guidance shows continued strong demand, not distress.</t>
        </is>
      </c>
      <c r="P10" s="10" t="inlineStr">
        <is>
          <t>World's leading RoRo/car-carrier operator — 'we move the cars, now back the cars that move fastest' — automotive-adjacent sponsorship story in an open logistics category.</t>
        </is>
      </c>
      <c r="Q10" s="10" t="n"/>
      <c r="R10" s="10" t="inlineStr">
        <is>
          <t>verified-existing</t>
        </is>
      </c>
      <c r="S10" s="10" t="inlineStr">
        <is>
          <t>2026-09-28</t>
        </is>
      </c>
    </row>
    <row r="11">
      <c r="A11" s="10" t="n">
        <v>8</v>
      </c>
      <c r="B11" s="10" t="n">
        <v>92</v>
      </c>
      <c r="C11" s="10" t="inlineStr">
        <is>
          <t>Evergreen Marine</t>
        </is>
      </c>
      <c r="D11" s="10" t="inlineStr">
        <is>
          <t>evergreen-marine.com</t>
        </is>
      </c>
      <c r="E11" s="10" t="inlineStr">
        <is>
          <t>Taiwan</t>
        </is>
      </c>
      <c r="F11" s="10" t="inlineStr">
        <is>
          <t>Public (Taiwan Stock Exchange, 2603.TW), Chang family-controlled but publicly traded; no state stake found</t>
        </is>
      </c>
      <c r="G11" s="10" t="inlineStr">
        <is>
          <t>container shipping</t>
        </is>
      </c>
      <c r="H11" s="10" t="inlineStr">
        <is>
          <t>10k+</t>
        </is>
      </c>
      <c r="I11" s="10" t="inlineStr">
        <is>
          <t>TTM revenue ~$12B/$12.19B as of Jun-Aug 2026 (source: companiesmarketcap.com/PitchBook, retrieved Sep 2026) — clears &gt;$100M bar</t>
        </is>
      </c>
      <c r="J11" s="10" t="inlineStr">
        <is>
          <t>Market cap ~$16.5B as of Sep 24, 2026 (source: market data aggregator via WebSearch) — clears &gt;$1B bar</t>
        </is>
      </c>
      <c r="K11" s="10" t="inlineStr">
        <is>
          <t>N/A (public company, no funding round)</t>
        </is>
      </c>
      <c r="L11" s="10" t="inlineStr">
        <is>
          <t>exceeds - mega-brand</t>
        </is>
      </c>
      <c r="M11" s="10" t="n">
        <v>4</v>
      </c>
      <c r="N11" s="10" t="inlineStr">
        <is>
          <t>Yes</t>
        </is>
      </c>
      <c r="O11" s="10" t="inlineStr">
        <is>
          <t>No F1 tie found; public with revenue ~120x and market cap ~16x the hard bars even in a cyclical business; no state or compliance ownership issue.</t>
        </is>
      </c>
      <c r="P11" s="10" t="inlineStr">
        <is>
          <t>Major container line with a strong Taiwan tech-manufacturing customer base — 'global trade, precision scheduling' angle, first mover for a container-shipping sponsor on the grid.</t>
        </is>
      </c>
      <c r="Q11" s="10" t="inlineStr">
        <is>
          <t>cyclical revenue/valuation (container-shipping freight rates are highly cyclical)</t>
        </is>
      </c>
      <c r="R11" s="10" t="inlineStr">
        <is>
          <t>verified-existing</t>
        </is>
      </c>
      <c r="S11" s="10" t="inlineStr">
        <is>
          <t>2026-09-28</t>
        </is>
      </c>
    </row>
    <row r="12">
      <c r="A12" s="10" t="n">
        <v>9</v>
      </c>
      <c r="B12" s="10" t="n">
        <v>92</v>
      </c>
      <c r="C12" s="10" t="inlineStr">
        <is>
          <t>Grimaldi Group</t>
        </is>
      </c>
      <c r="D12" s="10" t="inlineStr">
        <is>
          <t>grimaldi.napoli.it</t>
        </is>
      </c>
      <c r="E12" s="10" t="inlineStr">
        <is>
          <t>Italy</t>
        </is>
      </c>
      <c r="F12" s="10" t="inlineStr">
        <is>
          <t>Family-owned (Grimaldi family), private; no published valuation</t>
        </is>
      </c>
      <c r="G12" s="10" t="inlineStr">
        <is>
          <t>RoRo, ferries &amp; car carriers</t>
        </is>
      </c>
      <c r="H12" s="10" t="inlineStr">
        <is>
          <t>10k+</t>
        </is>
      </c>
      <c r="I12" s="10" t="inlineStr">
        <is>
          <t>Annual revenue ~$5.6B as of 2026 (source: CB Insights/PitchBook via WebSearch, retrieved Sep 2026) — clears &gt;$100M bar</t>
        </is>
      </c>
      <c r="J12" s="10" t="inlineStr">
        <is>
          <t>No published valuation (private, family-owned) — passes on revenue alone per protocol</t>
        </is>
      </c>
      <c r="K12" s="10" t="inlineStr">
        <is>
          <t>N/A (family-owned, private; company is self-funding a &gt;$1.3B newbuild investment program announced Jan 2026 per El Estrecho Digital)</t>
        </is>
      </c>
      <c r="L12" s="10" t="inlineStr">
        <is>
          <t>exceeds - mega-brand</t>
        </is>
      </c>
      <c r="M12" s="10" t="n">
        <v>4</v>
      </c>
      <c r="N12" s="10" t="inlineStr">
        <is>
          <t>Yes</t>
        </is>
      </c>
      <c r="O12" s="10" t="inlineStr">
        <is>
          <t>No F1 tie found; family-owned with no published valuation passes on revenue alone (revenue ~56x the $100M bar); actively investing &gt;$1.3B in newbuilds, indicating capacity to spend, not distress.</t>
        </is>
      </c>
      <c r="P12" s="10" t="inlineStr">
        <is>
          <t>Italian maritime giant with an Italian-GP/Monza home-market tie-in — 'moving Italy's (and Europe's) cars and cargo' story backed by a &gt;$1.3B fleet-renewal investment wave.</t>
        </is>
      </c>
      <c r="Q12" s="10" t="inlineStr">
        <is>
          <t>family-owned, no published valuation</t>
        </is>
      </c>
      <c r="R12" s="10" t="inlineStr">
        <is>
          <t>verified-existing</t>
        </is>
      </c>
      <c r="S12" s="10" t="inlineStr">
        <is>
          <t>2026-09-28</t>
        </is>
      </c>
    </row>
    <row r="13">
      <c r="A13" s="10" t="n">
        <v>10</v>
      </c>
      <c r="B13" s="10" t="n">
        <v>92</v>
      </c>
      <c r="C13" s="10" t="inlineStr">
        <is>
          <t>NYK Line (Nippon Yusen Kaisha)</t>
        </is>
      </c>
      <c r="D13" s="10" t="inlineStr">
        <is>
          <t>nyk.com</t>
        </is>
      </c>
      <c r="E13" s="10" t="inlineStr">
        <is>
          <t>Japan</t>
        </is>
      </c>
      <c r="F13" s="10" t="inlineStr">
        <is>
          <t>Public (Tokyo Stock Exchange, 9101.T); no state/sovereign stake found</t>
        </is>
      </c>
      <c r="G13" s="10" t="inlineStr">
        <is>
          <t>diversified shipping (container, car carrier, LNG, bulk, air cargo)</t>
        </is>
      </c>
      <c r="H13" s="10" t="inlineStr">
        <is>
          <t>10k+</t>
        </is>
      </c>
      <c r="I13" s="10" t="inlineStr">
        <is>
          <t>TTM revenue ~$16.3B as of Sep 2026 (source: companiesmarketcap.com/MacroTrends, retrieved Sep 2026) — clears &gt;$100M bar</t>
        </is>
      </c>
      <c r="J13" s="10" t="inlineStr">
        <is>
          <t>Market cap ~$12.7-13.5B as of mid-2026 (source: market data aggregator via WebSearch) — clears &gt;$1B bar</t>
        </is>
      </c>
      <c r="K13" s="10" t="inlineStr">
        <is>
          <t>N/A (public company, no funding round)</t>
        </is>
      </c>
      <c r="L13" s="10" t="inlineStr">
        <is>
          <t>exceeds - mega-brand</t>
        </is>
      </c>
      <c r="M13" s="10" t="n">
        <v>4</v>
      </c>
      <c r="N13" s="10" t="inlineStr">
        <is>
          <t>Yes</t>
        </is>
      </c>
      <c r="O13" s="10" t="inlineStr">
        <is>
          <t>No F1 tie found; public, revenue ~163x and market cap ~13x the hard bars; full-year forecast revised upward (2026), indicating strength not distress; no state/compliance issue.</t>
        </is>
      </c>
      <c r="P13" s="10" t="inlineStr">
        <is>
          <t>One of the world's largest diversified shipping groups pushing autonomous-vessel and zero-emission tech — an innovation-and-scale story for an open logistics category.</t>
        </is>
      </c>
      <c r="Q13" s="10" t="n"/>
      <c r="R13" s="10" t="inlineStr">
        <is>
          <t>verified-existing</t>
        </is>
      </c>
      <c r="S13" s="10" t="inlineStr">
        <is>
          <t>2026-09-28</t>
        </is>
      </c>
    </row>
    <row r="14">
      <c r="A14" s="10" t="n">
        <v>11</v>
      </c>
      <c r="B14" s="10" t="n">
        <v>92</v>
      </c>
      <c r="C14" s="10" t="inlineStr">
        <is>
          <t>Mercury Marine (Brunswick Corporation)</t>
        </is>
      </c>
      <c r="D14" s="10" t="inlineStr">
        <is>
          <t>mercurymarine.com</t>
        </is>
      </c>
      <c r="E14" s="10" t="inlineStr">
        <is>
          <t>USA</t>
        </is>
      </c>
      <c r="F14" s="10" t="inlineStr">
        <is>
          <t>Propulsion division of publicly traded Brunswick Corporation (NYSE: BC); not state-owned</t>
        </is>
      </c>
      <c r="G14" s="10" t="inlineStr">
        <is>
          <t>Recreational marine engines and propulsion systems (Mercury, Mercury Racing, Mercury MerCruiser brands)</t>
        </is>
      </c>
      <c r="H14" s="10" t="inlineStr">
        <is>
          <t>5k-10k (est) - Mercury Marine ~8,500+ per input estimate; parent Brunswick ~14,000 employees group-wide</t>
        </is>
      </c>
      <c r="I14" s="10" t="inlineStr">
        <is>
          <t>Propulsion segment (Mercury Marine) FY2025 net sales $2.177B; parent Brunswick FY2025 total net sales $5.36B, up 2.4% YoY (marineindustrynews.co.uk / brunswick.com FY2025 earnings release, Feb 2026)</t>
        </is>
      </c>
      <c r="J14" s="10" t="inlineStr">
        <is>
          <t>Parent Brunswick market cap ~$4.82B as of Sept 2026 (stockanalysis.com, 2026)</t>
        </is>
      </c>
      <c r="K14" s="10" t="inlineStr">
        <is>
          <t>N/A - established NYSE-listed public company (Brunswick Corp, acquired Mercury Marine in 1961); no funding round</t>
        </is>
      </c>
      <c r="L14" s="10" t="inlineStr">
        <is>
          <t>meets parameters</t>
        </is>
      </c>
      <c r="M14" s="10" t="n">
        <v>4</v>
      </c>
      <c r="N14" s="10" t="inlineStr">
        <is>
          <t>Yes</t>
        </is>
      </c>
      <c r="O14" s="10" t="inlineStr">
        <is>
          <t>All hard filters clear with healthy margin: Propulsion segment FY2025 revenue $2.18B (&gt;&gt;$100M bar), parent market cap ~$4.82B (&gt;&gt;$1B bar), full-year results described as 'strong' with 6.9% adjusted operating margin (not in distress), no FIA Formula 1 sponsorship conflict (its only 'Formula One' tie is to an unrelated powerboat series), publicly traded and not state-owned, broad dealer/consumer customer base; fit score 4/4.</t>
        </is>
      </c>
      <c r="P14" s="10" t="inlineStr">
        <is>
          <t>Mercury Racing's precision-engineering and high-performance marine engine story is a direct brand match for F1's performance narrative; open category since no marine propulsion/engine brand currently sponsors an F1 team or the series.</t>
        </is>
      </c>
      <c r="Q14" s="10" t="inlineStr">
        <is>
          <t>Mercury Racing (a Brunswick/Mercury Marine division) sponsored the unrelated 'Formula One Powerboat Championship' (UIM F1H2O) as Official Marine Engine and Drive Sponsor, 2022-2023 - a different sanctioning body/sport from FIA Formula 1, not a disqualifying tie, but the shared 'Formula One' branding is worth flagging for message clarity; Propulsion-segment revenue/valuation are reported within the Brunswick parent; Mercury Marine is not separately publicly valued</t>
        </is>
      </c>
      <c r="R14" s="10" t="inlineStr">
        <is>
          <t>verified-existing</t>
        </is>
      </c>
      <c r="S14" s="10" t="inlineStr">
        <is>
          <t>2026-09-28</t>
        </is>
      </c>
    </row>
    <row r="15">
      <c r="A15" s="10" t="n">
        <v>12</v>
      </c>
      <c r="B15" s="10" t="n">
        <v>92</v>
      </c>
      <c r="C15" s="10" t="inlineStr">
        <is>
          <t>Brunvoll</t>
        </is>
      </c>
      <c r="D15" s="10" t="inlineStr">
        <is>
          <t>brunvoll.no</t>
        </is>
      </c>
      <c r="E15" s="10" t="inlineStr">
        <is>
          <t>Molde, Norway</t>
        </is>
      </c>
      <c r="F15" s="10" t="inlineStr">
        <is>
          <t>Family-owned (Brunvoll family), private</t>
        </is>
      </c>
      <c r="G15" s="10" t="inlineStr">
        <is>
          <t>Marine thrusters, propulsion, positioning &amp; manoeuvring systems</t>
        </is>
      </c>
      <c r="H15" s="10" t="inlineStr">
        <is>
          <t>201-1k</t>
        </is>
      </c>
      <c r="I15" s="10" t="inlineStr">
        <is>
          <t>~NOK 2.5B (~$235M est) in FY2025 - the company's highest revenue and best financial result ever, having doubled in 3 years (brunvoll.no Sustainability Report 2025, Sept 2026)</t>
        </is>
      </c>
      <c r="J15" s="10" t="inlineStr">
        <is>
          <t>Not disclosed; family-owned - passes on revenue alone per policy</t>
        </is>
      </c>
      <c r="K15" s="10" t="inlineStr">
        <is>
          <t>N/A - family-owned, no external funding</t>
        </is>
      </c>
      <c r="L15" s="10" t="inlineStr">
        <is>
          <t>meets parameters</t>
        </is>
      </c>
      <c r="M15" s="10" t="n">
        <v>4</v>
      </c>
      <c r="N15" s="10" t="inlineStr">
        <is>
          <t>Yes</t>
        </is>
      </c>
      <c r="O15" s="10" t="inlineStr">
        <is>
          <t>All hard filters pass: revenue ~$235M (est) clears the $100M bar; family ownership satisfies the valuation bar; headcount ~600 fits the 201-1k band; strong, record, profitable growth signals ample capacity; broad multi-continent, multi-segment customer base (hundreds of vessels, many shipyards/cruise lines) rules out ~20-customer dependence; no F1 conflicts found; privately family-owned, not state-linked.</t>
        </is>
      </c>
      <c r="P15" s="10" t="inlineStr">
        <is>
          <t>Precision marine propulsion and manoeuvring technology - 'engineering that keeps the world's fleets moving precisely' maps directly onto F1's performance-engineering story, in an open category with a strong global-ambition narrative (75% export, multi-continent shipyard base).</t>
        </is>
      </c>
      <c r="Q15" s="10" t="inlineStr">
        <is>
          <t>family-owned, no published valuation</t>
        </is>
      </c>
      <c r="R15" s="10" t="inlineStr">
        <is>
          <t>verified-existing</t>
        </is>
      </c>
      <c r="S15" s="10" t="inlineStr">
        <is>
          <t>2026-09-28</t>
        </is>
      </c>
    </row>
    <row r="16">
      <c r="A16" s="10" t="n">
        <v>13</v>
      </c>
      <c r="B16" s="10" t="n">
        <v>92</v>
      </c>
      <c r="C16" s="10" t="inlineStr">
        <is>
          <t>Sinokor Merchant Marine</t>
        </is>
      </c>
      <c r="D16" s="10" t="inlineStr">
        <is>
          <t>sinokor.co.kr</t>
        </is>
      </c>
      <c r="E16" s="10" t="inlineStr">
        <is>
          <t>South Korea</t>
        </is>
      </c>
      <c r="F16" s="10" t="inlineStr">
        <is>
          <t>Family-owned (private), South Korea; no state or sanctions ties</t>
        </is>
      </c>
      <c r="G16" s="10" t="inlineStr">
        <is>
          <t>Intra-Asia container &amp; bulk shipping; direct calls to ~60 ports in 16 countries</t>
        </is>
      </c>
      <c r="H16" s="10" t="inlineStr">
        <is>
          <t>1k-5k</t>
        </is>
      </c>
      <c r="I16" s="10" t="inlineStr">
        <is>
          <t>≈KRW 3.72 trillion (~$2.7B) FY2025, +6.72% YoY (Statista/Craft.co, reported 2025-2026)</t>
        </is>
      </c>
      <c r="J16" s="10" t="inlineStr">
        <is>
          <t>Not disclosed — family-owned, no published valuation; passes on revenue alone</t>
        </is>
      </c>
      <c r="K16" s="10" t="inlineStr">
        <is>
          <t>n/a (private; no equity raise identified)</t>
        </is>
      </c>
      <c r="L16" s="10" t="inlineStr">
        <is>
          <t>meets parameters</t>
        </is>
      </c>
      <c r="M16" s="10" t="n">
        <v>4</v>
      </c>
      <c r="N16" s="10" t="inlineStr">
        <is>
          <t>Yes</t>
        </is>
      </c>
      <c r="O16" s="10" t="inlineStr">
        <is>
          <t>Revenue ~$2.7B (FY2025, KRW 3.72tn) far exceeds the $100M bar; family-owned exception covers the absence of a published valuation; headcount 1,500+ (1k-5k); large, diversified customer base across 16 countries/60 ports, not concentrated; growing and profitable line, no distress signal; no F1 sponsorship ties found. Fit score 4.</t>
        </is>
      </c>
      <c r="P16" s="10" t="inlineStr">
        <is>
          <t>Intra-Asia trade-growth and global-network story (60 ports across 16 countries); open logistics/shipping category on the 2026 grid.</t>
        </is>
      </c>
      <c r="Q16" s="10" t="inlineStr">
        <is>
          <t>family-owned, no published valuation</t>
        </is>
      </c>
      <c r="R16" s="10" t="inlineStr">
        <is>
          <t>verified-existing</t>
        </is>
      </c>
      <c r="S16" s="10" t="inlineStr">
        <is>
          <t>2026-09-28</t>
        </is>
      </c>
    </row>
    <row r="17">
      <c r="A17" s="10" t="n">
        <v>14</v>
      </c>
      <c r="B17" s="10" t="n">
        <v>92</v>
      </c>
      <c r="C17" s="10" t="inlineStr">
        <is>
          <t>TS Lines</t>
        </is>
      </c>
      <c r="D17" s="10" t="inlineStr">
        <is>
          <t>tslines.com</t>
        </is>
      </c>
      <c r="E17" s="10" t="inlineStr">
        <is>
          <t>Taiwan/Hong Kong</t>
        </is>
      </c>
      <c r="F17" s="10" t="inlineStr">
        <is>
          <t>Family-owned (private); pursuing an IPO (Container News, 2026); no state or sanctions ties</t>
        </is>
      </c>
      <c r="G17" s="10" t="inlineStr">
        <is>
          <t>Intra-Asia feeder container shipping</t>
        </is>
      </c>
      <c r="H17" s="10" t="inlineStr">
        <is>
          <t>1k-5k</t>
        </is>
      </c>
      <c r="I17" s="10" t="inlineStr">
        <is>
          <t>US$660.4M total revenue H1 2026 (container shipping revenue $600.6M, +2.6% YoY); US$874.6M FY2023; net profit $180-200M H1 2025 (TheLoadstar, TheDCN, reported 2025-2026)</t>
        </is>
      </c>
      <c r="J17" s="10" t="inlineStr">
        <is>
          <t>Not disclosed — family-owned, no published valuation; passes on revenue alone (also mid repeated IPO attempts)</t>
        </is>
      </c>
      <c r="K17" s="10" t="inlineStr">
        <is>
          <t>n/a — private; repeated attempts at an IPO (Container News, 2026) not yet completed</t>
        </is>
      </c>
      <c r="L17" s="10" t="inlineStr">
        <is>
          <t>meets parameters</t>
        </is>
      </c>
      <c r="M17" s="10" t="n">
        <v>4</v>
      </c>
      <c r="N17" s="10" t="inlineStr">
        <is>
          <t>Yes</t>
        </is>
      </c>
      <c r="O17" s="10" t="inlineStr">
        <is>
          <t>Revenue $660.4M H1 2026 (and $874.6M FY2023) clears the $100M bar comfortably; family-owned exception covers the absence of a valuation; headcount 1,000+ (1k-5k); highly profitable ($180-200M net profit H1 2025); broad multi-country customer base; no F1 ties found. Fit score 4.</t>
        </is>
      </c>
      <c r="P17" s="10" t="inlineStr">
        <is>
          <t>Fast-growth intra-Asia carrier on an IPO track — an ambition/scale-up story; open shipping/logistics category on the grid.</t>
        </is>
      </c>
      <c r="Q17" s="10" t="inlineStr">
        <is>
          <t>family-owned, no published valuation; earnings highly cyclical/freight-rate dependent (2022 revenue $2.44B → 2023 $874.6M → growing again through 2025/26)</t>
        </is>
      </c>
      <c r="R17" s="10" t="inlineStr">
        <is>
          <t>verified-existing</t>
        </is>
      </c>
      <c r="S17" s="10" t="inlineStr">
        <is>
          <t>2026-09-28</t>
        </is>
      </c>
    </row>
    <row r="18">
      <c r="A18" s="10" t="n">
        <v>15</v>
      </c>
      <c r="B18" s="10" t="n">
        <v>84</v>
      </c>
      <c r="C18" s="10" t="inlineStr">
        <is>
          <t>SITC International</t>
        </is>
      </c>
      <c r="D18" s="10" t="inlineStr">
        <is>
          <t>sitc.com</t>
        </is>
      </c>
      <c r="E18" s="10" t="inlineStr">
        <is>
          <t>Hong Kong</t>
        </is>
      </c>
      <c r="F18" s="10" t="inlineStr">
        <is>
          <t>Public (HKEX: 1308); founder/family-controlled, not state-owned</t>
        </is>
      </c>
      <c r="G18" s="10" t="inlineStr">
        <is>
          <t>Intra-Asia container shipping and logistics</t>
        </is>
      </c>
      <c r="H18" s="10" t="inlineStr">
        <is>
          <t>1k-5k (est)</t>
        </is>
      </c>
      <c r="I18" s="10" t="inlineStr">
        <is>
          <t>FY2025 revenue ~$3.41B, up 11.6% YoY; 9M2025 revenue ~$2.46B, up 16.6% YoY (stockanalysis.com / itiger.com, reporting 2025 results, 2025-2026)</t>
        </is>
      </c>
      <c r="J18" s="10" t="inlineStr">
        <is>
          <t>Market cap ~HK$78-92B (~US$10-11.7B) as of Sept 2026 (companiesmarketcap.com / tradingview.com, 2026)</t>
        </is>
      </c>
      <c r="K18" s="10" t="inlineStr">
        <is>
          <t>N/A - publicly listed since 2013 (HKEX: 1308); no recent funding round</t>
        </is>
      </c>
      <c r="L18" s="10" t="inlineStr">
        <is>
          <t>meets parameters</t>
        </is>
      </c>
      <c r="M18" s="10" t="n">
        <v>3</v>
      </c>
      <c r="N18" s="10" t="inlineStr">
        <is>
          <t>Yes</t>
        </is>
      </c>
      <c r="O18" s="10" t="inlineStr">
        <is>
          <t>All hard filters pass: FY2025 revenue $3.41B (&gt;&gt;$100M bar), market cap ~$10-11.7B (&gt;&gt;$1B bar), profitable and growing double digits (not distressed), no F1 sponsorship conflict found, publicly traded and not state-owned, broad intra-Asia customer base (not concentrated in a handful of accounts); fit score 3/4.</t>
        </is>
      </c>
      <c r="P18" s="10" t="inlineStr">
        <is>
          <t>Growth-and-global-ambition story of Asia's fastest-growing intra-regional container line, tied to the Asian leg of the F1 calendar (Singapore, Japan, China); open category since no current grid sponsor covers container/maritime shipping specifically.</t>
        </is>
      </c>
      <c r="Q18" s="10" t="n"/>
      <c r="R18" s="10" t="inlineStr">
        <is>
          <t>verified-existing</t>
        </is>
      </c>
      <c r="S18" s="10" t="inlineStr">
        <is>
          <t>2026-09-28</t>
        </is>
      </c>
    </row>
    <row r="19">
      <c r="A19" s="10" t="n">
        <v>16</v>
      </c>
      <c r="B19" s="10" t="n">
        <v>84</v>
      </c>
      <c r="C19" s="10" t="inlineStr">
        <is>
          <t>International Seaways</t>
        </is>
      </c>
      <c r="D19" s="10" t="inlineStr">
        <is>
          <t>intlseas.com</t>
        </is>
      </c>
      <c r="E19" s="10" t="inlineStr">
        <is>
          <t>USA</t>
        </is>
      </c>
      <c r="F19" s="10" t="inlineStr">
        <is>
          <t>public (NYSE: INSW)</t>
        </is>
      </c>
      <c r="G19" s="10" t="inlineStr">
        <is>
          <t>crude &amp; product tankers</t>
        </is>
      </c>
      <c r="H19" s="10" t="inlineStr">
        <is>
          <t>1k-5k</t>
        </is>
      </c>
      <c r="I19" s="10" t="inlineStr">
        <is>
          <t>$843.3M shipping revenue FY2025 (10-K filed 2026, sec.gov)</t>
        </is>
      </c>
      <c r="J19" s="10" t="inlineStr">
        <is>
          <t>market cap ~$3.6-5.2B as of Sep 2026 (stockanalysis.com)</t>
        </is>
      </c>
      <c r="K19" s="10" t="inlineStr">
        <is>
          <t>n/a (public company)</t>
        </is>
      </c>
      <c r="L19" s="10" t="inlineStr">
        <is>
          <t>meets parameters</t>
        </is>
      </c>
      <c r="M19" s="10" t="n">
        <v>3</v>
      </c>
      <c r="N19" s="10" t="inlineStr">
        <is>
          <t>Yes</t>
        </is>
      </c>
      <c r="O19" s="10" t="inlineStr">
        <is>
          <t>All hard filters pass: no F1/motorsport conflicts found (web search 2026); FY2025 revenue $843.3M (&gt;$100M bar); market cap ~$3.6-5.2B (&gt;$1B bar); headcount 2,824 incl. seafarers (1k-5k band, FY2024 10-K); public and profitable (Adj. EBITDA $474.7M FY2025), no cost-cutting/distress; diversified oil-major/trader customer base, no state or compliance conflicts.</t>
        </is>
      </c>
      <c r="P19" s="10" t="inlineStr">
        <is>
          <t>Global energy-logistics performance story - a modern tanker fleet moving the worlds fuel under extreme conditions - into the still-open maritime/shipping category on the 2026 grid.</t>
        </is>
      </c>
      <c r="Q19" s="10" t="n"/>
      <c r="R19" s="10" t="inlineStr">
        <is>
          <t>verified-existing</t>
        </is>
      </c>
      <c r="S19" s="10" t="inlineStr">
        <is>
          <t>2026-09-28</t>
        </is>
      </c>
    </row>
    <row r="20">
      <c r="A20" s="10" t="n">
        <v>17</v>
      </c>
      <c r="B20" s="10" t="n">
        <v>84</v>
      </c>
      <c r="C20" s="10" t="inlineStr">
        <is>
          <t>Peel Ports Group</t>
        </is>
      </c>
      <c r="D20" s="10" t="inlineStr">
        <is>
          <t>peelports.com</t>
        </is>
      </c>
      <c r="E20" s="10" t="inlineStr">
        <is>
          <t>UK</t>
        </is>
      </c>
      <c r="F20" s="10" t="inlineStr">
        <is>
          <t>Family/infrastructure-fund owned (private) — Peel Group/Whittaker family plus historical infrastructure-fund minority stakes; no state ties</t>
        </is>
      </c>
      <c r="G20" s="10" t="inlineStr">
        <is>
          <t>Port operator (private) — UK ports incl. Liverpool, Manchester Ship Canal, Clydeport</t>
        </is>
      </c>
      <c r="H20" s="10" t="inlineStr">
        <is>
          <t>1k-5k</t>
        </is>
      </c>
      <c r="I20" s="10" t="inlineStr">
        <is>
          <t>£693.7m group turnover (~$880M), FY ended 31 Mar 2024 (Companies House filing/Insider Media, reported 2024-2025)</t>
        </is>
      </c>
      <c r="J20" s="10" t="inlineStr">
        <is>
          <t>Not disclosed — private, family/infrastructure-fund owned; passes on revenue alone under family-owned exception</t>
        </is>
      </c>
      <c r="K20" s="10" t="inlineStr">
        <is>
          <t>n/a (private; no recent equity raise identified)</t>
        </is>
      </c>
      <c r="L20" s="10" t="inlineStr">
        <is>
          <t>meets parameters</t>
        </is>
      </c>
      <c r="M20" s="10" t="n">
        <v>3</v>
      </c>
      <c r="N20" s="10" t="inlineStr">
        <is>
          <t>Yes</t>
        </is>
      </c>
      <c r="O20" s="10" t="inlineStr">
        <is>
          <t>All hard filters pass: revenue £693.7m (FY2024) far exceeds the $100M bar; family-owned exception covers the absence of a published valuation; headcount 1,600+ (1k-5k band); profitable and paying large dividends (£153.9m, Insider Media/TheBusinessDesk 2024-2025), no distress; broad customer base of shipping lines/importers via UK ports, not concentrated; no F1 sponsorship ties found direct or via Peel Group parent; ownership private family/infra-fund with no state or sanctions issue. Fit score 3.</t>
        </is>
      </c>
      <c r="P20" s="10" t="inlineStr">
        <is>
          <t>Global trade and supply-chain 'performance under pressure' story — UK's largest port group linking domestic industry to global logistics; open category, as no port/logistics operator currently sponsors an F1 team.</t>
        </is>
      </c>
      <c r="Q20" s="10" t="inlineStr">
        <is>
          <t>family-owned, no published valuation</t>
        </is>
      </c>
      <c r="R20" s="10" t="inlineStr">
        <is>
          <t>verified-existing</t>
        </is>
      </c>
      <c r="S20" s="10" t="inlineStr">
        <is>
          <t>2026-09-28</t>
        </is>
      </c>
    </row>
    <row r="21">
      <c r="A21" s="11" t="n">
        <v>18</v>
      </c>
      <c r="B21" s="11" t="n">
        <v>64</v>
      </c>
      <c r="C21" s="11" t="inlineStr">
        <is>
          <t>Euronav / CMB.TECH</t>
        </is>
      </c>
      <c r="D21" s="11" t="inlineStr">
        <is>
          <t>cmb.tech</t>
        </is>
      </c>
      <c r="E21" s="11" t="inlineStr">
        <is>
          <t>Belgium</t>
        </is>
      </c>
      <c r="F21" s="11" t="inlineStr">
        <is>
          <t>Public (Euronext Brussels/Oslo: CMBT), Saverys family-controlled</t>
        </is>
      </c>
      <c r="G21" s="11" t="inlineStr">
        <is>
          <t>tankers, dry bulk, chemical tankers, container ships, offshore wind &amp; port vessels; hydrogen/ammonia dual-fuel newbuilds</t>
        </is>
      </c>
      <c r="H21" s="11" t="inlineStr">
        <is>
          <t>201-1k</t>
        </is>
      </c>
      <c r="I21" s="11" t="inlineStr">
        <is>
          <t>TTM revenue ~$1.96B (CNBC/TradingView data, accessed Sep 2026)</t>
        </is>
      </c>
      <c r="J21" s="11" t="inlineStr">
        <is>
          <t>Market cap ~EUR 3.76B (~$4.1B) as of Sep 2026 (Euronext/CNBC); also listed Euronext Oslo at ~NOK 27B (Aug 2025)</t>
        </is>
      </c>
      <c r="K21" s="11" t="inlineStr">
        <is>
          <t>N/A recent equity raise identified; CMB.TECH formed via Euronav/CMB merger and rebrand, Oct 2024; dual-listed on Euronext Oslo, Aug 2025</t>
        </is>
      </c>
      <c r="L21" s="11" t="inlineStr">
        <is>
          <t>meets parameters</t>
        </is>
      </c>
      <c r="M21" s="11" t="n">
        <v>4</v>
      </c>
      <c r="N21" s="11" t="inlineStr">
        <is>
          <t>Stretch</t>
        </is>
      </c>
      <c r="O21" s="11" t="inlineStr">
        <is>
          <t>Hard filters pass on available data (TTM revenue ~$1.96B, market cap ~$4.1B, no F1 conflicts, 800+ headcount) and fit is strong (4/4), but a real reservation remains on the audience/customer-breadth hard bar - shipping charter customers are a more concentrated set of global oil majors/traders than a typical consumer or SMB base, even with CMB.TECH's diversified fleet.</t>
        </is>
      </c>
      <c r="P21" s="11" t="inlineStr">
        <is>
          <t>CMB.TECH's hydrogen/ammonia dual-fuel newbuild program and clean-maritime-technology rebrand is a strong global-innovation, energy-transition story well-suited to F1's technology/precision positioning.</t>
        </is>
      </c>
      <c r="Q21" s="11" t="inlineStr">
        <is>
          <t>family-controlled (Saverys) though publicly listed; B2B shipping charter customer base (oil majors, trading houses) is more concentrated than a typical thousands-of-customers consumer base, though the diversified fleet (dry bulk, chemical, container, offshore wind, port vessels) broadens this versus a pure-play tanker owner</t>
        </is>
      </c>
      <c r="R21" s="11" t="inlineStr">
        <is>
          <t>verified-existing</t>
        </is>
      </c>
      <c r="S21" s="11" t="inlineStr">
        <is>
          <t>2026-09-28</t>
        </is>
      </c>
    </row>
    <row r="22">
      <c r="A22" s="11" t="n">
        <v>19</v>
      </c>
      <c r="B22" s="11" t="n">
        <v>64</v>
      </c>
      <c r="C22" s="11" t="inlineStr">
        <is>
          <t>Monjasa</t>
        </is>
      </c>
      <c r="D22" s="11" t="inlineStr">
        <is>
          <t>monjasa.com</t>
        </is>
      </c>
      <c r="E22" s="11" t="inlineStr">
        <is>
          <t>Denmark (Middelfart)</t>
        </is>
      </c>
      <c r="F22" s="11" t="inlineStr">
        <is>
          <t>Family/founder-owned (private), no published valuation</t>
        </is>
      </c>
      <c r="G22" s="11" t="inlineStr">
        <is>
          <t>marine fuel (bunker) trading &amp; physical supply</t>
        </is>
      </c>
      <c r="H22" s="11" t="inlineStr">
        <is>
          <t>201-1k</t>
        </is>
      </c>
      <c r="I22" s="11" t="inlineStr">
        <is>
          <t>US$4.0B total revenue FY2025 (down from US$4.5B FY2024); net profit US$39M (down from US$65M FY2024) - Ship &amp; Bunker / Monjasa financial release, ~May 2026</t>
        </is>
      </c>
      <c r="J22" s="11" t="inlineStr">
        <is>
          <t>Not applicable - family-owned, no published valuation (consolidated equity US$472M as of FY2025 per Monjasa release)</t>
        </is>
      </c>
      <c r="K22" s="11" t="inlineStr">
        <is>
          <t>n/a - privately/family-financed, no external funding round</t>
        </is>
      </c>
      <c r="L22" s="11" t="inlineStr">
        <is>
          <t>meets parameters</t>
        </is>
      </c>
      <c r="M22" s="11" t="n">
        <v>4</v>
      </c>
      <c r="N22" s="11" t="inlineStr">
        <is>
          <t>Stretch</t>
        </is>
      </c>
      <c r="O22" s="11" t="inlineStr">
        <is>
          <t>Revenue clears the bar easily ($4.0B) and the family-ownership exemption applies for valuation; no F1 ties found. Real reservation on capacity to spend: net profit has fallen for three consecutive years (-64% cumulative) amid margin compression, despite a positive 2026 forecast.</t>
        </is>
      </c>
      <c r="P22" s="11" t="inlineStr">
        <is>
          <t>World's largest independent physical bunker supplier - pitch the marine-energy-transition/global-reach story (shipowner customers across 6 continents) into F1's fuel/energy-technology narrative; open category.</t>
        </is>
      </c>
      <c r="Q22" s="11" t="inlineStr">
        <is>
          <t>family-owned, no published valuation; net profit declined three straight years ($109M 2023 -&gt; $65M 2024 -&gt; $39M 2025) on margin compression, though 2026 guidance projects $120-150M recovery</t>
        </is>
      </c>
      <c r="R22" s="11" t="inlineStr">
        <is>
          <t>verified-existing</t>
        </is>
      </c>
      <c r="S22" s="11" t="inlineStr">
        <is>
          <t>2026-09-28</t>
        </is>
      </c>
    </row>
    <row r="23">
      <c r="A23" s="11" t="n">
        <v>20</v>
      </c>
      <c r="B23" s="11" t="n">
        <v>64</v>
      </c>
      <c r="C23" s="11" t="inlineStr">
        <is>
          <t>Ocean Network Express (ONE)</t>
        </is>
      </c>
      <c r="D23" s="11" t="inlineStr">
        <is>
          <t>one-line.com</t>
        </is>
      </c>
      <c r="E23" s="11" t="inlineStr">
        <is>
          <t>Singapore</t>
        </is>
      </c>
      <c r="F23" s="11" t="inlineStr">
        <is>
          <t>Private joint venture of NYK, MOL and K Line (each publicly listed in Japan); no state control</t>
        </is>
      </c>
      <c r="G23" s="11" t="inlineStr">
        <is>
          <t>container shipping (global liner network)</t>
        </is>
      </c>
      <c r="H23" s="11" t="inlineStr">
        <is>
          <t>5k-10k</t>
        </is>
      </c>
      <c r="I23" s="11" t="inlineStr">
        <is>
          <t>US$16.62B total revenue FY2025 (Apr 2025-Mar 2026); net profit US$338M - ONE financial results release, ~May 2026</t>
        </is>
      </c>
      <c r="J23" s="11" t="inlineStr">
        <is>
          <t>No standalone public valuation - private JV held by three separately-listed parents (NYK/MOL/K Line); not disclosed</t>
        </is>
      </c>
      <c r="K23" s="11" t="inlineStr">
        <is>
          <t>n/a - JV funded by parent shipping lines, no external raise</t>
        </is>
      </c>
      <c r="L23" s="11" t="inlineStr">
        <is>
          <t>exceeds - mega-brand</t>
        </is>
      </c>
      <c r="M23" s="11" t="n">
        <v>4</v>
      </c>
      <c r="N23" s="11" t="inlineStr">
        <is>
          <t>Stretch</t>
        </is>
      </c>
      <c r="O23" s="11" t="inlineStr">
        <is>
          <t>Revenue decisively clears the bar ($16.6B FY2025) and no F1 ties were found, but there is a real reservation: ONE has no published standalone valuation (it is a private JV of three listed parents, not clearly covered by the family/employee-owned exemption), and margins are thin (~2% net) amid rate volatility.</t>
        </is>
      </c>
      <c r="P23" s="11" t="inlineStr">
        <is>
          <t>One of the world's top container carriers with a striking pink livery already built for global brand recognition - pitch a 'connecting global trade' precision-logistics story; open category, strong visual-identity hook for a team livery tie-in.</t>
        </is>
      </c>
      <c r="Q23" s="11" t="inlineStr">
        <is>
          <t>JV carries no published standalone valuation (parents NYK/MOL/K Line are separately listed); thin net margin in FY2025 (~2%, $338M profit on $16.6B revenue) amid freight-rate volatility</t>
        </is>
      </c>
      <c r="R23" s="11" t="inlineStr">
        <is>
          <t>verified-existing</t>
        </is>
      </c>
      <c r="S23" s="11" t="inlineStr">
        <is>
          <t>2026-09-28</t>
        </is>
      </c>
    </row>
    <row r="24">
      <c r="A24" s="11" t="n">
        <v>21</v>
      </c>
      <c r="B24" s="11" t="n">
        <v>64</v>
      </c>
      <c r="C24" s="11" t="inlineStr">
        <is>
          <t>Oldendorff Carriers</t>
        </is>
      </c>
      <c r="D24" s="11" t="inlineStr">
        <is>
          <t>oldendorff.com</t>
        </is>
      </c>
      <c r="E24" s="11" t="inlineStr">
        <is>
          <t>Germany (Lübeck)</t>
        </is>
      </c>
      <c r="F24" s="11" t="inlineStr">
        <is>
          <t>Family-owned (Oldendorff family), private, no published valuation</t>
        </is>
      </c>
      <c r="G24" s="11" t="inlineStr">
        <is>
          <t>dry bulk shipping (owned &amp; chartered tonnage)</t>
        </is>
      </c>
      <c r="H24" s="11" t="inlineStr">
        <is>
          <t>1k-5k</t>
        </is>
      </c>
      <c r="I24" s="11" t="inlineStr">
        <is>
          <t>Est. ~US$5B (aggregator estimate, unconfirmed/dated - traceable to ~2014 data; company discloses no recent financials); fleet operates ~780 vessels handling ~415M tons/yr across 127 countries (oldendorff.com) (est)</t>
        </is>
      </c>
      <c r="J24" s="11" t="inlineStr">
        <is>
          <t>Not applicable - family-owned, no published valuation</t>
        </is>
      </c>
      <c r="K24" s="11" t="inlineStr">
        <is>
          <t>n/a - privately/family-financed</t>
        </is>
      </c>
      <c r="L24" s="11" t="inlineStr">
        <is>
          <t>meets parameters</t>
        </is>
      </c>
      <c r="M24" s="11" t="n">
        <v>4</v>
      </c>
      <c r="N24" s="11" t="inlineStr">
        <is>
          <t>Stretch</t>
        </is>
      </c>
      <c r="O24" s="11" t="inlineStr">
        <is>
          <t>The family-ownership exemption lets it pass on revenue alone and no F1 ties were found, but the only available revenue figure is a stale, unverified estimate rather than a dated primary-source number - a genuine reservation on the revenue evidence itself, despite the company's undisputed massive scale (780-ship fleet, 415M tons/yr).</t>
        </is>
      </c>
      <c r="P24" s="11" t="inlineStr">
        <is>
          <t>One of the largest privately-held dry-bulk owners in the world - pitch a family-legacy/global-trade-backbone story (127 countries, 15,000 port calls/yr) into the open dry-bulk category.</t>
        </is>
      </c>
      <c r="Q24" s="11" t="inlineStr">
        <is>
          <t>family-owned, no published valuation; revenue figure is an uncertain, dated aggregator estimate (~$5B, traceable to ~2014 data) - company does not disclose financials</t>
        </is>
      </c>
      <c r="R24" s="11" t="inlineStr">
        <is>
          <t>verified-existing</t>
        </is>
      </c>
      <c r="S24" s="11" t="inlineStr">
        <is>
          <t>2026-09-28</t>
        </is>
      </c>
    </row>
    <row r="25">
      <c r="A25" s="11" t="n">
        <v>22</v>
      </c>
      <c r="B25" s="11" t="n">
        <v>64</v>
      </c>
      <c r="C25" s="11" t="inlineStr">
        <is>
          <t>Yilport Holding</t>
        </is>
      </c>
      <c r="D25" s="11" t="inlineStr">
        <is>
          <t>yilport.com</t>
        </is>
      </c>
      <c r="E25" s="11" t="inlineStr">
        <is>
          <t>Turkey (Istanbul/Gebze); terminals also in Portugal, Spain, Sweden, Norway, Peru, Malta, Ecuador</t>
        </is>
      </c>
      <c r="F25" s="11" t="inlineStr">
        <is>
          <t>Family-owned, part of Yıldırım Holding (Turkey), private, no published valuation</t>
        </is>
      </c>
      <c r="G25" s="11" t="inlineStr">
        <is>
          <t>container/general-cargo port terminal operations</t>
        </is>
      </c>
      <c r="H25" s="11" t="inlineStr">
        <is>
          <t>1k-5k (~1,400 employees across 5 continents, per company data, July 2026)</t>
        </is>
      </c>
      <c r="I25" s="11" t="inlineStr">
        <is>
          <t>Not publicly disclosed; est. several hundred million to ~$1B+ based on 8.4M TEU handled across 20 marine + 6 dry terminals in 2025 (+12% YoY volume growth) - portseurope.com / maritime-executive.com (est)</t>
        </is>
      </c>
      <c r="J25" s="11" t="inlineStr">
        <is>
          <t>Not applicable - family-owned, no published valuation</t>
        </is>
      </c>
      <c r="K25" s="11" t="inlineStr">
        <is>
          <t>n/a - privately/family-financed</t>
        </is>
      </c>
      <c r="L25" s="11" t="inlineStr">
        <is>
          <t>meets parameters</t>
        </is>
      </c>
      <c r="M25" s="11" t="n">
        <v>4</v>
      </c>
      <c r="N25" s="11" t="inlineStr">
        <is>
          <t>Stretch</t>
        </is>
      </c>
      <c r="O25" s="11" t="inlineStr">
        <is>
          <t>The family-ownership exemption applies and no F1 ties were found, but the revenue figure needed to confirm the hard bar is not publicly disclosed anywhere - only an estimate derived from 2025 throughput (8.4M TEU) - a genuine uncertainty despite Yilport's clear scale as a top-11 global terminal operator.</t>
        </is>
      </c>
      <c r="P25" s="11" t="inlineStr">
        <is>
          <t>Top-tier global container terminal operator spanning Europe/Americas/Turkey - pitch a global-trade-connectivity story into the open port-operator category, with a Turkey/Iberia hook tying to F1's European calendar and historical Turkish GP.</t>
        </is>
      </c>
      <c r="Q25" s="11" t="inlineStr">
        <is>
          <t>family-owned, no published valuation; revenue not publicly disclosed - figure above is an estimate derived from throughput data, not a confirmed financial statement</t>
        </is>
      </c>
      <c r="R25" s="11" t="inlineStr">
        <is>
          <t>verified-existing</t>
        </is>
      </c>
      <c r="S25" s="11" t="inlineStr">
        <is>
          <t>2026-09-28</t>
        </is>
      </c>
    </row>
    <row r="26">
      <c r="A26" s="11" t="n">
        <v>23</v>
      </c>
      <c r="B26" s="11" t="n">
        <v>64</v>
      </c>
      <c r="C26" s="11" t="inlineStr">
        <is>
          <t>ZIM Integrated Shipping Services</t>
        </is>
      </c>
      <c r="D26" s="11" t="inlineStr">
        <is>
          <t>zim.com</t>
        </is>
      </c>
      <c r="E26" s="11" t="inlineStr">
        <is>
          <t>Israel (Haifa)</t>
        </is>
      </c>
      <c r="F26" s="11" t="inlineStr">
        <is>
          <t>Majority privately held via Kenon Holdings/Israel Corporation (Ofer family/Idan Ofer); Israeli government retains a golden/minority share in the 'Zim Israel' entity for national-security purposes - minority state stake, flagged</t>
        </is>
      </c>
      <c r="G26" s="11" t="inlineStr">
        <is>
          <t>container shipping</t>
        </is>
      </c>
      <c r="H26" s="11" t="inlineStr">
        <is>
          <t>5k-10k (5,000+ per input, not independently re-verified)</t>
        </is>
      </c>
      <c r="I26" s="11" t="inlineStr">
        <is>
          <t>US$6.90B FY2025, down 18.1% from US$8.43B FY2024 - stockanalysis.com</t>
        </is>
      </c>
      <c r="J26" s="11" t="inlineStr">
        <is>
          <t>Market cap ~US$3.39B (range $3.18-3.54B across sources) as of ~2026 - stockanalysis.com / macrotrends.net</t>
        </is>
      </c>
      <c r="K26" s="11" t="inlineStr">
        <is>
          <t>n/a - public company (NYSE: ZIM)</t>
        </is>
      </c>
      <c r="L26" s="11" t="inlineStr">
        <is>
          <t>exceeds - mega-brand</t>
        </is>
      </c>
      <c r="M26" s="11" t="n">
        <v>4</v>
      </c>
      <c r="N26" s="11" t="inlineStr">
        <is>
          <t>Stretch</t>
        </is>
      </c>
      <c r="O26" s="11" t="inlineStr">
        <is>
          <t>Revenue ($6.9B) and valuation (~$3.4B market cap) both clear their hard bars and no F1 ties were found, but two reservations apply: the Israeli government holds a minority/golden state stake (flagged per ownership rule, not disqualifying since it is minority not majority), and net profit collapsed ~78% YoY in 2025 - a real capacity-to-spend concern despite the company remaining solidly profitable.</t>
        </is>
      </c>
      <c r="P26" s="11" t="inlineStr">
        <is>
          <t>Major global container line with a strong Israeli-tech-industry identity - pitch an innovation/resilience narrative (volatile-market navigation, digital fleet operations) into the open container-shipping category.</t>
        </is>
      </c>
      <c r="Q26" s="11" t="inlineStr">
        <is>
          <t>minority/golden state stake held by the Israeli government in the Zim Israel entity (compliance flag per ownership rule); net profit fell ~78% YoY in 2025 (US$479M) amid container-rate normalization</t>
        </is>
      </c>
      <c r="R26" s="11" t="inlineStr">
        <is>
          <t>verified-existing</t>
        </is>
      </c>
      <c r="S26" s="11" t="inlineStr">
        <is>
          <t>2026-09-28</t>
        </is>
      </c>
    </row>
    <row r="27">
      <c r="A27" s="11" t="n">
        <v>24</v>
      </c>
      <c r="B27" s="11" t="n">
        <v>64</v>
      </c>
      <c r="C27" s="11" t="inlineStr">
        <is>
          <t>Hapag-Lloyd</t>
        </is>
      </c>
      <c r="D27" s="11" t="inlineStr">
        <is>
          <t>hapag-lloyd.com</t>
        </is>
      </c>
      <c r="E27" s="11" t="inlineStr">
        <is>
          <t>Germany</t>
        </is>
      </c>
      <c r="F27" s="11" t="inlineStr">
        <is>
          <t>Public (Frankfurt/Hamburg exchange, HLAG); Kuhne family and CSAV are largest private shareholders; City of Hamburg holds a minority (~14%) stake</t>
        </is>
      </c>
      <c r="G27" s="11" t="inlineStr">
        <is>
          <t>container shipping</t>
        </is>
      </c>
      <c r="H27" s="11" t="inlineStr">
        <is>
          <t>10k+</t>
        </is>
      </c>
      <c r="I27" s="11" t="inlineStr">
        <is>
          <t>TTM revenue ~$20.8B as of Aug 2026 (source: companiesmarketcap.com, retrieved Sep 2026) — clears &gt;$100M bar</t>
        </is>
      </c>
      <c r="J27" s="11" t="inlineStr">
        <is>
          <t>Market cap ~$23-26B as of Aug 2026 (source: Eulerpool/Investing.com, retrieved Sep 2026) — clears &gt;$1B bar</t>
        </is>
      </c>
      <c r="K27" s="11" t="inlineStr">
        <is>
          <t>N/A (public company, no funding round)</t>
        </is>
      </c>
      <c r="L27" s="11" t="inlineStr">
        <is>
          <t>exceeds - mega-brand</t>
        </is>
      </c>
      <c r="M27" s="11" t="n">
        <v>4</v>
      </c>
      <c r="N27" s="11" t="inlineStr">
        <is>
          <t>Stretch</t>
        </is>
      </c>
      <c r="O27" s="11" t="inlineStr">
        <is>
          <t>No F1 tie found and financials are enormous multiples of the hard bars, but the City of Hamburg's ~14% minority stake is a real (non-disqualifying) ownership reservation per protocol, capping this at Stretch.</t>
        </is>
      </c>
      <c r="P27" s="11" t="inlineStr">
        <is>
          <t>German engineering-precision brand backing the pinnacle of engineering-driven motorsport; container-shipping category still open on the 2026 grid.</t>
        </is>
      </c>
      <c r="Q27" s="11" t="inlineStr">
        <is>
          <t>minority state stake (City of Hamburg ~14%)</t>
        </is>
      </c>
      <c r="R27" s="11" t="inlineStr">
        <is>
          <t>verified-existing</t>
        </is>
      </c>
      <c r="S27" s="11" t="inlineStr">
        <is>
          <t>2026-09-28</t>
        </is>
      </c>
    </row>
    <row r="28">
      <c r="A28" s="11" t="n">
        <v>25</v>
      </c>
      <c r="B28" s="11" t="n">
        <v>64</v>
      </c>
      <c r="C28" s="11" t="inlineStr">
        <is>
          <t>StormGeo</t>
        </is>
      </c>
      <c r="D28" s="11" t="inlineStr">
        <is>
          <t>stormgeo.com</t>
        </is>
      </c>
      <c r="E28" s="11" t="inlineStr">
        <is>
          <t>Norway</t>
        </is>
      </c>
      <c r="F28" s="11" t="inlineStr">
        <is>
          <t>Wholly-owned subsidiary of Alfa Laval (public, Nasdaq Stockholm); Alfa Laval confirmed to have no F1 sponsorship tie (distinct from unrelated 'Alfa Romeo' F1 team name)</t>
        </is>
      </c>
      <c r="G28" s="11" t="inlineStr">
        <is>
          <t>weather routing &amp; voyage optimization software/services</t>
        </is>
      </c>
      <c r="H28" s="11" t="inlineStr">
        <is>
          <t>201-1k</t>
        </is>
      </c>
      <c r="I28" s="11" t="inlineStr">
        <is>
          <t>Est. ~$231.4M annual revenue per single third-party estimate (source: WebSearch aggregator, retrieved Sep 2026, no official standalone filing since acquisition by Alfa Laval in 2021) — clears &gt;$100M bar but figure is unverified/single-sourced (est)</t>
        </is>
      </c>
      <c r="J28" s="11" t="inlineStr">
        <is>
          <t>No standalone valuation published (wholly-owned subsidiary); parent Alfa Laval had SEK 69.6B (~€6.6B) 2025 sales (source: Alfa Laval investor release) — hard bar satisfied via revenue alone</t>
        </is>
      </c>
      <c r="K28" s="11" t="inlineStr">
        <is>
          <t>N/A (acquired outright by Alfa Laval, completed Jun 1, 2021; no subsequent raise)</t>
        </is>
      </c>
      <c r="L28" s="11" t="inlineStr">
        <is>
          <t>meets parameters</t>
        </is>
      </c>
      <c r="M28" s="11" t="n">
        <v>4</v>
      </c>
      <c r="N28" s="11" t="inlineStr">
        <is>
          <t>Stretch</t>
        </is>
      </c>
      <c r="O28" s="11" t="inlineStr">
        <is>
          <t>No F1 tie found for StormGeo or parent Alfa Laval; revenue estimate clears the $100M bar and parent is a large stable public group, but the (est) revenue figure comes from one unverified source with no official standalone disclosure, a real reservation per protocol.</t>
        </is>
      </c>
      <c r="P28" s="11" t="inlineStr">
        <is>
          <t>Real-time weather-routing/voyage-optimization data platform — a pure 'performance through data' story that parallels F1's own telemetry-driven optimization culture, pitched via parent Alfa Laval's marine-tech portfolio.</t>
        </is>
      </c>
      <c r="Q28" s="11" t="inlineStr">
        <is>
          <t>parent: Alfa Laval (public); standalone revenue figure is a single unverified estimate (subsidiary, no separate financial disclosure)</t>
        </is>
      </c>
      <c r="R28" s="11" t="inlineStr">
        <is>
          <t>verified-existing</t>
        </is>
      </c>
      <c r="S28" s="11" t="inlineStr">
        <is>
          <t>2026-09-28</t>
        </is>
      </c>
    </row>
    <row r="29">
      <c r="A29" s="11" t="n">
        <v>26</v>
      </c>
      <c r="B29" s="11" t="n">
        <v>64</v>
      </c>
      <c r="C29" s="11" t="inlineStr">
        <is>
          <t>Yamaha Marine (Yamaha Motor Co.)</t>
        </is>
      </c>
      <c r="D29" s="11" t="inlineStr">
        <is>
          <t>marine.yamaha-motor.com</t>
        </is>
      </c>
      <c r="E29" s="11" t="inlineStr">
        <is>
          <t>Japan</t>
        </is>
      </c>
      <c r="F29" s="11" t="inlineStr">
        <is>
          <t>Division of Yamaha Motor Co., Ltd. (public, Tokyo Stock Exchange, 7272.T); historical Yamaha F1 engine supply (Brabham/Jordan/Tyrrell) ended 1997 — no current F1 tie; Yamaha does sponsor MotoGP (different series, not a grid conflict)</t>
        </is>
      </c>
      <c r="G29" s="11" t="inlineStr">
        <is>
          <t>marine engines &amp; watercraft (outboards, personal watercraft, boats)</t>
        </is>
      </c>
      <c r="H29" s="11" t="inlineStr">
        <is>
          <t>10k+</t>
        </is>
      </c>
      <c r="I29" s="11" t="inlineStr">
        <is>
          <t>Parent TTM revenue $16.81B as of Aug 2026 (source: market data aggregator via WebSearch, retrieved Sep 2026); marine-division revenue not broken out separately — clears &gt;$100M bar at parent level</t>
        </is>
      </c>
      <c r="J29" s="11" t="inlineStr">
        <is>
          <t>Parent market cap ~$12.0B as of Aug 2026 (figures ranged $7.4-12.0B across 2026 dates per multiple sources) — clears &gt;$1B bar</t>
        </is>
      </c>
      <c r="K29" s="11" t="inlineStr">
        <is>
          <t>N/A (public parent company, no funding round)</t>
        </is>
      </c>
      <c r="L29" s="11" t="inlineStr">
        <is>
          <t>exceeds - mega-brand</t>
        </is>
      </c>
      <c r="M29" s="11" t="n">
        <v>4</v>
      </c>
      <c r="N29" s="11" t="inlineStr">
        <is>
          <t>Stretch</t>
        </is>
      </c>
      <c r="O29" s="11" t="inlineStr">
        <is>
          <t>No current F1 tie (1990s Yamaha F1 engine program ended 1997, and current MotoGP sponsorship is a different series, not a grid conflict); parent financials clear both hard bars by wide margins, but the marine division's own revenue/valuation are not independently disclosed, a real reservation.</t>
        </is>
      </c>
      <c r="P29" s="11" t="inlineStr">
        <is>
          <t>Racing-derived marine engine technology (motorsport heritage brand) targeting affluent recreational boaters — a performance/technology story for an open marine-engine category, distinct from Yamaha's historic 1990s F1 chapter.</t>
        </is>
      </c>
      <c r="Q29" s="11" t="inlineStr">
        <is>
          <t>parent: Yamaha Motor Co. (division revenue/valuation not broken out separately); historical (1990s) F1 engine supplier, no current tie</t>
        </is>
      </c>
      <c r="R29" s="11" t="inlineStr">
        <is>
          <t>verified-existing</t>
        </is>
      </c>
      <c r="S29" s="11" t="inlineStr">
        <is>
          <t>2026-09-28</t>
        </is>
      </c>
    </row>
    <row r="30">
      <c r="A30" s="11" t="n">
        <v>27</v>
      </c>
      <c r="B30" s="11" t="n">
        <v>64</v>
      </c>
      <c r="C30" s="11" t="inlineStr">
        <is>
          <t>Kpler</t>
        </is>
      </c>
      <c r="D30" s="11" t="inlineStr">
        <is>
          <t>kpler.com</t>
        </is>
      </c>
      <c r="E30" s="11" t="inlineStr">
        <is>
          <t>Brussels, Belgium</t>
        </is>
      </c>
      <c r="F30" s="11" t="inlineStr">
        <is>
          <t>PE/VC-backed - management remains majority owner; Insight Partners (shareholder since Apr 2022) remains, Five Arrows is exiting, Sixth Street entering as new minority investor</t>
        </is>
      </c>
      <c r="G30" s="11" t="inlineStr">
        <is>
          <t>Maritime &amp; commodities trade data analytics (SaaS)</t>
        </is>
      </c>
      <c r="H30" s="11" t="inlineStr">
        <is>
          <t>201-1k</t>
        </is>
      </c>
      <c r="I30" s="11" t="inlineStr">
        <is>
          <t>ARR ~$150-200M (2024-25 est, following MarineTraffic/FleetMon consolidation) - clears the $100M/ARR bar</t>
        </is>
      </c>
      <c r="J30" s="11" t="inlineStr">
        <is>
          <t>Up to ~$5B in a minority stake sale process (Apr 2026, Baird Maritime); Sixth Street's &gt;$1B minority growth-equity investment closed 3 Jun 2026 at that valuation level - both well above the $1B bar</t>
        </is>
      </c>
      <c r="K30" s="11" t="inlineStr">
        <is>
          <t>&gt;$1B minority growth-equity investment from Sixth Street, announced 3 June 2026 (~3 months before this review) - well within 18 months and clearly for growth/expansion</t>
        </is>
      </c>
      <c r="L30" s="11" t="inlineStr">
        <is>
          <t>meets parameters</t>
        </is>
      </c>
      <c r="M30" s="11" t="n">
        <v>4</v>
      </c>
      <c r="N30" s="11" t="inlineStr">
        <is>
          <t>Stretch</t>
        </is>
      </c>
      <c r="O30" s="11" t="inlineStr">
        <is>
          <t>Hard filters pass strongly (ARR ~$150-200M, ~$5B valuation via a live 2026 investment round, fresh $1B+ raise 3 months ago for growth, no F1 conflicts, not state-owned) but the PE-owned 4+ years condition (Insight Partners since 2022) is an explicit reservation that caps the verdict.</t>
        </is>
      </c>
      <c r="P30" s="11" t="inlineStr">
        <is>
          <t>Real-time global intelligence story - Kpler's AIS/satellite platform tracks 660,000+ vessels live, pairing naturally with F1's own data-and-telemetry brand positioning.</t>
        </is>
      </c>
      <c r="Q30" s="11" t="inlineStr">
        <is>
          <t>PE-owned 4+ years (Insight Partners has held a stake since April 2022)</t>
        </is>
      </c>
      <c r="R30" s="11" t="inlineStr">
        <is>
          <t>verified-existing</t>
        </is>
      </c>
      <c r="S30" s="11" t="inlineStr">
        <is>
          <t>2026-09-28</t>
        </is>
      </c>
    </row>
    <row r="31">
      <c r="A31" s="11" t="n">
        <v>28</v>
      </c>
      <c r="B31" s="11" t="n">
        <v>64</v>
      </c>
      <c r="C31" s="11" t="inlineStr">
        <is>
          <t>Wallem Group</t>
        </is>
      </c>
      <c r="D31" s="11" t="inlineStr">
        <is>
          <t>wallem.com</t>
        </is>
      </c>
      <c r="E31" s="11" t="inlineStr">
        <is>
          <t>Hong Kong</t>
        </is>
      </c>
      <c r="F31" s="11" t="inlineStr">
        <is>
          <t>Family-owned (private) — returned to Wallem family control via Tom Steckmest (great-grandson of founder) with investor partner Nigel Hill; no state ties</t>
        </is>
      </c>
      <c r="G31" s="11" t="inlineStr">
        <is>
          <t>Ship management, agency &amp; crew management; manages 103 vessels via 47 offices in 18 countries</t>
        </is>
      </c>
      <c r="H31" s="11" t="inlineStr">
        <is>
          <t>1k-5k</t>
        </is>
      </c>
      <c r="I31" s="11" t="inlineStr">
        <is>
          <t>Not disclosed/unconfirmed — third-party estimates conflict widely: ~$300M (RocketReach, 2026) vs ~$100-500M (Owler) vs an implausible $10B+ (LeadIQ, 2026); no primary-source figure found</t>
        </is>
      </c>
      <c r="J31" s="11" t="inlineStr">
        <is>
          <t>Not disclosed — family-owned; would pass on revenue alone in principle, but the underlying revenue itself is unconfirmed</t>
        </is>
      </c>
      <c r="K31" s="11" t="inlineStr">
        <is>
          <t>n/a (family/private, with investor partner Nigel Hill; no disclosed raise)</t>
        </is>
      </c>
      <c r="L31" s="11" t="inlineStr">
        <is>
          <t>meets parameters</t>
        </is>
      </c>
      <c r="M31" s="11" t="n">
        <v>4</v>
      </c>
      <c r="N31" s="11" t="inlineStr">
        <is>
          <t>Stretch</t>
        </is>
      </c>
      <c r="O31" s="11" t="inlineStr">
        <is>
          <t>The family-owned exception would cover the missing valuation, but the underlying revenue figure itself is unconfirmed — third-party estimates range from ~$100M to $500M+ with no primary source, so the &gt;$100M bar cannot be confirmed with confidence. All other checks (headcount 1,500+, ownership, no F1 ties, broad multi-country shipowner client base) pass cleanly; fit score 4.</t>
        </is>
      </c>
      <c r="P31" s="11" t="inlineStr">
        <is>
          <t>123-year maritime heritage plus 18-country global reach — a 'century of performance' narrative; open ship-management/logistics category on the grid.</t>
        </is>
      </c>
      <c r="Q31" s="11" t="inlineStr">
        <is>
          <t>family-owned, no published valuation; uncertain revenue estimate (third-party sources conflict, no primary source)</t>
        </is>
      </c>
      <c r="R31" s="11" t="inlineStr">
        <is>
          <t>verified-existing</t>
        </is>
      </c>
      <c r="S31" s="11" t="inlineStr">
        <is>
          <t>2026-09-28</t>
        </is>
      </c>
    </row>
    <row r="32">
      <c r="A32" s="11" t="n">
        <v>29</v>
      </c>
      <c r="B32" s="11" t="n">
        <v>64</v>
      </c>
      <c r="C32" s="11" t="inlineStr">
        <is>
          <t>Genco Shipping &amp; Trading</t>
        </is>
      </c>
      <c r="D32" s="11" t="inlineStr">
        <is>
          <t>gencoshipping.com</t>
        </is>
      </c>
      <c r="E32" s="11" t="inlineStr">
        <is>
          <t>USA</t>
        </is>
      </c>
      <c r="F32" s="11" t="inlineStr">
        <is>
          <t>Public (NYSE: GNK); no state or sanctions ties</t>
        </is>
      </c>
      <c r="G32" s="11" t="inlineStr">
        <is>
          <t>Dry bulk shipping (drybulk vessel owner-operator)</t>
        </is>
      </c>
      <c r="H32" s="11" t="inlineStr">
        <is>
          <t>51-200</t>
        </is>
      </c>
      <c r="I32" s="11" t="inlineStr">
        <is>
          <t>$342.1M FY2025 (TipRanks, reported 2026)</t>
        </is>
      </c>
      <c r="J32" s="11" t="inlineStr">
        <is>
          <t>Market cap ~$1.01-1.14B as of Sept 2026 (stockanalysis.com/MacroTrends), up from ~$812M Dec 2025 — GNK +50.8% over the past year, only recently crossed $1B; thin margin on the bar</t>
        </is>
      </c>
      <c r="K32" s="11" t="inlineStr">
        <is>
          <t>n/a (public company; no recent equity raise identified)</t>
        </is>
      </c>
      <c r="L32" s="11" t="inlineStr">
        <is>
          <t>meets parameters</t>
        </is>
      </c>
      <c r="M32" s="11" t="n">
        <v>4</v>
      </c>
      <c r="N32" s="11" t="inlineStr">
        <is>
          <t>Stretch</t>
        </is>
      </c>
      <c r="O32" s="11" t="inlineStr">
        <is>
          <t>Market cap ~$1.01-1.14B (Sept 2026) only recently crossed the $1B bar (was ~$812M as of Dec 2025) — a thin-margin reservation on the valuation bar; revenue $342.1M clears its bar comfortably, but FY2025 net income was slightly negative (-$4.4M) despite positive operating income, another capacity-to-spend caveat, partly offset by the stock's +50.8% YoY run. All other checks pass; fit score 4.</t>
        </is>
      </c>
      <c r="P32" s="11" t="inlineStr">
        <is>
          <t>Dry-bulk cyclical-recovery and modern/eco-fleet story riding the sector upswing; open shipping category on the grid.</t>
        </is>
      </c>
      <c r="Q32" s="11" t="inlineStr">
        <is>
          <t>market cap thin, only recently crossed the $1B threshold; FY2025 net income -$4.4M despite positive operating income — thin margin</t>
        </is>
      </c>
      <c r="R32" s="11" t="inlineStr">
        <is>
          <t>verified-existing</t>
        </is>
      </c>
      <c r="S32" s="11" t="inlineStr">
        <is>
          <t>2026-09-28</t>
        </is>
      </c>
    </row>
    <row r="33">
      <c r="A33" s="11" t="n">
        <v>30</v>
      </c>
      <c r="B33" s="11" t="n">
        <v>58</v>
      </c>
      <c r="C33" s="11" t="inlineStr">
        <is>
          <t>Associated British Ports (ABP)</t>
        </is>
      </c>
      <c r="D33" s="11" t="inlineStr">
        <is>
          <t>abports.co.uk</t>
        </is>
      </c>
      <c r="E33" s="11" t="inlineStr">
        <is>
          <t>UK</t>
        </is>
      </c>
      <c r="F33" s="11" t="inlineStr">
        <is>
          <t>Infrastructure/pension-fund owned (private) — CPPIB ~34%, OMERS ~33%, plus other institutional investors; funds reported (Feb 2026) to be exploring a sale valuing ABP at &gt;£10B ($13.6B); no majority sovereign/royal state ownership</t>
        </is>
      </c>
      <c r="G33" s="11" t="inlineStr">
        <is>
          <t>port operator (21 UK ports, ~25% of UK seaborne trade)</t>
        </is>
      </c>
      <c r="H33" s="11" t="inlineStr">
        <is>
          <t>1k-5k</t>
        </is>
      </c>
      <c r="I33" s="11" t="inlineStr">
        <is>
          <t>£792.5M (~$1.0B) FY2025 revenue per ABP's filed accounts (source: abports.co.uk 2025 signed accounts PDF, retrieved Sep 2026) — clears &gt;$100M bar</t>
        </is>
      </c>
      <c r="J33" s="11" t="inlineStr">
        <is>
          <t>Sale process reported valuing ABP at &gt;£10B (~$13.6B) as of Feb 2026 (source: WorldCargoNews/MarketScreener citing FT, retrieved Sep 2026) — clears &gt;$1B bar (deal not yet finalized, figure is a reported target)</t>
        </is>
      </c>
      <c r="K33" s="11" t="inlineStr">
        <is>
          <t>N/A (not VC-backed; CPPIB/OMERS reportedly exploring a &gt;£10B stake sale as of Feb 2026, not yet completed)</t>
        </is>
      </c>
      <c r="L33" s="11" t="inlineStr">
        <is>
          <t>exceeds - mega-brand</t>
        </is>
      </c>
      <c r="M33" s="11" t="n">
        <v>3</v>
      </c>
      <c r="N33" s="11" t="inlineStr">
        <is>
          <t>Stretch</t>
        </is>
      </c>
      <c r="O33" s="11" t="inlineStr">
        <is>
          <t>No F1 tie found; revenue and reported sale valuation clear both hard bars, but the valuation is a pending/unfinalized sale-process figure and the operating footprint is UK-only (weaker cross-market fit), both real reservations even though fit score (3) still clears the bar.</t>
        </is>
      </c>
      <c r="P33" s="11" t="inlineStr">
        <is>
          <t>UK's largest port operator handling a quarter of the nation's seaborne trade — a 'gateway to global trade' national-infrastructure story, timed around a British Grand Prix / UK market angle.</t>
        </is>
      </c>
      <c r="Q33" s="11" t="inlineStr">
        <is>
          <t>institutional/infrastructure-fund owned (CPPIB, OMERS); ownership sale process underway as of Feb 2026, could change hands</t>
        </is>
      </c>
      <c r="R33" s="11" t="inlineStr">
        <is>
          <t>verified-existing</t>
        </is>
      </c>
      <c r="S33" s="11" t="inlineStr">
        <is>
          <t>2026-09-28</t>
        </is>
      </c>
    </row>
    <row r="34">
      <c r="A34" s="11" t="n">
        <v>31</v>
      </c>
      <c r="B34" s="11" t="n">
        <v>58</v>
      </c>
      <c r="C34" s="11" t="inlineStr">
        <is>
          <t>Yang Ming Marine Transport</t>
        </is>
      </c>
      <c r="D34" s="11" t="inlineStr">
        <is>
          <t>yangming.com</t>
        </is>
      </c>
      <c r="E34" s="11" t="inlineStr">
        <is>
          <t>Keelung, Taiwan</t>
        </is>
      </c>
      <c r="F34" s="11" t="inlineStr">
        <is>
          <t>Publicly listed (TWSE: 2609); Taiwan government minority stake ~14% via National Development Fund/MOTC (Simply Wall St/MarketScreener, Sept 2026)</t>
        </is>
      </c>
      <c r="G34" s="11" t="inlineStr">
        <is>
          <t>Container shipping</t>
        </is>
      </c>
      <c r="H34" s="11" t="inlineStr">
        <is>
          <t>1k-5k</t>
        </is>
      </c>
      <c r="I34" s="11" t="inlineStr">
        <is>
          <t>TTM revenue ~$5.24B as of 31 Dec 2025; H1 2026 revenue $2.68B (stockanalysis.com, Sept 2026)</t>
        </is>
      </c>
      <c r="J34" s="11" t="inlineStr">
        <is>
          <t>Market cap ~$5.73B as of 8 Jun 2026 (stockanalysis.com, Sept 2026)</t>
        </is>
      </c>
      <c r="K34" s="11" t="inlineStr">
        <is>
          <t>N/A - public company; profitable, H1 2026 net profit ~$230M (Port Technology International, Sept 2026)</t>
        </is>
      </c>
      <c r="L34" s="11" t="inlineStr">
        <is>
          <t>meets parameters</t>
        </is>
      </c>
      <c r="M34" s="11" t="n">
        <v>3</v>
      </c>
      <c r="N34" s="11" t="inlineStr">
        <is>
          <t>Stretch</t>
        </is>
      </c>
      <c r="O34" s="11" t="inlineStr">
        <is>
          <t>Hard filters pass cleanly (revenue $5.24B, market cap $5.73B, profitable, no F1 conflicts, headcount 3,000+, broad customer base across global trade lanes) but the minority state-ownership stake (~14%, Taiwan NDF) is an explicit reservation that caps the verdict.</t>
        </is>
      </c>
      <c r="P34" s="11" t="inlineStr">
        <is>
          <t>Global trade-connectivity narrative - container shipping as the backbone of goods movement, paired with a Taiwan/APAC market-access story as F1 grows its Asia-Pacific footprint.</t>
        </is>
      </c>
      <c r="Q34" s="11" t="inlineStr">
        <is>
          <t>minority Taiwan government stake (~14%, National Development Fund/MOTC)</t>
        </is>
      </c>
      <c r="R34" s="11" t="inlineStr">
        <is>
          <t>verified-existing</t>
        </is>
      </c>
      <c r="S34" s="11" t="inlineStr">
        <is>
          <t>2026-09-28</t>
        </is>
      </c>
    </row>
    <row r="35">
      <c r="A35" s="11" t="n">
        <v>32</v>
      </c>
      <c r="B35" s="11" t="n">
        <v>58</v>
      </c>
      <c r="C35" s="11" t="inlineStr">
        <is>
          <t>Bernhard Schulte Shipmanagement</t>
        </is>
      </c>
      <c r="D35" s="11" t="inlineStr">
        <is>
          <t>bs-shipmanagement.com</t>
        </is>
      </c>
      <c r="E35" s="11" t="inlineStr">
        <is>
          <t>Hamburg, Germany / Limassol, Cyprus (Schulte Group)</t>
        </is>
      </c>
      <c r="F35" s="11" t="inlineStr">
        <is>
          <t>Family-owned (Schulte family), private</t>
        </is>
      </c>
      <c r="G35" s="11" t="inlineStr">
        <is>
          <t>Third-party ship management (technical, crew, fleet management)</t>
        </is>
      </c>
      <c r="H35" s="11" t="inlineStr">
        <is>
          <t>10k+</t>
        </is>
      </c>
      <c r="I35" s="11" t="inlineStr">
        <is>
          <t>ZoomInfo reports $7.3B (sourced Aug 2026), but this figure's methodology is unclear for a fee-based management business; independently, ~700 managed vessels at typical technical-management fees (~$200-500K/vessel/yr) implies at least ~$150-350M/yr in service-fee revenue (est) - clears $100M either way</t>
        </is>
      </c>
      <c r="J35" s="11" t="inlineStr">
        <is>
          <t>Not disclosed; family-owned - passes on revenue alone per policy</t>
        </is>
      </c>
      <c r="K35" s="11" t="inlineStr">
        <is>
          <t>N/A - family-owned, no external funding</t>
        </is>
      </c>
      <c r="L35" s="11" t="inlineStr">
        <is>
          <t>meets parameters</t>
        </is>
      </c>
      <c r="M35" s="11" t="n">
        <v>3</v>
      </c>
      <c r="N35" s="11" t="inlineStr">
        <is>
          <t>Stretch</t>
        </is>
      </c>
      <c r="O35" s="11" t="inlineStr">
        <is>
          <t>Hard filters plausibly pass (headcount 10k+, family ownership exempts valuation, no F1 conflicts, no distress signals, stable 140+ year business) but the revenue figure carries real uncertainty - the only external estimate found ($7.3B) could not be corroborated against audited financials for a fee-based management business.</t>
        </is>
      </c>
      <c r="P35" s="11" t="inlineStr">
        <is>
          <t>Precision fleet operations at global scale - manages 700+ vessels across every ocean, echoing F1's 'precision under pressure' logistics story across 24 global race weeks.</t>
        </is>
      </c>
      <c r="Q35" s="11" t="inlineStr">
        <is>
          <t>family-owned, no published valuation; fee-based revenue model - the only third-party revenue figure found ($7.3B) is unverified and looks high for this business type</t>
        </is>
      </c>
      <c r="R35" s="11" t="inlineStr">
        <is>
          <t>verified-existing</t>
        </is>
      </c>
      <c r="S35" s="11" t="inlineStr">
        <is>
          <t>2026-09-28</t>
        </is>
      </c>
    </row>
    <row r="36">
      <c r="A36" s="11" t="n">
        <v>33</v>
      </c>
      <c r="B36" s="11" t="n">
        <v>58</v>
      </c>
      <c r="C36" s="11" t="inlineStr">
        <is>
          <t>Anglo-Eastern Ship Management</t>
        </is>
      </c>
      <c r="D36" s="11" t="inlineStr">
        <is>
          <t>angloeastern.com</t>
        </is>
      </c>
      <c r="E36" s="11" t="inlineStr">
        <is>
          <t>Hong Kong</t>
        </is>
      </c>
      <c r="F36" s="11" t="inlineStr">
        <is>
          <t>private; founding shareholders/management plus a minority stake held by A.P. Moller Holding (Danish private family holding company, not state)</t>
        </is>
      </c>
      <c r="G36" s="11" t="inlineStr">
        <is>
          <t>third-party technical ship &amp; crew management</t>
        </is>
      </c>
      <c r="H36" s="11" t="inlineStr">
        <is>
          <t>1k-5k</t>
        </is>
      </c>
      <c r="I36" s="11" t="inlineStr">
        <is>
          <t>not publicly disclosed; est. well above $100M based on scale - 750+ vessels under management, one of the world's largest independent ship managers (Lloyd's List Top 10 Shipmanagers 2025) (est)</t>
        </is>
      </c>
      <c r="J36" s="11" t="inlineStr">
        <is>
          <t>not disclosed (private)</t>
        </is>
      </c>
      <c r="K36" s="11" t="inlineStr">
        <is>
          <t>N/A - stable private ownership since 1974; no recent capital raise identified</t>
        </is>
      </c>
      <c r="L36" s="11" t="inlineStr">
        <is>
          <t>meets parameters</t>
        </is>
      </c>
      <c r="M36" s="11" t="n">
        <v>3</v>
      </c>
      <c r="N36" s="11" t="inlineStr">
        <is>
          <t>Stretch</t>
        </is>
      </c>
      <c r="O36" s="11" t="inlineStr">
        <is>
          <t>Hard filters plausibly pass on best available evidence (private company, no disclosed financials; est. revenue well above $100M given 750+ vessels under third-party management and ~2,500+ shore staff, per Lloyd's List Top 10 Shipmanagers 2025) but the revenue figure is an estimate, not a confirmed disclosed number - real reservation on confirmability.</t>
        </is>
      </c>
      <c r="P36" s="11" t="inlineStr">
        <is>
          <t>World's largest independent third-party ship manager - 'precision fleet management at global scale' angle tied to F1's own operational-excellence/data-driven-performance story; open category on the grid.</t>
        </is>
      </c>
      <c r="Q36" s="11" t="inlineStr">
        <is>
          <t>revenue not publicly disclosed - estimated from fleet scale, not a confirmed figure; minority stake held by A.P. Moller Holding (private Danish family holding company, not state-linked)</t>
        </is>
      </c>
      <c r="R36" s="11" t="inlineStr">
        <is>
          <t>verified-existing</t>
        </is>
      </c>
      <c r="S36" s="11" t="inlineStr">
        <is>
          <t>2026-09-28</t>
        </is>
      </c>
    </row>
    <row r="37">
      <c r="A37" s="11" t="n">
        <v>34</v>
      </c>
      <c r="B37" s="11" t="n">
        <v>58</v>
      </c>
      <c r="C37" s="11" t="inlineStr">
        <is>
          <t>d'Amico International Shipping</t>
        </is>
      </c>
      <c r="D37" s="11" t="inlineStr">
        <is>
          <t>damicointernationalshipping.com</t>
        </is>
      </c>
      <c r="E37" s="11" t="inlineStr">
        <is>
          <t>Italy/Luxembourg (listed Milan &amp; Oslo)</t>
        </is>
      </c>
      <c r="F37" s="11" t="inlineStr">
        <is>
          <t>public (Borsa Italiana &amp; Oslo Bors: DIS), d'Amico family-controlled</t>
        </is>
      </c>
      <c r="G37" s="11" t="inlineStr">
        <is>
          <t>product tanker shipping</t>
        </is>
      </c>
      <c r="H37" s="11" t="inlineStr">
        <is>
          <t>1k-5k</t>
        </is>
      </c>
      <c r="I37" s="11" t="inlineStr">
        <is>
          <t>FY2025 net revenue $346.53M (down 29% YoY from $488.22M in 2024); H1 2026 net revenue $157.4M vs $132.2M in H1 2025 (stockanalysis.com, Baird Maritime, investing.com, Aug-Sep 2026)</t>
        </is>
      </c>
      <c r="J37" s="11" t="inlineStr">
        <is>
          <t>market cap ~$1.05B as of Aug 21, 2026 (stockanalysis.com)</t>
        </is>
      </c>
      <c r="K37" s="11" t="inlineStr">
        <is>
          <t>N/A - public company; H1 2026 net profit $79.4M (vs $38.5M H1 2025), moved to net cash position (Baird Maritime, Sep 2026)</t>
        </is>
      </c>
      <c r="L37" s="11" t="inlineStr">
        <is>
          <t>meets parameters</t>
        </is>
      </c>
      <c r="M37" s="11" t="n">
        <v>3</v>
      </c>
      <c r="N37" s="11" t="inlineStr">
        <is>
          <t>Stretch</t>
        </is>
      </c>
      <c r="O37" s="11" t="inlineStr">
        <is>
          <t>Hard filters pass on latest data (FY2025 revenue $346.53M &gt; $100M; market cap ~$1.05B &gt; $1B as of Aug 2026; profitable and improving in H1 2026) but the market-cap margin over the $1B bar is thin and freight-rate cyclicality creates real valuation volatility risk.</t>
        </is>
      </c>
      <c r="P37" s="11" t="inlineStr">
        <is>
          <t>H1 2026 profit doubled on record spot tanker rates (Baird Maritime/investing.com) - cyclical-outperformer momentum story; family-controlled public shipowner with global reach and an open F1 category.</t>
        </is>
      </c>
      <c r="Q37" s="11" t="inlineStr">
        <is>
          <t>market cap sits only marginally above the $1B threshold (~$1.05B, Aug 2026); FY2025 revenue declined -29% YoY on softer freight rates, though H1 2026 shows a strong rebound (net profit +106% YoY)</t>
        </is>
      </c>
      <c r="R37" s="11" t="inlineStr">
        <is>
          <t>verified-existing</t>
        </is>
      </c>
      <c r="S37" s="11" t="inlineStr">
        <is>
          <t>2026-09-28</t>
        </is>
      </c>
    </row>
    <row r="38">
      <c r="A38" s="11" t="n">
        <v>35</v>
      </c>
      <c r="B38" s="11" t="n">
        <v>52</v>
      </c>
      <c r="C38" s="11" t="inlineStr">
        <is>
          <t>Bunker Holding Group</t>
        </is>
      </c>
      <c r="D38" s="11" t="inlineStr">
        <is>
          <t>bunker-holding.com</t>
        </is>
      </c>
      <c r="E38" s="11" t="inlineStr">
        <is>
          <t>Denmark</t>
        </is>
      </c>
      <c r="F38" s="11" t="inlineStr">
        <is>
          <t>Family-owned (Østergaard-Nielsen family, via USTC Group)</t>
        </is>
      </c>
      <c r="G38" s="11" t="inlineStr">
        <is>
          <t>marine fuel trading &amp; bunkering</t>
        </is>
      </c>
      <c r="H38" s="11" t="inlineStr">
        <is>
          <t>1k-5k</t>
        </is>
      </c>
      <c r="I38" s="11" t="inlineStr">
        <is>
          <t>USTC Group turnover &gt;DKK 109B (~$15.8B) FY2024/2025 (ustc.dk / Manifold Times); Bunker Holding subsidiary reported $46M pre-tax profit for FY2024/2025 in a 'highly competitive and shifting market'</t>
        </is>
      </c>
      <c r="J38" s="11" t="inlineStr">
        <is>
          <t>No published valuation - family-owned, passes on revenue alone per protocol</t>
        </is>
      </c>
      <c r="K38" s="11" t="inlineStr">
        <is>
          <t>N/A - family-owned, no external equity raise identified</t>
        </is>
      </c>
      <c r="L38" s="11" t="inlineStr">
        <is>
          <t>exceeds - mega-brand</t>
        </is>
      </c>
      <c r="M38" s="11" t="n">
        <v>2</v>
      </c>
      <c r="N38" s="11" t="inlineStr">
        <is>
          <t>Stretch</t>
        </is>
      </c>
      <c r="O38" s="11" t="inlineStr">
        <is>
          <t>Hard filters pass on revenue alone (family-owned, group turnover ~$15.8B, no F1 conflicts, 1,300+ headcount) but fit is only 2/4 given the weak brand-technology story and category overlap with Aramco, plus recent margin volatility raising spend-capacity questions.</t>
        </is>
      </c>
      <c r="P38" s="11" t="inlineStr">
        <is>
          <t>Frame Bunker Holding/USTC as a global maritime energy-transition and logistics story (alternative marine fuels, worldwide port network) distinct from Aramco's automotive-fuel/petrochemicals partnership, targeting global trade decision-makers.</t>
        </is>
      </c>
      <c r="Q38" s="11" t="inlineStr">
        <is>
          <t>family-owned, no published valuation; USTC/Bunker Holding press describes a recent 'Annus Horribilis'/loss year amid margin volatility; marine-fuel/energy category overlaps with Aramco's existing F1 global partnership</t>
        </is>
      </c>
      <c r="R38" s="11" t="inlineStr">
        <is>
          <t>verified-existing</t>
        </is>
      </c>
      <c r="S38" s="11" t="inlineStr">
        <is>
          <t>2026-09-28</t>
        </is>
      </c>
    </row>
    <row r="39">
      <c r="A39" s="11" t="n">
        <v>36</v>
      </c>
      <c r="B39" s="11" t="n">
        <v>52</v>
      </c>
      <c r="C39" s="11" t="inlineStr">
        <is>
          <t>Chemoil (Glencore)</t>
        </is>
      </c>
      <c r="D39" s="11" t="inlineStr">
        <is>
          <t>chemoilenergy.com</t>
        </is>
      </c>
      <c r="E39" s="11" t="inlineStr">
        <is>
          <t>Singapore</t>
        </is>
      </c>
      <c r="F39" s="11" t="inlineStr">
        <is>
          <t>Wholly-owned subsidiary of Glencore plc (public, LSE: GLEN)</t>
        </is>
      </c>
      <c r="G39" s="11" t="inlineStr">
        <is>
          <t>Asian/Middle East bunker (marine) fuel supply and storage terminals</t>
        </is>
      </c>
      <c r="H39" s="11" t="inlineStr">
        <is>
          <t>201-1k (est)</t>
        </is>
      </c>
      <c r="I39" s="11" t="inlineStr">
        <is>
          <t>Not broken out separately; parent Glencore FY2025 revenue $247.54B, up 7.2% YoY (stockanalysis.com, reporting FY2025 results, 2026)</t>
        </is>
      </c>
      <c r="J39" s="11" t="inlineStr">
        <is>
          <t>Parent Glencore market cap ~$87-90B as of early 2026 (stockanalysis.com / companiesmarketcap.com, 2026)</t>
        </is>
      </c>
      <c r="K39" s="11" t="inlineStr">
        <is>
          <t>N/A - wholly-owned subsidiary of publicly traded Glencore plc; no independent funding round</t>
        </is>
      </c>
      <c r="L39" s="11" t="inlineStr">
        <is>
          <t>exceeds - mega-brand</t>
        </is>
      </c>
      <c r="M39" s="11" t="n">
        <v>2</v>
      </c>
      <c r="N39" s="11" t="inlineStr">
        <is>
          <t>Stretch</t>
        </is>
      </c>
      <c r="O39" s="11" t="inlineStr">
        <is>
          <t>Hard filters pass via parent Glencore (public, FY2025 revenue $247.5B, mkt cap ~$88B, no F1 conflict found, not state-owned); fit score is only 2 with a weak brand-story angle and a fuel/energy sponsor category that is already crowded on the 2026 grid.</t>
        </is>
      </c>
      <c r="P39" s="11" t="inlineStr">
        <is>
          <t>Position as marine decarbonization/sustainable-fuels technology story tied to Singapore GP host market (est), an open niche since no current F1 sponsor is a dedicated marine-bunker-fuel supplier.</t>
        </is>
      </c>
      <c r="Q39" s="11" t="inlineStr">
        <is>
          <t>parent: Glencore; revenue/valuation figures are parent-level only; Chemoil's own financials are not broken out; carried from triage: flagged as 'parent Glencore already in exclusion master' - reason not specified in this brief's criteria; no F1 sponsorship conflict for Glencore was found in search</t>
        </is>
      </c>
      <c r="R39" s="11" t="inlineStr">
        <is>
          <t>verified-existing</t>
        </is>
      </c>
      <c r="S39" s="11" t="inlineStr">
        <is>
          <t>2026-09-28</t>
        </is>
      </c>
    </row>
    <row r="40">
      <c r="A40" s="11" t="n">
        <v>37</v>
      </c>
      <c r="B40" s="11" t="n">
        <v>52</v>
      </c>
      <c r="C40" s="11" t="inlineStr">
        <is>
          <t>World Kinect (World Fuel Services, Marine)</t>
        </is>
      </c>
      <c r="D40" s="11" t="inlineStr">
        <is>
          <t>worldkinect.com</t>
        </is>
      </c>
      <c r="E40" s="11" t="inlineStr">
        <is>
          <t>USA</t>
        </is>
      </c>
      <c r="F40" s="11" t="inlineStr">
        <is>
          <t>Marine segment of publicly traded World Kinect Corporation (NYSE: WKC); not state-owned</t>
        </is>
      </c>
      <c r="G40" s="11" t="inlineStr">
        <is>
          <t>Global marine fuel supply and logistics (segment of a broader aviation/marine/land energy management company)</t>
        </is>
      </c>
      <c r="H40" s="11" t="inlineStr">
        <is>
          <t>1k-5k (est) - parent 4,003 employees as of Dec 31, 2025, down 15.6% YoY (stockanalysis.com, FY2025 10-K data, 2026)</t>
        </is>
      </c>
      <c r="I40" s="11" t="inlineStr">
        <is>
          <t>Marine segment not broken out; parent World Kinect Corp FY2025 revenue ~$40-42B; TTM revenue $40.66B as of mid-2025 (stockanalysis.com, 2025-2026)</t>
        </is>
      </c>
      <c r="J40" s="11" t="inlineStr">
        <is>
          <t>Parent market cap ~$2.04B as of July 2026 (stockanalysis.com, 2026)</t>
        </is>
      </c>
      <c r="K40" s="11" t="inlineStr">
        <is>
          <t>N/A - established NYSE-listed public company (WKC); no funding round. Completed acquisition of Universal Weather and Aviation's Trip Support Services, Nov 2025</t>
        </is>
      </c>
      <c r="L40" s="11" t="inlineStr">
        <is>
          <t>meets parameters</t>
        </is>
      </c>
      <c r="M40" s="11" t="n">
        <v>2</v>
      </c>
      <c r="N40" s="11" t="inlineStr">
        <is>
          <t>Stretch</t>
        </is>
      </c>
      <c r="O40" s="11" t="inlineStr">
        <is>
          <t>Hard filters pass at the parent level (revenue ~$40B, market cap ~$2.04B, no branded F1 sponsorship conflict, not state-owned, broad global customer base) but capacity-to-spend is a real reservation: FY2025 posted a GAAP net loss and heavy restructuring/headcount cuts, only recently turning around in 2026; fit score is 2 with a weak brand-story angle in an already-crowded fuel/energy sponsor category.</t>
        </is>
      </c>
      <c r="P40" s="11" t="inlineStr">
        <is>
          <t>Turnaround/global energy-transition story (record 2026 gross profit, portfolio simplification) paired with marine/aviation fuel logistics tie-ins at F1 host-city airports and ports (est); open niche since no dedicated marine/aviation fuel logistics sponsor is on the current grid.</t>
        </is>
      </c>
      <c r="Q40" s="11" t="inlineStr">
        <is>
          <t>parent underwent FY2025 restructuring: Q4 2025 GAAP net loss of $280M, $77M in restructuring/exit costs, headcount down 15.6% YoY, exited non-core Land segment businesses (UK, Brazil, parts of North America) - improving in Q1-Q2 2026 (raised EPS outlook, record gross profit) but recency of distress is a reservation; revenue/valuation are parent-level only; marine segment financials not broken out; existing operational vendor relationship: World Fuel Services supplied fuel/ground services to Henderson Executive and North Las Vegas airports supporting the 2023 Las Vegas GP - a logistics vendor role, not a branded F1/team/series sponsorship, so not treated as a disqualifying tie</t>
        </is>
      </c>
      <c r="R40" s="11" t="inlineStr">
        <is>
          <t>verified-existing</t>
        </is>
      </c>
      <c r="S40" s="11" t="inlineStr">
        <is>
          <t>2026-09-28</t>
        </is>
      </c>
    </row>
    <row r="41">
      <c r="A41" s="11" t="n">
        <v>38</v>
      </c>
      <c r="B41" s="11" t="n">
        <v>52</v>
      </c>
      <c r="C41" s="11" t="inlineStr">
        <is>
          <t>Peninsula Petroleum</t>
        </is>
      </c>
      <c r="D41" s="11" t="inlineStr">
        <is>
          <t>peninsulapetroleum.com</t>
        </is>
      </c>
      <c r="E41" s="11" t="inlineStr">
        <is>
          <t>Gibraltar/UK</t>
        </is>
      </c>
      <c r="F41" s="11" t="inlineStr">
        <is>
          <t>Founder-owned, private - founded and led by John A. Bassadone; no PE/VC ownership found</t>
        </is>
      </c>
      <c r="G41" s="11" t="inlineStr">
        <is>
          <t>Independent marine (bunker) fuel &amp; lubricant supplier</t>
        </is>
      </c>
      <c r="H41" s="11" t="inlineStr">
        <is>
          <t>201-1k</t>
        </is>
      </c>
      <c r="I41" s="11" t="inlineStr">
        <is>
          <t>World's #2 physical bunker supplier by volume, ~20M metric tons sold in 2025 (+11% YoY, after +24% in 2024) (Ship &amp; Bunker, Sept 2026); at prevailing bunker prices this implies multi-billion-dollar annual trading revenue (est) - clears $100M, though this is a volume-to-revenue estimate rather than a disclosed financial statement</t>
        </is>
      </c>
      <c r="J41" s="11" t="inlineStr">
        <is>
          <t>Not disclosed; founder-owned - treated like family-owned, passes on revenue/scale alone</t>
        </is>
      </c>
      <c r="K41" s="11" t="inlineStr">
        <is>
          <t>N/A - no external funding found; organic growth</t>
        </is>
      </c>
      <c r="L41" s="11" t="inlineStr">
        <is>
          <t>meets parameters</t>
        </is>
      </c>
      <c r="M41" s="11" t="n">
        <v>2</v>
      </c>
      <c r="N41" s="11" t="inlineStr">
        <is>
          <t>Stretch</t>
        </is>
      </c>
      <c r="O41" s="11" t="inlineStr">
        <is>
          <t>Hard filters plausibly pass (founder ownership exempts valuation; strong volume growth implies large revenue and capacity; no F1 conflicts; not state-owned) but fit is only 2 with a real category-overlap reservation against the fuel/energy space, and the revenue figure itself is an estimate rather than a disclosed number.</t>
        </is>
      </c>
      <c r="P41" s="11" t="inlineStr">
        <is>
          <t>Marine energy-transition story - position around Peninsula's move into lower-carbon/alternative marine fuels, differentiating from Aramco's crude-oil framing and echoing F1's own sustainable-fuel narrative.</t>
        </is>
      </c>
      <c r="Q41" s="11" t="inlineStr">
        <is>
          <t>revenue is a volume-to-dollar estimate, not an audited/disclosed figure; category overlap risk with existing F1 energy/fuel partner (Aramco)</t>
        </is>
      </c>
      <c r="R41" s="11" t="inlineStr">
        <is>
          <t>verified-existing</t>
        </is>
      </c>
      <c r="S41" s="11" t="inlineStr">
        <is>
          <t>2026-09-28</t>
        </is>
      </c>
    </row>
  </sheetData>
  <autoFilter ref="A3:S4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S17"/>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Batteries, EV, Waste &amp; Water — existing New-Sectors book, now verified — 14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"10 Batteries, EV, Waste &amp; Water".</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0" t="n">
        <v>1</v>
      </c>
      <c r="B4" s="10" t="n">
        <v>92</v>
      </c>
      <c r="C4" s="10" t="inlineStr">
        <is>
          <t>De Nora</t>
        </is>
      </c>
      <c r="D4" s="10" t="inlineStr">
        <is>
          <t>denora.com</t>
        </is>
      </c>
      <c r="E4" s="10" t="inlineStr">
        <is>
          <t>Italy</t>
        </is>
      </c>
      <c r="F4" s="10" t="inlineStr">
        <is>
          <t>public (Borsa Italiana: DNR) - De Nora family controls ~55%; Snam S.p.A. holds a minority ~16.6-21.9% stake (Snam is itself minority-linked to the Italian state via CDP Reti, ~29% of Snam)</t>
        </is>
      </c>
      <c r="G4" s="10" t="inlineStr">
        <is>
          <t>electrochemical &amp; water treatment technology, incl. hydrogen tech</t>
        </is>
      </c>
      <c r="H4" s="10" t="inlineStr">
        <is>
          <t>1k-5k</t>
        </is>
      </c>
      <c r="I4" s="10" t="inlineStr">
        <is>
          <t>€875M FY2025, +4.4% YoY constant FX (stockanalysis.com / company Q4 2025 results)</t>
        </is>
      </c>
      <c r="J4" s="10" t="inlineStr">
        <is>
          <t>market cap ~$1.32B as of Sep 2026 (stockanalysis.com)</t>
        </is>
      </c>
      <c r="K4" s="10" t="inlineStr">
        <is>
          <t>n/a (public company; IPO 2022)</t>
        </is>
      </c>
      <c r="L4" s="10" t="inlineStr">
        <is>
          <t>meets parameters</t>
        </is>
      </c>
      <c r="M4" s="10" t="n">
        <v>4</v>
      </c>
      <c r="N4" s="10" t="inlineStr">
        <is>
          <t>Yes</t>
        </is>
      </c>
      <c r="O4" s="10" t="inlineStr">
        <is>
          <t>All hard filters pass: no F1/motorsport conflicts found; FY2025 revenue €875M (&gt;$100M bar); market cap ~$1.32B (&gt;$1B bar, comfortable not razor-thin); headcount 2,065 (1k-5k band); majority family-controlled with only a minority (non-controlling) state-linked shareholder via Snam/CDP, profitable and growing (EBITDA margin 19.6%), broad industrial/utility customer base.</t>
        </is>
      </c>
      <c r="P4" s="10" t="inlineStr">
        <is>
          <t>Green-technology/hydrogen precision-engineering story - De Nora's electrochemical tech underpins the energy transition - paired with an open water/electrochemical-tech category on the 2026 grid.</t>
        </is>
      </c>
      <c r="Q4" s="10" t="inlineStr">
        <is>
          <t>minority indirect state linkage (Snam ~16-22% stake, itself ~29% CDP Reti/Italian-state-linked)</t>
        </is>
      </c>
      <c r="R4" s="10" t="inlineStr">
        <is>
          <t>verified-existing</t>
        </is>
      </c>
      <c r="S4" s="10" t="inlineStr">
        <is>
          <t>2026-09-28</t>
        </is>
      </c>
    </row>
    <row r="5">
      <c r="A5" s="10" t="n">
        <v>2</v>
      </c>
      <c r="B5" s="10" t="n">
        <v>92</v>
      </c>
      <c r="C5" s="10" t="inlineStr">
        <is>
          <t>Advanced Drainage Systems</t>
        </is>
      </c>
      <c r="D5" s="10" t="inlineStr">
        <is>
          <t>adspipe.com</t>
        </is>
      </c>
      <c r="E5" s="10" t="inlineStr">
        <is>
          <t>United States</t>
        </is>
      </c>
      <c r="F5" s="10" t="inlineStr">
        <is>
          <t>Public (NYSE: WMS); no state or sanctioned ownership</t>
        </is>
      </c>
      <c r="G5" s="10" t="inlineStr">
        <is>
          <t>Water management infrastructure (public)</t>
        </is>
      </c>
      <c r="H5" s="10" t="inlineStr">
        <is>
          <t>5k-10k</t>
        </is>
      </c>
      <c r="I5" s="10" t="inlineStr">
        <is>
          <t>$2,904.2M net sales, FY2025 (ended Mar 2025), +1.0% YoY (source: SEC 8-K / company release, May 2025)</t>
        </is>
      </c>
      <c r="J5" s="10" t="inlineStr">
        <is>
          <t>Market cap ~$9.57B (Sept 2026), up to $11.46B (Jun 2026) (source: StockAnalysis / MacroTrends, 2026)</t>
        </is>
      </c>
      <c r="K5" s="10" t="inlineStr">
        <is>
          <t>N/A (public company)</t>
        </is>
      </c>
      <c r="L5" s="10" t="inlineStr">
        <is>
          <t>exceeds - mega-brand</t>
        </is>
      </c>
      <c r="M5" s="10" t="n">
        <v>4</v>
      </c>
      <c r="N5" s="10" t="inlineStr">
        <is>
          <t>Yes</t>
        </is>
      </c>
      <c r="O5" s="10" t="inlineStr">
        <is>
          <t>All hard filters pass cleanly: revenue $2.9B, market cap ~$9.5-11B, profitable public company with no distress signals, no F1 conflicts found, diversified construction/infrastructure customer base, fit score 4.</t>
        </is>
      </c>
      <c r="P5" s="10" t="inlineStr">
        <is>
          <t>Climate-resilient infrastructure / engineering-performance story aligned with F1's sustainability push; open category, no water-management sponsor on the 2026 grid (est).</t>
        </is>
      </c>
      <c r="Q5" s="10" t="n"/>
      <c r="R5" s="10" t="inlineStr">
        <is>
          <t>verified-existing</t>
        </is>
      </c>
      <c r="S5" s="10" t="inlineStr">
        <is>
          <t>2026-09-28</t>
        </is>
      </c>
    </row>
    <row r="6">
      <c r="A6" s="10" t="n">
        <v>3</v>
      </c>
      <c r="B6" s="10" t="n">
        <v>84</v>
      </c>
      <c r="C6" s="10" t="inlineStr">
        <is>
          <t>SNF Group</t>
        </is>
      </c>
      <c r="D6" s="10" t="inlineStr">
        <is>
          <t>snf.com</t>
        </is>
      </c>
      <c r="E6" s="10" t="inlineStr">
        <is>
          <t>France</t>
        </is>
      </c>
      <c r="F6" s="10" t="inlineStr">
        <is>
          <t>family-owned (private) - founded 1978 by René Pich and Hubert Issaurat via MBO from W.R. Grace; remains family-controlled</t>
        </is>
      </c>
      <c r="G6" s="10" t="inlineStr">
        <is>
          <t>water treatment chemicals / polyacrylamide water-soluble polymers</t>
        </is>
      </c>
      <c r="H6" s="10" t="inlineStr">
        <is>
          <t>5k-10k</t>
        </is>
      </c>
      <c r="I6" s="10" t="inlineStr">
        <is>
          <t>~$5.0B (recent company/industry reporting, 2026)</t>
        </is>
      </c>
      <c r="J6" s="10" t="inlineStr">
        <is>
          <t>n/a - family-owned, no published valuation</t>
        </is>
      </c>
      <c r="K6" s="10" t="inlineStr">
        <is>
          <t>n/a (privately/family-financed)</t>
        </is>
      </c>
      <c r="L6" s="10" t="inlineStr">
        <is>
          <t>meets parameters</t>
        </is>
      </c>
      <c r="M6" s="10" t="n">
        <v>3</v>
      </c>
      <c r="N6" s="10" t="inlineStr">
        <is>
          <t>Yes</t>
        </is>
      </c>
      <c r="O6" s="10" t="inlineStr">
        <is>
          <t>All hard filters pass: no F1/motorsport conflicts found for SNF itself; revenue ~$5.0B far exceeds the $100M bar; family-owned with no published valuation passes on revenue alone per protocol; headcount 5,000-10,000; long-established, market-leading (world's largest polyacrylamide maker), no distress signals; diversified customer base across 130+ countries.</t>
        </is>
      </c>
      <c r="P6" s="10" t="inlineStr">
        <is>
          <t>Global water-technology leadership story, but positioned to clearly differentiate from BWT (already an F1 title-sponsor via BWT Alpine) - e.g. an industrial/heavy-process water-treatment angle (mining, oil &amp; gas, municipal infrastructure) rather than the consumer-facing water-filtration space BWT occupies.</t>
        </is>
      </c>
      <c r="Q6" s="10" t="inlineStr">
        <is>
          <t>family-owned, no published valuation</t>
        </is>
      </c>
      <c r="R6" s="10" t="inlineStr">
        <is>
          <t>verified-existing</t>
        </is>
      </c>
      <c r="S6" s="10" t="inlineStr">
        <is>
          <t>2026-09-28</t>
        </is>
      </c>
    </row>
    <row r="7">
      <c r="A7" s="10" t="n">
        <v>4</v>
      </c>
      <c r="B7" s="10" t="n">
        <v>84</v>
      </c>
      <c r="C7" s="10" t="inlineStr">
        <is>
          <t>Gradiant</t>
        </is>
      </c>
      <c r="D7" s="10" t="inlineStr">
        <is>
          <t>gradiant.com</t>
        </is>
      </c>
      <c r="E7" s="10" t="inlineStr">
        <is>
          <t>United States</t>
        </is>
      </c>
      <c r="F7" s="10" t="inlineStr">
        <is>
          <t>VC-backed (private) - Series E led by Safar Partners and Hostplus Superannuation Fund, w/ Builders VC, BHP Invent, ClearVision Ventures and ~24 total investors</t>
        </is>
      </c>
      <c r="G7" s="10" t="inlineStr">
        <is>
          <t>industrial water treatment technology (incl. AI/semiconductor-sector water infrastructure)</t>
        </is>
      </c>
      <c r="H7" s="10" t="inlineStr">
        <is>
          <t>1k-5k</t>
        </is>
      </c>
      <c r="I7" s="10" t="inlineStr">
        <is>
          <t>~$100M FY2024 growing to ~$150M+ FY2025, &gt;50% YoY growth (Gradiant 2025 Year in Review, company report)</t>
        </is>
      </c>
      <c r="J7" s="10" t="inlineStr">
        <is>
          <t>$2B post-money, Series E close May 18 2026 (Gradiant press release / Gulf Construction)</t>
        </is>
      </c>
      <c r="K7" s="10" t="inlineStr">
        <is>
          <t>Series E, $2B valuation, closed May 2026 - for AI/semiconductor and industrial water infrastructure expansion</t>
        </is>
      </c>
      <c r="L7" s="10" t="inlineStr">
        <is>
          <t>meets parameters</t>
        </is>
      </c>
      <c r="M7" s="10" t="n">
        <v>3</v>
      </c>
      <c r="N7" s="10" t="inlineStr">
        <is>
          <t>Yes</t>
        </is>
      </c>
      <c r="O7" s="10" t="inlineStr">
        <is>
          <t>All hard filters pass: no F1/motorsport conflicts found; revenue grew &gt;50% YoY to ~$150M+ in FY2025 off a ~$100M FY2024 base (clears both the revenue and growth hard bars); $2B valuation (May 2026 Series E, &gt;$1B bar); headcount 1,200 (1k-5k band, above the 51 minimum); VC-backed with a fresh raise (within the 18-month window) explicitly for expansion, and profitability up 4x (not pre-revenue, not distressed); genuinely global, diversified blue-chip customer base.</t>
        </is>
      </c>
      <c r="P7" s="10" t="inlineStr">
        <is>
          <t>Fast-growing water/AI-infrastructure unicorn story - the same digital-industrial themes (AI, semiconductors, data-center water needs) that map onto F1's technology narrative - positioned distinctly from BWT's consumer-facing water-filtration angle via an industrial/advanced-manufacturing water-tech story, timed to its high-growth momentum post-Series E.</t>
        </is>
      </c>
      <c r="Q7" s="10" t="inlineStr">
        <is>
          <t>minor minority investor: Hostplus Superannuation Fund (Australian pension fund) among Series E co-investors, not controlling</t>
        </is>
      </c>
      <c r="R7" s="10" t="inlineStr">
        <is>
          <t>verified-existing</t>
        </is>
      </c>
      <c r="S7" s="10" t="inlineStr">
        <is>
          <t>2026-09-28</t>
        </is>
      </c>
    </row>
    <row r="8">
      <c r="A8" s="11" t="n">
        <v>5</v>
      </c>
      <c r="B8" s="11" t="n">
        <v>58</v>
      </c>
      <c r="C8" s="11" t="inlineStr">
        <is>
          <t>Clarios</t>
        </is>
      </c>
      <c r="D8" s="11" t="inlineStr">
        <is>
          <t>clarios.com</t>
        </is>
      </c>
      <c r="E8" s="11" t="inlineStr">
        <is>
          <t>United States</t>
        </is>
      </c>
      <c r="F8" s="11" t="inlineStr">
        <is>
          <t>PE-owned - Brookfield (majority, since 2019 take-private from Johnson Controls) with CDPQ (Quebec public pension fund) as ~30% minority co-investor</t>
        </is>
      </c>
      <c r="G8" s="11" t="inlineStr">
        <is>
          <t>automotive &amp; industrial batteries (incl. OPTIMA performance/racing batteries)</t>
        </is>
      </c>
      <c r="H8" s="11" t="inlineStr">
        <is>
          <t>10k+</t>
        </is>
      </c>
      <c r="I8" s="11" t="inlineStr">
        <is>
          <t>$10.6B FY2025 (company reporting via stockanalysis.com/S-1 filings)</t>
        </is>
      </c>
      <c r="J8" s="11" t="inlineStr">
        <is>
          <t>PE-owned since $13.2B 2019 buyout; recent $5B debt raise (Jan 2025) for shareholder distribution implies EV well over $1B</t>
        </is>
      </c>
      <c r="K8" s="11" t="inlineStr">
        <is>
          <t>n/a (PE-owned; $5B first-lien debt raise Jan 2025, not equity growth capital)</t>
        </is>
      </c>
      <c r="L8" s="11" t="inlineStr">
        <is>
          <t>meets parameters</t>
        </is>
      </c>
      <c r="M8" s="11" t="n">
        <v>3</v>
      </c>
      <c r="N8" s="11" t="inlineStr">
        <is>
          <t>Stretch</t>
        </is>
      </c>
      <c r="O8" s="11" t="inlineStr">
        <is>
          <t>Hard filters pass (no confirmed direct F1/team/series sponsorship by Clarios found; revenue $10.6B and implied valuation far above bars; headcount ~18,000 in 10k+ band; profitable and not in distress). Real reservations: PE-owned 7 years (past the 4-year soft-flag threshold), the battery sponsorship category is already partly claimed on the grid (Duracell), and there is an unconfirmed but real brand-adjacency risk via Clarios's Ford Performance/Dakar partnership overlapping with Ford Performance's new Red Bull F1 powertrain program.</t>
        </is>
      </c>
      <c r="P8" s="11" t="inlineStr">
        <is>
          <t>"Powering Performance" - Clarios' OPTIMA racing-battery/motorsports platform is an organic bridge into F1's technology-and-performance story, positioned outside the already-claimed consumer-battery (Duracell) niche via an automotive-OEM/technology angle - pending a clean check that no Ford Performance/Red Bull Powertrains conflict exists.</t>
        </is>
      </c>
      <c r="Q8" s="11" t="inlineStr">
        <is>
          <t>PE-owned 4+ years (Brookfield since 2019, ~7 yrs); minority pension-fund stake (CDPQ ~30%); brand-adjacency risk: Clarios/OPTIMA sponsors Ford Performance's Dakar Rally program, and Ford Performance also operates Red Bull Ford Powertrains in F1 from 2026 (no confirmed direct Clarios-F1 tie found)</t>
        </is>
      </c>
      <c r="R8" s="11" t="inlineStr">
        <is>
          <t>verified-existing</t>
        </is>
      </c>
      <c r="S8" s="11" t="inlineStr">
        <is>
          <t>2026-09-28</t>
        </is>
      </c>
    </row>
    <row r="9">
      <c r="A9" s="11" t="n">
        <v>6</v>
      </c>
      <c r="B9" s="11" t="n">
        <v>58</v>
      </c>
      <c r="C9" s="11" t="inlineStr">
        <is>
          <t>GS Yuasa</t>
        </is>
      </c>
      <c r="D9" s="11" t="inlineStr">
        <is>
          <t>gs-yuasa.com</t>
        </is>
      </c>
      <c r="E9" s="11" t="inlineStr">
        <is>
          <t>Japan</t>
        </is>
      </c>
      <c r="F9" s="11" t="inlineStr">
        <is>
          <t>public (Tokyo Stock Exchange: 6674)</t>
        </is>
      </c>
      <c r="G9" s="11" t="inlineStr">
        <is>
          <t>automotive &amp; industrial batteries</t>
        </is>
      </c>
      <c r="H9" s="11" t="inlineStr">
        <is>
          <t>10k+</t>
        </is>
      </c>
      <c r="I9" s="11" t="inlineStr">
        <is>
          <t>$3.9B FY2025, +4.9% YoY (stockanalysis.com)</t>
        </is>
      </c>
      <c r="J9" s="11" t="inlineStr">
        <is>
          <t>market cap ~$3.4-4.0B as of mid-2026 (stockanalysis.com)</t>
        </is>
      </c>
      <c r="K9" s="11" t="inlineStr">
        <is>
          <t>n/a (public company)</t>
        </is>
      </c>
      <c r="L9" s="11" t="inlineStr">
        <is>
          <t>meets parameters</t>
        </is>
      </c>
      <c r="M9" s="11" t="n">
        <v>3</v>
      </c>
      <c r="N9" s="11" t="inlineStr">
        <is>
          <t>Stretch</t>
        </is>
      </c>
      <c r="O9" s="11" t="inlineStr">
        <is>
          <t>Hard filters pass: no confirmed sponsorship of any 2026 F1 team, series, driver or Grand Prix (Yuasa's 'F1000' driver sponsorship is a separate UK junior single-seater series, not Formula 1); FY2025 revenue $3.9B and market cap ~$3.4-4B clear the bars; headcount ~12,500-15,800 (10k+ band); public, profitable, growing. Real reservation: Yuasa is Honda's long-standing official battery partner across motorsport (MotoGP etc.), and Honda re-enters F1 in 2026 supplying Aston Martin - no direct battery-supply tie to that program was confirmed, but the closeness of the Honda relationship is a genuine conflict-risk to flag before outreach.</t>
        </is>
      </c>
      <c r="P9" s="11" t="inlineStr">
        <is>
          <t>"Performance under pressure" - GS Yuasa/Yuasa already has a credible decade-plus motorsport pedigree (MotoGP, BTCC) to extend into F1, positioned via an automotive-OEM/industrial-technology angle distinct from the already-claimed consumer battery (Duracell) space - pending a clean conflict check against Honda's 2026 F1 return.</t>
        </is>
      </c>
      <c r="Q9" s="11" t="inlineStr">
        <is>
          <t>extensive existing motorsport sponsorship portfolio via Yuasa brand (Honda MotoGP for 10+ years, BTCC, F1000 junior series - NOT Formula 1 itself, no confirmed F1 tie found); Honda (Yuasa's long-time OEM partner) returns to F1 in 2026 as Aston Martin's power-unit supplier - no confirmed Yuasa battery supply to that program found, but a proximity risk worth monitoring</t>
        </is>
      </c>
      <c r="R9" s="11" t="inlineStr">
        <is>
          <t>verified-existing</t>
        </is>
      </c>
      <c r="S9" s="11" t="inlineStr">
        <is>
          <t>2026-09-28</t>
        </is>
      </c>
    </row>
    <row r="10">
      <c r="A10" s="11" t="n">
        <v>7</v>
      </c>
      <c r="B10" s="11" t="n">
        <v>58</v>
      </c>
      <c r="C10" s="11" t="inlineStr">
        <is>
          <t>Viridor</t>
        </is>
      </c>
      <c r="D10" s="11" t="inlineStr">
        <is>
          <t>viridor.co.uk</t>
        </is>
      </c>
      <c r="E10" s="11" t="inlineStr">
        <is>
          <t>United Kingdom</t>
        </is>
      </c>
      <c r="F10" s="11" t="inlineStr">
        <is>
          <t>PE-owned (KKR, majority stake since Jul 2020); UK waste/recycling company; not state-owned</t>
        </is>
      </c>
      <c r="G10" s="11" t="inlineStr">
        <is>
          <t>Recycling &amp; waste-to-energy (private equity-owned)</t>
        </is>
      </c>
      <c r="H10" s="11" t="inlineStr">
        <is>
          <t>1k-5k</t>
        </is>
      </c>
      <c r="I10" s="11" t="inlineStr">
        <is>
          <t>£579.4M revenue, FY ended 31 Mar 2024 (~$730M); EBITDA £187.9M (source: euwid-recycling.com / FT reporting, 2024)</t>
        </is>
      </c>
      <c r="J10" s="11" t="inlineStr">
        <is>
          <t>&gt;$1B — KKR sale process reportedly valuing the group at up to £7bn incl. debt (FT / Sustainable Plastics, 2025); one report cites a $9.3B valuation at a Dec 2025 secondary sale (~12x revenue)</t>
        </is>
      </c>
      <c r="K10" s="11" t="inlineStr">
        <is>
          <t>N/A (PE-owned); KKR acquired majority stake from Pennon Group for £4.2bn, Jul 2020</t>
        </is>
      </c>
      <c r="L10" s="11" t="inlineStr">
        <is>
          <t>meets parameters</t>
        </is>
      </c>
      <c r="M10" s="11" t="n">
        <v>3</v>
      </c>
      <c r="N10" s="11" t="inlineStr">
        <is>
          <t>Stretch</t>
        </is>
      </c>
      <c r="O10" s="11" t="inlineStr">
        <is>
          <t>Passes all hard filters (revenue, valuation, headcount, F1-clean, ownership) but PE ownership has run 6 years with an active sale process — real reservation on stability of a sponsorship budget/decision-maker continuity through an ownership change.</t>
        </is>
      </c>
      <c r="P10" s="11" t="inlineStr">
        <is>
          <t>Circular-economy / waste-to-energy technology story tied to F1's net-zero 2030 ambition; open sustainability-infrastructure category on the grid (est).</t>
        </is>
      </c>
      <c r="Q10" s="11" t="inlineStr">
        <is>
          <t>PE-owned 4+ years (KKR since 2020, active sale process underway); high revenue multiple (~12x) reported in recent secondary-sale valuation</t>
        </is>
      </c>
      <c r="R10" s="11" t="inlineStr">
        <is>
          <t>verified-existing</t>
        </is>
      </c>
      <c r="S10" s="11" t="inlineStr">
        <is>
          <t>2026-09-28</t>
        </is>
      </c>
    </row>
    <row r="11">
      <c r="A11" s="11" t="n">
        <v>8</v>
      </c>
      <c r="B11" s="11" t="n">
        <v>58</v>
      </c>
      <c r="C11" s="11" t="inlineStr">
        <is>
          <t>Eos Energy Enterprises</t>
        </is>
      </c>
      <c r="D11" s="11" t="inlineStr">
        <is>
          <t>eosenergy.com</t>
        </is>
      </c>
      <c r="E11" s="11" t="inlineStr">
        <is>
          <t>United States</t>
        </is>
      </c>
      <c r="F11" s="11" t="inlineStr">
        <is>
          <t>Public (Nasdaq: EOSE)</t>
        </is>
      </c>
      <c r="G11" s="11" t="inlineStr">
        <is>
          <t>Zinc-based long-duration storage (public)</t>
        </is>
      </c>
      <c r="H11" s="11" t="inlineStr">
        <is>
          <t>201-1k</t>
        </is>
      </c>
      <c r="I11" s="11" t="inlineStr">
        <is>
          <t>FY2025 revenue $114.2M (+631.8% YoY); H1 2026 revenue $125.7M; Q2 2026 revenue $68.8M (+351% YoY) (Eos Q2 2026 earnings release, investors.eose.com)</t>
        </is>
      </c>
      <c r="J11" s="11" t="inlineStr">
        <is>
          <t>Market cap $1.46B as of Aug 17, 2026 (stockanalysis.com/Macrotrends)</t>
        </is>
      </c>
      <c r="K11" s="11" t="inlineStr">
        <is>
          <t>Public company; DOE loan-supported balance sheet; $807M order backlog as of Q2 2026 (company earnings release)</t>
        </is>
      </c>
      <c r="L11" s="11" t="inlineStr">
        <is>
          <t>meets parameters</t>
        </is>
      </c>
      <c r="M11" s="11" t="n">
        <v>3</v>
      </c>
      <c r="N11" s="11" t="inlineStr">
        <is>
          <t>Stretch</t>
        </is>
      </c>
      <c r="O11" s="11" t="inlineStr">
        <is>
          <t>Passes both hard bars (FY2025 revenue $114.2M &gt; $100M; market cap $1.46B &gt; $1B, both dated) with no F1 conflict found and a fit score of 3. Held at Stretch rather than Yes due to the extreme 2024-2025 valuation volatility and revenue-concentration/DOE-dependency reservations.</t>
        </is>
      </c>
      <c r="P11" s="11" t="inlineStr">
        <is>
          <t>Grid-scale battery storage growth story tied to US energy security/reshoring - '351% revenue growth, $807M backlog' momentum narrative; open category (no energy-storage sponsor on the 2026 grid).</t>
        </is>
      </c>
      <c r="Q11" s="11" t="inlineStr">
        <is>
          <t>extreme valuation volatility 2024-2025 (per input triage) - market cap swung from distressed levels to &gt;$1B on a DOE-loan-driven rally; recovery is real but recent (current $1.46B market cap as of Aug 2026); revenue growth is off a small base and concentrated in a handful of large DOE-backed contracts - some customer-concentration risk</t>
        </is>
      </c>
      <c r="R11" s="11" t="inlineStr">
        <is>
          <t>verified-existing</t>
        </is>
      </c>
      <c r="S11" s="11" t="inlineStr">
        <is>
          <t>2026-09-28</t>
        </is>
      </c>
    </row>
    <row r="12">
      <c r="A12" s="11" t="n">
        <v>9</v>
      </c>
      <c r="B12" s="11" t="n">
        <v>58</v>
      </c>
      <c r="C12" s="11" t="inlineStr">
        <is>
          <t>Autel Energy</t>
        </is>
      </c>
      <c r="D12" s="11" t="inlineStr">
        <is>
          <t>autel.com</t>
        </is>
      </c>
      <c r="E12" s="11" t="inlineStr">
        <is>
          <t>China</t>
        </is>
      </c>
      <c r="F12" s="11" t="inlineStr">
        <is>
          <t>Private division of Autel Intelligent Technology Corp. (publicly traded parent, Shanghai Exchange: 688208.SS)</t>
        </is>
      </c>
      <c r="G12" s="11" t="inlineStr">
        <is>
          <t>EV charger manufacturer</t>
        </is>
      </c>
      <c r="H12" s="11" t="inlineStr">
        <is>
          <t>1k-5k</t>
        </is>
      </c>
      <c r="I12" s="11" t="inlineStr">
        <is>
          <t>Est. $101.5M annual revenue (ZoomInfo estimate, as of 2025/2026); parent Autel Intelligent Technology reported CNY 4.62B (~$640M) revenue and CNY 833M net income in FY2026 (Yahoo Finance/company filings)</t>
        </is>
      </c>
      <c r="J12" s="11" t="inlineStr">
        <is>
          <t>Parent Autel Intelligent Technology market cap ~$2.6B (Shanghai Exchange, as of 2026, PitchBook/market data)</t>
        </is>
      </c>
      <c r="K12" s="11" t="inlineStr">
        <is>
          <t>N/A - parent is publicly listed and profitable (net income CNY 833M, FY2026)</t>
        </is>
      </c>
      <c r="L12" s="11" t="inlineStr">
        <is>
          <t>meets parameters</t>
        </is>
      </c>
      <c r="M12" s="11" t="n">
        <v>3</v>
      </c>
      <c r="N12" s="11" t="inlineStr">
        <is>
          <t>Stretch</t>
        </is>
      </c>
      <c r="O12" s="11" t="inlineStr">
        <is>
          <t>Hard filters technically pass - revenue ~$101.5M (est, thin margin above $100M) and parent market cap ~$2.6B (&gt;$1B) - with no F1 conflict and a fit score of 3, but the revenue figure is an unconfirmed third-party estimate sitting just above the bar, a real reservation.</t>
        </is>
      </c>
      <c r="P12" s="11" t="inlineStr">
        <is>
          <t>Smart EV-charging technology growth story tied to global EV-infrastructure buildout; open charging-tech category on the 2026 grid; leverage the profitable, well-capitalized public parent for spend credibility.</t>
        </is>
      </c>
      <c r="Q12" s="11" t="inlineStr">
        <is>
          <t>revenue figure ($101.5M) is a third-party database estimate, not company-reported - thin margin over the $100M bar, real uncertainty; Chinese-parented company (Autel Intelligent Technology, Shenzhen) - no Entity List/sanctions issue identified in this search, but warrants deeper compliance diligence given US-China trade/export-control scrutiny of Chinese hardware makers</t>
        </is>
      </c>
      <c r="R12" s="11" t="inlineStr">
        <is>
          <t>verified-existing</t>
        </is>
      </c>
      <c r="S12" s="11" t="inlineStr">
        <is>
          <t>2026-09-28</t>
        </is>
      </c>
    </row>
    <row r="13">
      <c r="A13" s="11" t="n">
        <v>10</v>
      </c>
      <c r="B13" s="11" t="n">
        <v>58</v>
      </c>
      <c r="C13" s="11" t="inlineStr">
        <is>
          <t>Star Charge</t>
        </is>
      </c>
      <c r="D13" s="11" t="inlineStr">
        <is>
          <t>star-charge.com</t>
        </is>
      </c>
      <c r="E13" s="11" t="inlineStr">
        <is>
          <t>China</t>
        </is>
      </c>
      <c r="F13" s="11" t="inlineStr">
        <is>
          <t>Private (parent: Wanbang Digital Energy Co., Ltd.); founder-led (Shao Danwei), VC-backed (Hillhouse Capital, IDG); not state-owned; 4th Hong Kong IPO application filed Jan 2026</t>
        </is>
      </c>
      <c r="G13" s="11" t="inlineStr">
        <is>
          <t>EV charging equipment &amp; digital energy solutions</t>
        </is>
      </c>
      <c r="H13" s="11" t="inlineStr">
        <is>
          <t>5k-10k</t>
        </is>
      </c>
      <c r="I13" s="11" t="inlineStr">
        <is>
          <t>Parent Wanbang Digital Energy: RMB 4.182B FY2024 (~$580M USD, +20.4% YoY); RMB 3.072B for 9M-2025 (~$430M, +23% YoY) (Benzinga/Tiger Brokers, Jan 2026) — well above $100M hard bar.</t>
        </is>
      </c>
      <c r="J13" s="11" t="inlineStr">
        <is>
          <t>~RMB 17B (~$2.36B USD) per June 2026 Global Unicorn List (#494); targeting ~$5B in pending HK IPO (Bloomberg, Jan 2026) — clears $1B hard bar.</t>
        </is>
      </c>
      <c r="K13" s="11" t="inlineStr">
        <is>
          <t>Series B (~RMB 1.5B) led by Hillhouse Capital, 2021; 4th HK-IPO attempt filed Jan 2026 (pending, not yet closed)</t>
        </is>
      </c>
      <c r="L13" s="11" t="inlineStr">
        <is>
          <t>meets parameters</t>
        </is>
      </c>
      <c r="M13" s="11" t="n">
        <v>3</v>
      </c>
      <c r="N13" s="11" t="inlineStr">
        <is>
          <t>Stretch</t>
        </is>
      </c>
      <c r="O13" s="11" t="inlineStr">
        <is>
          <t>No current F1 conflict (past Formula E deal ended 2018, and Formula E is not an F1 tie); revenue ~$580M (2024) clears $100M bar; valuation ~$2.36B clears $1B bar; not state-owned; fit_score=3. Reservation: declining margins and four unsuccessful IPO attempts raise real doubt about near-term capacity/stability → Stretch.</t>
        </is>
      </c>
      <c r="P13" s="11" t="inlineStr">
        <is>
          <t>Position as China's EV-charging infrastructure leader courting global capital markets (HK IPO) — 'powering the electric era' angle timed to an IPO-driven global brand push.</t>
        </is>
      </c>
      <c r="Q13" s="11" t="inlineStr">
        <is>
          <t>declining margins reported Jan 2026 (Benzinga); four listing attempts since ~2019 without a completed IPO — execution/capital-raise uncertainty; historical Formula E tie via Jaguar I-Pace eTrophy (2018, ended, not a current F1 conflict)</t>
        </is>
      </c>
      <c r="R13" s="11" t="inlineStr">
        <is>
          <t>verified-existing</t>
        </is>
      </c>
      <c r="S13" s="11" t="inlineStr">
        <is>
          <t>2026-09-28</t>
        </is>
      </c>
    </row>
    <row r="14">
      <c r="A14" s="11" t="n">
        <v>11</v>
      </c>
      <c r="B14" s="11" t="n">
        <v>52</v>
      </c>
      <c r="C14" s="11" t="inlineStr">
        <is>
          <t>Zurn Elkay Water Solutions</t>
        </is>
      </c>
      <c r="D14" s="11" t="inlineStr">
        <is>
          <t>zurnelkay.com</t>
        </is>
      </c>
      <c r="E14" s="11" t="inlineStr">
        <is>
          <t>United States</t>
        </is>
      </c>
      <c r="F14" s="11" t="inlineStr">
        <is>
          <t>public (NYSE: ZWS)</t>
        </is>
      </c>
      <c r="G14" s="11" t="inlineStr">
        <is>
          <t>water management, plumbing &amp; hydration products</t>
        </is>
      </c>
      <c r="H14" s="11" t="inlineStr">
        <is>
          <t>1k-5k</t>
        </is>
      </c>
      <c r="I14" s="11" t="inlineStr">
        <is>
          <t>$1.69B FY2025 (10-K/8-K, sec.gov via stockanalysis.com)</t>
        </is>
      </c>
      <c r="J14" s="11" t="inlineStr">
        <is>
          <t>market cap ~$7.66B as of Sep 2026 (stockanalysis.com)</t>
        </is>
      </c>
      <c r="K14" s="11" t="inlineStr">
        <is>
          <t>n/a (public company)</t>
        </is>
      </c>
      <c r="L14" s="11" t="inlineStr">
        <is>
          <t>meets parameters</t>
        </is>
      </c>
      <c r="M14" s="11" t="n">
        <v>2</v>
      </c>
      <c r="N14" s="11" t="inlineStr">
        <is>
          <t>Stretch</t>
        </is>
      </c>
      <c r="O14" s="11" t="inlineStr">
        <is>
          <t>Passes hard filters (no F1 conflicts; FY2025 revenue $1.69B &gt;$100M; market cap $7.66B &gt;$1B; headcount 2,600 in 1k-5k band; public, profitable, growing) but fit score is only 2 with a genuinely weak brand-story/global-reach angle - largely a North American institutional plumbing supplier rather than a global performance-tech brand.</t>
        </is>
      </c>
      <c r="P14" s="11" t="inlineStr">
        <is>
          <t>Sustainability/public-health water-stewardship story tied to F1's sustainability push (parallel to BWT's water-tech tie-in), though this is a soft angle given the weak overall fit.</t>
        </is>
      </c>
      <c r="Q14" s="11" t="n"/>
      <c r="R14" s="11" t="inlineStr">
        <is>
          <t>verified-existing</t>
        </is>
      </c>
      <c r="S14" s="11" t="inlineStr">
        <is>
          <t>2026-09-28</t>
        </is>
      </c>
    </row>
    <row r="15">
      <c r="A15" s="11" t="n">
        <v>12</v>
      </c>
      <c r="B15" s="11" t="n">
        <v>52</v>
      </c>
      <c r="C15" s="11" t="inlineStr">
        <is>
          <t>Reworld (Covanta)</t>
        </is>
      </c>
      <c r="D15" s="11" t="inlineStr">
        <is>
          <t>reworld.com</t>
        </is>
      </c>
      <c r="E15" s="11" t="inlineStr">
        <is>
          <t>United States</t>
        </is>
      </c>
      <c r="F15" s="11" t="inlineStr">
        <is>
          <t>PE-owned - EQT Infrastructure majority owner since 2021 ($5.3B take-private); EQT selling a 25% minority stake to GIC (Singapore sovereign wealth fund)</t>
        </is>
      </c>
      <c r="G15" s="11" t="inlineStr">
        <is>
          <t>waste-to-energy</t>
        </is>
      </c>
      <c r="H15" s="11" t="inlineStr">
        <is>
          <t>1k-5k</t>
        </is>
      </c>
      <c r="I15" s="11" t="inlineStr">
        <is>
          <t>no exact current figure publicly disclosed (private company); est. ~$2B+ (est) consistent with 100+ facility portfolio and S&amp;P B+ issuer credit rating (S&amp;P Global Ratings, Jun 18 2024)</t>
        </is>
      </c>
      <c r="J15" s="11" t="inlineStr">
        <is>
          <t>no current disclosed figure; implied well over $1B given 2021 $5.3B EQT take-private and the pending EQT-to-GIC 25% minority stake sale</t>
        </is>
      </c>
      <c r="K15" s="11" t="inlineStr">
        <is>
          <t>n/a (PE-owned; 2021 $5.3B take-private by EQT Infrastructure; pending EQT-to-GIC minority stake sale, deal terms undisclosed)</t>
        </is>
      </c>
      <c r="L15" s="11" t="inlineStr">
        <is>
          <t>meets parameters</t>
        </is>
      </c>
      <c r="M15" s="11" t="n">
        <v>2</v>
      </c>
      <c r="N15" s="11" t="inlineStr">
        <is>
          <t>Stretch</t>
        </is>
      </c>
      <c r="O15" s="11" t="inlineStr">
        <is>
          <t>Hard filters pass: no F1/motorsport conflicts found; scale (100+ facilities, ~4,500 employees, S&amp;P B+ rating, growing via acquisitions) implies revenue and valuation comfortably clear the $100M/$1B bars, though no precise public figures are available (private company). Real reservations: PE-owned 5 years (past 4-yr threshold), an incoming minority sovereign-wealth-fund (GIC) stake, fit score only 2 with a genuinely North-America-centric footprint and a brand story that maps weakly to performance/precision themes, and the input flags a separate 'Covanta' exclusion-master entry to reconcile before outreach.</t>
        </is>
      </c>
      <c r="P15" s="11" t="inlineStr">
        <is>
          <t>Circular-economy/energy-technology narrative (turning waste into power at scale) into the still-open waste-to-energy category - a soft angle given the weak overall brand-story fit and outstanding exclusion-list question.</t>
        </is>
      </c>
      <c r="Q15" s="11" t="inlineStr">
        <is>
          <t>PE-owned 4+ years (EQT since 2021, ~5 yrs); minority sovereign-wealth-fund stake incoming (GIC/Singapore, ~25%); renamed from Covanta - input notes Covanta is separately present in the exclusion master (reason unspecified, worth checking before outreach)</t>
        </is>
      </c>
      <c r="R15" s="11" t="inlineStr">
        <is>
          <t>verified-existing</t>
        </is>
      </c>
      <c r="S15" s="11" t="inlineStr">
        <is>
          <t>2026-09-28</t>
        </is>
      </c>
    </row>
    <row r="16">
      <c r="A16" s="11" t="n">
        <v>13</v>
      </c>
      <c r="B16" s="11" t="n">
        <v>52</v>
      </c>
      <c r="C16" s="11" t="inlineStr">
        <is>
          <t>Cirba Solutions</t>
        </is>
      </c>
      <c r="D16" s="11" t="inlineStr">
        <is>
          <t>cirbasolutions.com</t>
        </is>
      </c>
      <c r="E16" s="11" t="inlineStr">
        <is>
          <t>United States</t>
        </is>
      </c>
      <c r="F16" s="11" t="inlineStr">
        <is>
          <t>Majority owned by The Heritage Group (private, family-owned industrial conglomerate); EQT Infrastructure holds a minority stake (~$245M invested Dec 2022)</t>
        </is>
      </c>
      <c r="G16" s="11" t="inlineStr">
        <is>
          <t>Battery materials recycling</t>
        </is>
      </c>
      <c r="H16" s="11" t="inlineStr">
        <is>
          <t>51-200</t>
        </is>
      </c>
      <c r="I16" s="11" t="inlineStr">
        <is>
          <t>Est. up to ~$250M (est, industry/projection estimate circulating in 2024-2025 coverage); no audited figure publicly disclosed</t>
        </is>
      </c>
      <c r="J16" s="11" t="inlineStr">
        <is>
          <t>No published valuation for Cirba Solutions itself as of 2026 (privately, majority family-owned)</t>
        </is>
      </c>
      <c r="K16" s="11" t="inlineStr">
        <is>
          <t>$200M DOE grant award (Sept 20, 2024) plus EQT Infrastructure's ~$245M minority investment (Dec 2022)</t>
        </is>
      </c>
      <c r="L16" s="11" t="inlineStr">
        <is>
          <t>meets parameters</t>
        </is>
      </c>
      <c r="M16" s="11" t="n">
        <v>2</v>
      </c>
      <c r="N16" s="11" t="inlineStr">
        <is>
          <t>Stretch</t>
        </is>
      </c>
      <c r="O16" s="11" t="inlineStr">
        <is>
          <t>Passes hard filters via the family-owned exception (majority owned by private Heritage Group, no published valuation) with an estimated ~$250M revenue (est, uncertain/projected) clearing the $100M bar; fit score of 2 with a narrow B2B angle. Uncertainty on the revenue figure and modest fit keep this at Stretch rather than Yes.</t>
        </is>
      </c>
      <c r="P16" s="11" t="inlineStr">
        <is>
          <t>Critical-minerals/battery-recycling sustainability story - 'closing the loop' on electrification - paired with a US-onshoring, DOE-backed narrative; open category on the 2026 grid.</t>
        </is>
      </c>
      <c r="Q16" s="11" t="inlineStr">
        <is>
          <t>family-owned majority parent (The Heritage Group), no published valuation for Cirba itself - treated per the brief's family-owned exception (revenue-alone basis); parent: The Heritage Group (large private industrial group, no F1 ties found); revenue is an estimate/projection, not a confirmed audited figure - real reservation on the hard bar; actual headcount (~74-200 per PitchBook/other sources) is materially smaller than the input's 1,000-5,000 estimate</t>
        </is>
      </c>
      <c r="R16" s="11" t="inlineStr">
        <is>
          <t>verified-existing</t>
        </is>
      </c>
      <c r="S16" s="11" t="inlineStr">
        <is>
          <t>2026-09-28</t>
        </is>
      </c>
    </row>
    <row r="17">
      <c r="A17" s="11" t="n">
        <v>14</v>
      </c>
      <c r="B17" s="11" t="n">
        <v>52</v>
      </c>
      <c r="C17" s="11" t="inlineStr">
        <is>
          <t>Terrapure Environmental</t>
        </is>
      </c>
      <c r="D17" s="11" t="inlineStr">
        <is>
          <t>terrapure.com</t>
        </is>
      </c>
      <c r="E17" s="11" t="inlineStr">
        <is>
          <t>Canada</t>
        </is>
      </c>
      <c r="F17" s="11" t="inlineStr">
        <is>
          <t>Wholly-owned subsidiary of GFL Environmental Inc. (public, NYSE/TSX:GFL) since Aug 2021; previously PE-owned by Birch Hill Equity Partners 2014-2021</t>
        </is>
      </c>
      <c r="G17" s="11" t="inlineStr">
        <is>
          <t>Industrial waste management, recycling &amp; resource recovery (incl. battery recycling)</t>
        </is>
      </c>
      <c r="H17" s="11" t="inlineStr">
        <is>
          <t>201-1k</t>
        </is>
      </c>
      <c r="I17" s="11" t="inlineStr">
        <is>
          <t>~CAD $365M (2020, pre-acquisition; est current run-rate similar or higher) (est). Source: industry reporting, 2020 figure — above $100M hard bar.</t>
        </is>
      </c>
      <c r="J17" s="11" t="inlineStr">
        <is>
          <t>No standalone valuation published (wholly-owned subsidiary since 2021). Parent GFL Environmental market cap ~$18.3B USD as of Sept 24, 2026 (GuruFocus/companiesmarketcap).</t>
        </is>
      </c>
      <c r="K17" s="11" t="inlineStr">
        <is>
          <t>N/A — acquired by GFL Environmental, Aug 17, 2021</t>
        </is>
      </c>
      <c r="L17" s="11" t="inlineStr">
        <is>
          <t>meets parameters</t>
        </is>
      </c>
      <c r="M17" s="11" t="n">
        <v>2</v>
      </c>
      <c r="N17" s="11" t="inlineStr">
        <is>
          <t>Stretch</t>
        </is>
      </c>
      <c r="O17" s="11" t="inlineStr">
        <is>
          <t>No F1 conflict found; revenue ~CAD $365M (est current similar-or-higher) clears $100M bar; no standalone valuation, but parent GFL Environmental is public with ample capacity (~$18.3B mkt cap) and no F1 ties (flagged as parent). fit_score=2 with weak geographic/brand-story angles → Stretch.</t>
        </is>
      </c>
      <c r="P17" s="11" t="inlineStr">
        <is>
          <t>Circular-economy / industrial sustainability angle via parent GFL Environmental, tied to F1's net-zero-2030 push and relevance to the EV-battery recycling ecosystem.</t>
        </is>
      </c>
      <c r="Q17" s="11" t="inlineStr">
        <is>
          <t>PE-owned 2014-2021 (Birch Hill Equity Partners); parent: GFL Environmental (public, mkt cap ~$18.3B, no F1 ties found); no standalone valuation published (subsidiary); revenue figure dated (2020, pre-acquisition)</t>
        </is>
      </c>
      <c r="R17" s="11" t="inlineStr">
        <is>
          <t>verified-existing</t>
        </is>
      </c>
      <c r="S17" s="11" t="inlineStr">
        <is>
          <t>2026-09-28</t>
        </is>
      </c>
    </row>
  </sheetData>
  <autoFilter ref="A3:S1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S38"/>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Engineering Consultancies &amp; — existing New-Sectors book, now verified — 35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"11 Engineering Consultancies &amp;".</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0" t="n">
        <v>1</v>
      </c>
      <c r="B4" s="10" t="n">
        <v>92</v>
      </c>
      <c r="C4" s="10" t="inlineStr">
        <is>
          <t>Keller Group</t>
        </is>
      </c>
      <c r="D4" s="10" t="inlineStr">
        <is>
          <t>keller.com</t>
        </is>
      </c>
      <c r="E4" s="10" t="inlineStr">
        <is>
          <t>UK</t>
        </is>
      </c>
      <c r="F4" s="10" t="inlineStr">
        <is>
          <t>Public (LSE: KLR, FTSE 250); not state-owned</t>
        </is>
      </c>
      <c r="G4" s="10" t="inlineStr">
        <is>
          <t>Geotechnical engineering</t>
        </is>
      </c>
      <c r="H4" s="10" t="inlineStr">
        <is>
          <t>10k+</t>
        </is>
      </c>
      <c r="I4" s="10" t="inlineStr">
        <is>
          <t>FY2025 revenue $4.15B / £3,087.3M, up from $3.74B in FY2024 (source: Keller Group plc FY2025 results / earnings call, 2026)</t>
        </is>
      </c>
      <c r="J4" s="10" t="inlineStr">
        <is>
          <t>Market cap ~$2.85-3.1B (Aug 2026) (source: mlq.ai / Yahoo Finance)</t>
        </is>
      </c>
      <c r="K4" s="10" t="inlineStr">
        <is>
          <t>N/A (public company)</t>
        </is>
      </c>
      <c r="L4" s="10" t="inlineStr">
        <is>
          <t>meets parameters</t>
        </is>
      </c>
      <c r="M4" s="10" t="n">
        <v>4</v>
      </c>
      <c r="N4" s="10" t="inlineStr">
        <is>
          <t>Yes</t>
        </is>
      </c>
      <c r="O4" s="10" t="inlineStr">
        <is>
          <t>All hard filters pass cleanly: revenue $4.15B and growing, market cap ~$3B, public with no distress signals, no F1 conflicts found, thousands of global project clients, fit score 4.</t>
        </is>
      </c>
      <c r="P4" s="10" t="inlineStr">
        <is>
          <t>'Engineering the foundations of performance' — geotechnical precision/technology story; open category, no ground-engineering sponsor currently on the grid (est).</t>
        </is>
      </c>
      <c r="Q4" s="10" t="n"/>
      <c r="R4" s="10" t="inlineStr">
        <is>
          <t>verified-existing</t>
        </is>
      </c>
      <c r="S4" s="10" t="inlineStr">
        <is>
          <t>2026-09-28</t>
        </is>
      </c>
    </row>
    <row r="5">
      <c r="A5" s="10" t="n">
        <v>2</v>
      </c>
      <c r="B5" s="10" t="n">
        <v>92</v>
      </c>
      <c r="C5" s="10" t="inlineStr">
        <is>
          <t>Maire Tecnimont</t>
        </is>
      </c>
      <c r="D5" s="10" t="inlineStr">
        <is>
          <t>mairetecnimont.com</t>
        </is>
      </c>
      <c r="E5" s="10" t="inlineStr">
        <is>
          <t>Italy</t>
        </is>
      </c>
      <c r="F5" s="10" t="inlineStr">
        <is>
          <t>Public (Borsa Italiana/Milan Exchange; renamed MAIRE S.p.A. in Apr 2024); not state-owned</t>
        </is>
      </c>
      <c r="G5" s="10" t="inlineStr">
        <is>
          <t>EPC (petrochemical/energy)</t>
        </is>
      </c>
      <c r="H5" s="10" t="inlineStr">
        <is>
          <t>10k+</t>
        </is>
      </c>
      <c r="I5" s="10" t="inlineStr">
        <is>
          <t>€7.1B revenue, 2025, up from $6.3B (2024) and $4.59B (2023) (source: company FY releases / companiesmarketcap.com, 2025)</t>
        </is>
      </c>
      <c r="J5" s="10" t="inlineStr">
        <is>
          <t>Market cap ~€4.99B / ~$5.76B (Feb 2026) (source: companiesmarketcap.com)</t>
        </is>
      </c>
      <c r="K5" s="10" t="inlineStr">
        <is>
          <t>N/A (public company)</t>
        </is>
      </c>
      <c r="L5" s="10" t="inlineStr">
        <is>
          <t>meets parameters</t>
        </is>
      </c>
      <c r="M5" s="10" t="n">
        <v>4</v>
      </c>
      <c r="N5" s="10" t="inlineStr">
        <is>
          <t>Yes</t>
        </is>
      </c>
      <c r="O5" s="10" t="inlineStr">
        <is>
          <t>All hard filters pass cleanly: revenue €7.1B and growing strongly (+55% over two years), market cap ~$5.76B, public with a strong growth trajectory, no F1 conflicts found, diversified global energy-sector client base, fit score 4.</t>
        </is>
      </c>
      <c r="P5" s="10" t="inlineStr">
        <is>
          <t>Energy-transition engineering / technology-ambition story ('powering the future responsibly'); open EPC/energy-engineering category on the grid (est).</t>
        </is>
      </c>
      <c r="Q5" s="10" t="n"/>
      <c r="R5" s="10" t="inlineStr">
        <is>
          <t>verified-existing</t>
        </is>
      </c>
      <c r="S5" s="10" t="inlineStr">
        <is>
          <t>2026-09-28</t>
        </is>
      </c>
    </row>
    <row r="6">
      <c r="A6" s="10" t="n">
        <v>3</v>
      </c>
      <c r="B6" s="10" t="n">
        <v>92</v>
      </c>
      <c r="C6" s="10" t="inlineStr">
        <is>
          <t>Max Bögl</t>
        </is>
      </c>
      <c r="D6" s="10" t="inlineStr">
        <is>
          <t>max-boegl.de</t>
        </is>
      </c>
      <c r="E6" s="10" t="inlineStr">
        <is>
          <t>Germany</t>
        </is>
      </c>
      <c r="F6" s="10" t="inlineStr">
        <is>
          <t>Family-owned (Bögl family), private</t>
        </is>
      </c>
      <c r="G6" s="10" t="inlineStr">
        <is>
          <t>EPC / construction (infrastructure)</t>
        </is>
      </c>
      <c r="H6" s="10" t="inlineStr">
        <is>
          <t>5k-10k</t>
        </is>
      </c>
      <c r="I6" s="10" t="inlineStr">
        <is>
          <t>&gt;€3B annual revenue (company profile/Wikipedia, reported 2025; Craft.co company data, accessed Sept 2026)</t>
        </is>
      </c>
      <c r="J6" s="10" t="inlineStr">
        <is>
          <t>n/a – private, family-owned, no published valuation</t>
        </is>
      </c>
      <c r="K6" s="10" t="inlineStr">
        <is>
          <t>n/a – privately held, no external financing rounds identified</t>
        </is>
      </c>
      <c r="L6" s="10" t="inlineStr">
        <is>
          <t>meets parameters</t>
        </is>
      </c>
      <c r="M6" s="10" t="n">
        <v>4</v>
      </c>
      <c r="N6" s="10" t="inlineStr">
        <is>
          <t>Yes</t>
        </is>
      </c>
      <c r="O6" s="10" t="inlineStr">
        <is>
          <t>All hard filters pass: revenue &gt;€3B (2025 est, company reporting) clears the $100M bar; family-owned with no published valuation is permitted to pass on revenue alone per protocol; headcount ~7,500 (5k-10k band); no F1 sponsorship conflict found (direct or via parent); no state/sanctioned ownership. Fit score 4.</t>
        </is>
      </c>
      <c r="P6" s="10" t="inlineStr">
        <is>
          <t>Precision-engineering / modular-construction technology narrative tied to Max Bögl's international infrastructure expansion (rail, offshore wind, bridges) — an 'engineering ambition' angle open on the grid (est).</t>
        </is>
      </c>
      <c r="Q6" s="10" t="inlineStr">
        <is>
          <t>family-owned, no published valuation</t>
        </is>
      </c>
      <c r="R6" s="10" t="inlineStr">
        <is>
          <t>verified-existing</t>
        </is>
      </c>
      <c r="S6" s="10" t="inlineStr">
        <is>
          <t>2026-09-28</t>
        </is>
      </c>
    </row>
    <row r="7">
      <c r="A7" s="10" t="n">
        <v>4</v>
      </c>
      <c r="B7" s="10" t="n">
        <v>92</v>
      </c>
      <c r="C7" s="10" t="inlineStr">
        <is>
          <t>Samsung E&amp;A</t>
        </is>
      </c>
      <c r="D7" s="10" t="inlineStr">
        <is>
          <t>samsungena.com</t>
        </is>
      </c>
      <c r="E7" s="10" t="inlineStr">
        <is>
          <t>South Korea</t>
        </is>
      </c>
      <c r="F7" s="10" t="inlineStr">
        <is>
          <t>Publicly listed (KRX: 028050); Samsung Group affiliate, a distinct legal/listed entity from Samsung Electronics</t>
        </is>
      </c>
      <c r="G7" s="10" t="inlineStr">
        <is>
          <t>EPC (energy/chemical)</t>
        </is>
      </c>
      <c r="H7" s="10" t="inlineStr">
        <is>
          <t>5k-10k</t>
        </is>
      </c>
      <c r="I7" s="10" t="inlineStr">
        <is>
          <t>KRW 9.03T (~$6.5B est), FY2025, -9.4% YoY (Samsung E&amp;A FY2025 results, reported early 2026)</t>
        </is>
      </c>
      <c r="J7" s="10" t="inlineStr">
        <is>
          <t>~KRW 10T market cap (~$7.2B est), as of Sept 11 2026 (stockanalysis.com)</t>
        </is>
      </c>
      <c r="K7" s="10" t="inlineStr">
        <is>
          <t>n/a – public company, no recent capital raise; order backlog KRW 17.8T (2025)</t>
        </is>
      </c>
      <c r="L7" s="10" t="inlineStr">
        <is>
          <t>meets parameters</t>
        </is>
      </c>
      <c r="M7" s="10" t="n">
        <v>4</v>
      </c>
      <c r="N7" s="10" t="inlineStr">
        <is>
          <t>Yes</t>
        </is>
      </c>
      <c r="O7" s="10" t="inlineStr">
        <is>
          <t>Revenue ~$6.5B (KRW 9.03T) FY2025 clears the $100M bar; market cap ~$7.2B clears the $1B bar with healthy margin; net profit grew +1.5% YoY despite a revenue/operating-profit dip — not in distress; headcount 6,000+ (5k-10k band); no F1 sponsorship conflict found (direct or via Samsung Group); publicly listed, no state/sanctions issue. Fit score 4.</t>
        </is>
      </c>
      <c r="P7" s="10" t="inlineStr">
        <is>
          <t>Energy-transition EPC angle (hydrogen, petrochemical decarbonization projects) paired with Samsung's global technology-brand halo — positioned as a non-competing engineering/technology partner distinct from existing grid tech sponsors (est).</t>
        </is>
      </c>
      <c r="Q7" s="10" t="inlineStr">
        <is>
          <t>operating profit declined ~18.5% YoY in FY2025 (industry cyclicality) though net profit still grew +1.5%; Samsung Group affiliate — separate legal/listed entity from Samsung Electronics</t>
        </is>
      </c>
      <c r="R7" s="10" t="inlineStr">
        <is>
          <t>verified-existing</t>
        </is>
      </c>
      <c r="S7" s="10" t="inlineStr">
        <is>
          <t>2026-09-28</t>
        </is>
      </c>
    </row>
    <row r="8">
      <c r="A8" s="10" t="n">
        <v>5</v>
      </c>
      <c r="B8" s="10" t="n">
        <v>92</v>
      </c>
      <c r="C8" s="10" t="inlineStr">
        <is>
          <t>Bouygues Construction</t>
        </is>
      </c>
      <c r="D8" s="10" t="inlineStr">
        <is>
          <t>bouygues-construction.com</t>
        </is>
      </c>
      <c r="E8" s="10" t="inlineStr">
        <is>
          <t>France</t>
        </is>
      </c>
      <c r="F8" s="10" t="inlineStr">
        <is>
          <t>Subsidiary of Bouygues SA (public, Euronext Paris, CAC40)</t>
        </is>
      </c>
      <c r="G8" s="10" t="inlineStr">
        <is>
          <t>EPC / construction</t>
        </is>
      </c>
      <c r="H8" s="10" t="inlineStr">
        <is>
          <t>10k+</t>
        </is>
      </c>
      <c r="I8" s="10" t="inlineStr">
        <is>
          <t>€10.6B FY2025 (Bouygues Construction division results, reported 2026)</t>
        </is>
      </c>
      <c r="J8" s="10" t="inlineStr">
        <is>
          <t>Parent Bouygues SA market cap ~€16.6-19.3B (~$18-21B est), as of Sept 2026 (stockanalysis.com/companiesmarketcap.com)</t>
        </is>
      </c>
      <c r="K8" s="10" t="inlineStr">
        <is>
          <t>n/a – public parent company (Euronext Paris: EN), no recent capital raise</t>
        </is>
      </c>
      <c r="L8" s="10" t="inlineStr">
        <is>
          <t>exceeds - mega-brand</t>
        </is>
      </c>
      <c r="M8" s="10" t="n">
        <v>4</v>
      </c>
      <c r="N8" s="10" t="inlineStr">
        <is>
          <t>Yes</t>
        </is>
      </c>
      <c r="O8" s="10" t="inlineStr">
        <is>
          <t>Revenue €10.6B FY2025 clears the $100M bar; parent Bouygues SA market cap ~$18-21B clears the $1B bar comfortably; ~58,000 employees (10k+ band); no F1 sponsorship conflict found for Bouygues Construction or parent Bouygues SA; parent is a large group without F1 ties, so the subsidiary rule permits a keep. Fit score 4.</t>
        </is>
      </c>
      <c r="P8" s="10" t="inlineStr">
        <is>
          <t>Global mega-project/infrastructure engineering partner — precision &amp; performance narrative tied to host-city stadium/infrastructure builds, leveraging Bouygues SA's balance sheet; keep distinct from telecom sibling Bouygues Telecom for brand clarity (est).</t>
        </is>
      </c>
      <c r="Q8" s="10" t="inlineStr">
        <is>
          <t>parent: Bouygues SA (public, CAC40, no F1 ties found); same ultimate parent (Bouygues SA) as Colas Group, also a candidate in this batch — flag for deal deconfliction</t>
        </is>
      </c>
      <c r="R8" s="10" t="inlineStr">
        <is>
          <t>verified-existing</t>
        </is>
      </c>
      <c r="S8" s="10" t="inlineStr">
        <is>
          <t>2026-09-28</t>
        </is>
      </c>
    </row>
    <row r="9">
      <c r="A9" s="10" t="n">
        <v>6</v>
      </c>
      <c r="B9" s="10" t="n">
        <v>92</v>
      </c>
      <c r="C9" s="10" t="inlineStr">
        <is>
          <t>Colas Group</t>
        </is>
      </c>
      <c r="D9" s="10" t="inlineStr">
        <is>
          <t>colas.com</t>
        </is>
      </c>
      <c r="E9" s="10" t="inlineStr">
        <is>
          <t>France</t>
        </is>
      </c>
      <c r="F9" s="10" t="inlineStr">
        <is>
          <t>Wholly-owned (100%) subsidiary of Bouygues SA since the Dec 2023 squeeze-out and delisting from Euronext Paris</t>
        </is>
      </c>
      <c r="G9" s="10" t="inlineStr">
        <is>
          <t>EPC / road construction</t>
        </is>
      </c>
      <c r="H9" s="10" t="inlineStr">
        <is>
          <t>10k+</t>
        </is>
      </c>
      <c r="I9" s="10" t="inlineStr">
        <is>
          <t>€15.9B FY2024 (Colas consolidated financial statements)</t>
        </is>
      </c>
      <c r="J9" s="10" t="inlineStr">
        <is>
          <t>Parent Bouygues SA market cap ~€16.6-19.3B (~$18-21B est), as of Sept 2026 (stockanalysis.com/companiesmarketcap.com)</t>
        </is>
      </c>
      <c r="K9" s="10" t="inlineStr">
        <is>
          <t>n/a – wholly owned by Bouygues SA since the Dec 2023 squeeze-out; no independent financing</t>
        </is>
      </c>
      <c r="L9" s="10" t="inlineStr">
        <is>
          <t>exceeds - mega-brand</t>
        </is>
      </c>
      <c r="M9" s="10" t="n">
        <v>4</v>
      </c>
      <c r="N9" s="10" t="inlineStr">
        <is>
          <t>Yes</t>
        </is>
      </c>
      <c r="O9" s="10" t="inlineStr">
        <is>
          <t>Revenue €15.9B FY2024 clears the $100M bar; wholly owned by Bouygues SA (parent market cap ~$18-21B) clears the $1B bar; ~64,000 employees (10k+ band); no F1 sponsorship conflict found; parent Bouygues SA has no F1 ties, so the wholly-owned-subsidiary rule permits a keep. Fit score 4.</t>
        </is>
      </c>
      <c r="P9" s="10" t="inlineStr">
        <is>
          <t>Road/mobility infrastructure and sustainable-materials leader — tie to F1's low-carbon and circular-materials sustainability push; differentiate from sibling Bouygues Construction via a materials-science/track-surface-technology narrative (est).</t>
        </is>
      </c>
      <c r="Q9" s="10" t="inlineStr">
        <is>
          <t>parent: Bouygues SA (wholly-owned, delisted 2023); same ultimate parent (Bouygues SA) as Bouygues Construction, also a candidate in this batch — flag for deal deconfliction</t>
        </is>
      </c>
      <c r="R9" s="10" t="inlineStr">
        <is>
          <t>verified-existing</t>
        </is>
      </c>
      <c r="S9" s="10" t="inlineStr">
        <is>
          <t>2026-09-28</t>
        </is>
      </c>
    </row>
    <row r="10">
      <c r="A10" s="10" t="n">
        <v>7</v>
      </c>
      <c r="B10" s="10" t="n">
        <v>92</v>
      </c>
      <c r="C10" s="10" t="inlineStr">
        <is>
          <t>Royal BAM Group</t>
        </is>
      </c>
      <c r="D10" s="10" t="inlineStr">
        <is>
          <t>bam.com</t>
        </is>
      </c>
      <c r="E10" s="10" t="inlineStr">
        <is>
          <t>Netherlands (Bunnik)</t>
        </is>
      </c>
      <c r="F10" s="10" t="inlineStr">
        <is>
          <t>Public, Euronext Amsterdam (BAMNB); no majority state or sovereign stake identified</t>
        </is>
      </c>
      <c r="G10" s="10" t="inlineStr">
        <is>
          <t>EPC / construction (buildings, infrastructure, civil engineering) across Netherlands, UK, Ireland, Belgium, Germany</t>
        </is>
      </c>
      <c r="H10" s="10" t="inlineStr">
        <is>
          <t>10k+</t>
        </is>
      </c>
      <c r="I10" s="10" t="inlineStr">
        <is>
          <t>~€7.0B FY2025 (adjusted EBITDA €400M, net result €211M) — BAM 2025 Annual Report / Investing.com earnings call transcript, reported Feb-Mar 2026</t>
        </is>
      </c>
      <c r="J10" s="10" t="inlineStr">
        <is>
          <t>Market cap €2.4B at year-end 2025, risen to ~$3.55B as of Sept 23, 2026 (257M shares) — MarketScreener / stock data, Sept 2026</t>
        </is>
      </c>
      <c r="K10" s="10" t="inlineStr">
        <is>
          <t>N/A - established public company, no funding round; FY2025 proposed dividend €0.30/share (+20% YoY) plus €40M buyback</t>
        </is>
      </c>
      <c r="L10" s="10" t="inlineStr">
        <is>
          <t>meets parameters</t>
        </is>
      </c>
      <c r="M10" s="10" t="n">
        <v>4</v>
      </c>
      <c r="N10" s="10" t="inlineStr">
        <is>
          <t>Yes</t>
        </is>
      </c>
      <c r="O10" s="10" t="inlineStr">
        <is>
          <t>All hard filters pass: revenue ~€7B clears $100M bar; market cap ~$3.55B clears $1B bar; 17,000+ employees; profitable and growing (net result +, dividend +20% YoY) so has capacity to spend; broad multi-project client base not concentrated in ~20 accounts; no confirmed F1 team/series/driver/GP sponsorship found (direct or via parent); publicly listed with no majority state/sovereign ownership, not gambling/alcohol/sanctioned; fit score 4/4.</t>
        </is>
      </c>
      <c r="P10" s="10" t="inlineStr">
        <is>
          <t>Benelux/UK/Ireland EPC leader with major infrastructure and venue-building credentials — pitch an 'engineering the future of mobility infrastructure' story into an open EPC/construction sponsorship category, timed to Dutch/Belgian F1 market momentum (est).</t>
        </is>
      </c>
      <c r="Q10" s="10" t="n"/>
      <c r="R10" s="10" t="inlineStr">
        <is>
          <t>verified-existing</t>
        </is>
      </c>
      <c r="S10" s="10" t="inlineStr">
        <is>
          <t>2026-09-28</t>
        </is>
      </c>
    </row>
    <row r="11">
      <c r="A11" s="10" t="n">
        <v>8</v>
      </c>
      <c r="B11" s="10" t="n">
        <v>92</v>
      </c>
      <c r="C11" s="10" t="inlineStr">
        <is>
          <t>Sacyr</t>
        </is>
      </c>
      <c r="D11" s="10" t="inlineStr">
        <is>
          <t>sacyr.com</t>
        </is>
      </c>
      <c r="E11" s="10" t="inlineStr">
        <is>
          <t>Spain (Madrid)</t>
        </is>
      </c>
      <c r="F11" s="10" t="inlineStr">
        <is>
          <t>Public, Bolsas y Mercados Españoles / IBEX-35 (SCYR); no majority state or sovereign stake identified</t>
        </is>
      </c>
      <c r="G11" s="10" t="inlineStr">
        <is>
          <t>EPC / infrastructure &amp; concessions (toll roads, water, airports) across Spain, Latin America, Italy, Portugal and other markets</t>
        </is>
      </c>
      <c r="H11" s="10" t="inlineStr">
        <is>
          <t>10k+</t>
        </is>
      </c>
      <c r="I11" s="10" t="inlineStr">
        <is>
          <t>€4,660M FY2025 (+2% YoY), operating cash flow €1,359M (+5% YoY) — Sacyr press release 'Resultados Sacyr 2025', reported early 2026</t>
        </is>
      </c>
      <c r="J11" s="10" t="inlineStr">
        <is>
          <t>Market cap ~$4.36B (800M shares) as of June 2026 — PitchBook/CNBC quote data, June 2026</t>
        </is>
      </c>
      <c r="K11" s="10" t="inlineStr">
        <is>
          <t>N/A - established public company; Jan 2025 scrip dividend, 87% of shareholders took shares over cash</t>
        </is>
      </c>
      <c r="L11" s="10" t="inlineStr">
        <is>
          <t>meets parameters</t>
        </is>
      </c>
      <c r="M11" s="10" t="n">
        <v>4</v>
      </c>
      <c r="N11" s="10" t="inlineStr">
        <is>
          <t>Yes</t>
        </is>
      </c>
      <c r="O11" s="10" t="inlineStr">
        <is>
          <t>All hard filters pass: revenue €4.66B clears $100M bar; market cap ~$4.36B clears $1B bar; 15,000+ employees; cash flow growing, dividend/scrip programme active so capacity to spend is clear; diversified concessions/EPC client base (governments, multiple countries), not dependent on ~20 customers; no confirmed F1 sponsorship found; publicly listed, no majority state ownership, not gambling/alcohol/sanctioned; fit score 4/4.</t>
        </is>
      </c>
      <c r="P11" s="10" t="inlineStr">
        <is>
          <t>Spanish infrastructure/concessions leader spanning toll roads, water and airports across Europe and Latin America — pitch a 'building tomorrow's infrastructure, at speed' story timed to the Spanish GP market and an open EPC/concessions category (est).</t>
        </is>
      </c>
      <c r="Q11" s="10" t="n"/>
      <c r="R11" s="10" t="inlineStr">
        <is>
          <t>verified-existing</t>
        </is>
      </c>
      <c r="S11" s="10" t="inlineStr">
        <is>
          <t>2026-09-28</t>
        </is>
      </c>
    </row>
    <row r="12">
      <c r="A12" s="10" t="n">
        <v>9</v>
      </c>
      <c r="B12" s="10" t="n">
        <v>92</v>
      </c>
      <c r="C12" s="10" t="inlineStr">
        <is>
          <t>Vinci Construction</t>
        </is>
      </c>
      <c r="D12" s="10" t="inlineStr">
        <is>
          <t>vinci-construction.com</t>
        </is>
      </c>
      <c r="E12" s="10" t="inlineStr">
        <is>
          <t>France (Nanterre); construction division of Vinci SA</t>
        </is>
      </c>
      <c r="F12" s="10" t="inlineStr">
        <is>
          <t>Wholly-owned construction division of Vinci SA, public on Euronext Paris (DG); no majority state stake</t>
        </is>
      </c>
      <c r="G12" s="10" t="inlineStr">
        <is>
          <t>EPC / construction across France, UK, Germany, and other global markets (largest division of Vinci SA)</t>
        </is>
      </c>
      <c r="H12" s="10" t="inlineStr">
        <is>
          <t>10k+</t>
        </is>
      </c>
      <c r="I12" s="10" t="inlineStr">
        <is>
          <t>Division revenue €33B FY2025 (+1% YoY, EBIT margin &gt;4%, record FCF €1.4B); Vinci SA group revenue €74.6B FY2025 — Construction Briefing / Vinci 2025 Annual Financial Statements, reported early 2026</t>
        </is>
      </c>
      <c r="J12" s="10" t="inlineStr">
        <is>
          <t>Parent Vinci SA market cap ~$79.12B as of July 14, 2026 — stockanalysis.com/MacroTrends, July 2026</t>
        </is>
      </c>
      <c r="K12" s="10" t="inlineStr">
        <is>
          <t>N/A - division of established public parent, no funding round</t>
        </is>
      </c>
      <c r="L12" s="10" t="inlineStr">
        <is>
          <t>exceeds - mega-brand</t>
        </is>
      </c>
      <c r="M12" s="10" t="n">
        <v>4</v>
      </c>
      <c r="N12" s="10" t="inlineStr">
        <is>
          <t>Yes</t>
        </is>
      </c>
      <c r="O12" s="10" t="inlineStr">
        <is>
          <t>All hard filters pass: division revenue €33B and parent revenue €74.6B both clear $100M bar by a huge margin; parent market cap ~$79B clears $1B bar many times over (exceeds — never a reason for No per protocol); 90,000+ employees; parent is profitable and growing (record FCF, margin improving) so capacity to spend is clear; large diversified global client base; no confirmed F1 team/series/driver/GP sponsorship found for Vinci or Vinci Construction; publicly listed, no majority state control, not gambling/alcohol/sanctioned; fit score 4/4.</t>
        </is>
      </c>
      <c r="P12" s="10" t="inlineStr">
        <is>
          <t>World's largest construction/concessions group with a footprint across nearly every F1 host market — mega-brand 'engineering at global scale' story, open EPC category, with a possible circuit/venue-infrastructure tie-in (est).</t>
        </is>
      </c>
      <c r="Q12" s="10" t="n"/>
      <c r="R12" s="10" t="inlineStr">
        <is>
          <t>verified-existing</t>
        </is>
      </c>
      <c r="S12" s="10" t="inlineStr">
        <is>
          <t>2026-09-28</t>
        </is>
      </c>
    </row>
    <row r="13">
      <c r="A13" s="10" t="n">
        <v>10</v>
      </c>
      <c r="B13" s="10" t="n">
        <v>92</v>
      </c>
      <c r="C13" s="10" t="inlineStr">
        <is>
          <t>Daewoo E&amp;C</t>
        </is>
      </c>
      <c r="D13" s="10" t="inlineStr">
        <is>
          <t>daewooenc.com</t>
        </is>
      </c>
      <c r="E13" s="10" t="inlineStr">
        <is>
          <t>South Korea</t>
        </is>
      </c>
      <c r="F13" s="10" t="inlineStr">
        <is>
          <t>Public (KRX:047040); majority owned by Jungheung Construction (~41%, private, no F1 ties); National Pension Service holds a minority stake (flagged)</t>
        </is>
      </c>
      <c r="G13" s="10" t="inlineStr">
        <is>
          <t>EPC / construction, global infrastructure projects</t>
        </is>
      </c>
      <c r="H13" s="10" t="inlineStr">
        <is>
          <t>5k-10k</t>
        </is>
      </c>
      <c r="I13" s="10" t="inlineStr">
        <is>
          <t>KRW 8,054.6B (~$5.6B USD) TTM through Dec 2025 (stockanalysis.com/investing.com, 2026) — well above $100M hard bar.</t>
        </is>
      </c>
      <c r="J13" s="10" t="inlineStr">
        <is>
          <t>Market cap ~KRW 6.2 trillion (~$4.3-4.5B USD) as of July 2026 (stockanalysis.com/companiesmarketcap) — well above $1B hard bar.</t>
        </is>
      </c>
      <c r="K13" s="10" t="inlineStr">
        <is>
          <t>N/A (public); acquired by Jungheung Construction, Dec 2021 (~41% stake) after Korea Development Bank divestment</t>
        </is>
      </c>
      <c r="L13" s="10" t="inlineStr">
        <is>
          <t>meets parameters</t>
        </is>
      </c>
      <c r="M13" s="10" t="n">
        <v>4</v>
      </c>
      <c r="N13" s="10" t="inlineStr">
        <is>
          <t>Yes</t>
        </is>
      </c>
      <c r="O13" s="10" t="inlineStr">
        <is>
          <t>No F1 conflict found; revenue ~$5.6B and market cap ~$4.3-4.5B clear both hard bars comfortably; ownership is private-majority (Jungheung) with only a minority state-linked stake (National Pension Service, flagged); fit_score=4.</t>
        </is>
      </c>
      <c r="P13" s="10" t="inlineStr">
        <is>
          <t>Global infrastructure/engineering-excellence angle — 'precision engineering' tie-in, leveraging Daewoo's post-restructuring international expansion under new ownership.</t>
        </is>
      </c>
      <c r="Q13" s="10" t="inlineStr">
        <is>
          <t>minority state-linked stake via National Pension Service; past distress: 2010 Korea Development Bank bailout after Kumho Asiana liquidity crisis, fully resolved since 2021 Jungheung acquisition</t>
        </is>
      </c>
      <c r="R13" s="10" t="inlineStr">
        <is>
          <t>verified-existing</t>
        </is>
      </c>
      <c r="S13" s="10" t="inlineStr">
        <is>
          <t>2026-09-28</t>
        </is>
      </c>
    </row>
    <row r="14">
      <c r="A14" s="10" t="n">
        <v>11</v>
      </c>
      <c r="B14" s="10" t="n">
        <v>84</v>
      </c>
      <c r="C14" s="10" t="inlineStr">
        <is>
          <t>Peab AB</t>
        </is>
      </c>
      <c r="D14" s="10" t="inlineStr">
        <is>
          <t>peab.se</t>
        </is>
      </c>
      <c r="E14" s="10" t="inlineStr">
        <is>
          <t>Sweden</t>
        </is>
      </c>
      <c r="F14" s="10" t="inlineStr">
        <is>
          <t>Publicly listed (Nasdaq Stockholm Large Cap); Paulsson family controls ~57.7% of votes via Ekhaga Utveckling AB (dual-class shares), ~25.7% of capital</t>
        </is>
      </c>
      <c r="G14" s="10" t="inlineStr">
        <is>
          <t>EPC / construction</t>
        </is>
      </c>
      <c r="H14" s="10" t="inlineStr">
        <is>
          <t>10k+</t>
        </is>
      </c>
      <c r="I14" s="10" t="inlineStr">
        <is>
          <t>SEK ~50-58B (~$4.8-5.5B est TTM), 2025/2026 (Nasdaq Stockholm filings/stockanalysis.com)</t>
        </is>
      </c>
      <c r="J14" s="10" t="inlineStr">
        <is>
          <t>~SEK 25.2B market cap (~$2.4B est), as of mid-2026 (stockanalysis.com)</t>
        </is>
      </c>
      <c r="K14" s="10" t="inlineStr">
        <is>
          <t>n/a – public company (Nasdaq Stockholm: PEAB B), no recent capital raise</t>
        </is>
      </c>
      <c r="L14" s="10" t="inlineStr">
        <is>
          <t>meets parameters</t>
        </is>
      </c>
      <c r="M14" s="10" t="n">
        <v>3</v>
      </c>
      <c r="N14" s="10" t="inlineStr">
        <is>
          <t>Yes</t>
        </is>
      </c>
      <c r="O14" s="10" t="inlineStr">
        <is>
          <t>Revenue ~SEK 50-58B (~$4.8-5.5B) clears the $100M bar; market cap ~$2.4B clears the $1B bar with healthy margin; ~16,000+ employees (10k+ band); no F1 sponsorship conflict found; publicly listed with family-controlled voting rights but no state ownership. Fit score 3.</t>
        </is>
      </c>
      <c r="P14" s="10" t="inlineStr">
        <is>
          <t>Nordic community-infrastructure builder — pair with F1's Nordic fan-growth story and sustainable/green-building certifications, timed to a regional Nordic marketing push (est).</t>
        </is>
      </c>
      <c r="Q14" s="10" t="inlineStr">
        <is>
          <t>Paulsson family controls majority votes (57.7%) via dual-class shares</t>
        </is>
      </c>
      <c r="R14" s="10" t="inlineStr">
        <is>
          <t>verified-existing</t>
        </is>
      </c>
      <c r="S14" s="10" t="inlineStr">
        <is>
          <t>2026-09-28</t>
        </is>
      </c>
    </row>
    <row r="15">
      <c r="A15" s="10" t="n">
        <v>12</v>
      </c>
      <c r="B15" s="10" t="n">
        <v>84</v>
      </c>
      <c r="C15" s="10" t="inlineStr">
        <is>
          <t>Whiting-Turner Contracting</t>
        </is>
      </c>
      <c r="D15" s="10" t="inlineStr">
        <is>
          <t>whiting-turner.com</t>
        </is>
      </c>
      <c r="E15" s="10" t="inlineStr">
        <is>
          <t>USA</t>
        </is>
      </c>
      <c r="F15" s="10" t="inlineStr">
        <is>
          <t>Private, family-owned (Turner family); no published valuation</t>
        </is>
      </c>
      <c r="G15" s="10" t="inlineStr">
        <is>
          <t>EPC / construction (incl. data centers)</t>
        </is>
      </c>
      <c r="H15" s="10" t="inlineStr">
        <is>
          <t>1k-5k</t>
        </is>
      </c>
      <c r="I15" s="10" t="inlineStr">
        <is>
          <t>$14.68B FY2025 (ENR 2026 Top 400, ranked #5 nationally), up from $8.2B+ in 2024 — source: ENR Top 400 list / Zippia, retrieved Sept 2026</t>
        </is>
      </c>
      <c r="J15" s="10" t="inlineStr">
        <is>
          <t>n/a — private, family-owned, no published valuation (protocol: plain family-owned exemption passes on revenue alone, not capped)</t>
        </is>
      </c>
      <c r="K15" s="10" t="inlineStr">
        <is>
          <t>n/a (not VC-backed; private company)</t>
        </is>
      </c>
      <c r="L15" s="10" t="inlineStr">
        <is>
          <t>exceeds - mega-brand</t>
        </is>
      </c>
      <c r="M15" s="10" t="n">
        <v>3</v>
      </c>
      <c r="N15" s="10" t="inlineStr">
        <is>
          <t>Yes</t>
        </is>
      </c>
      <c r="O15" s="10" t="inlineStr">
        <is>
          <t>All hard filters pass: revenue $14.7B FY2025 far exceeds the $100M bar; family-owned with no published valuation passes on revenue alone (plain exemption, no cap applies); headcount 1k-5k; no F1 conflict found for Whiting-Turner or any parent (independently owned); serves thousands of commercial/institutional clients, not concentrated; sharp YoY revenue growth shows strong capacity to spend. Fit score 3 clears the &gt;=2 bar.</t>
        </is>
      </c>
      <c r="P15" s="10" t="inlineStr">
        <is>
          <t>Data-center/advanced-facilities construction angle — position Whiting-Turner as the builder behind the AI/compute infrastructure boom, paired with F1's own technology-performance narrative; open EPC category on the grid.</t>
        </is>
      </c>
      <c r="Q15" s="10" t="inlineStr">
        <is>
          <t>primarily US-domestic operations, limited international footprint</t>
        </is>
      </c>
      <c r="R15" s="10" t="inlineStr">
        <is>
          <t>verified-existing</t>
        </is>
      </c>
      <c r="S15" s="10" t="inlineStr">
        <is>
          <t>2026-09-28</t>
        </is>
      </c>
    </row>
    <row r="16">
      <c r="A16" s="10" t="n">
        <v>13</v>
      </c>
      <c r="B16" s="10" t="n">
        <v>84</v>
      </c>
      <c r="C16" s="10" t="inlineStr">
        <is>
          <t>PORR AG</t>
        </is>
      </c>
      <c r="D16" s="10" t="inlineStr">
        <is>
          <t>porr-group.com</t>
        </is>
      </c>
      <c r="E16" s="10" t="inlineStr">
        <is>
          <t>Austria</t>
        </is>
      </c>
      <c r="F16" s="10" t="inlineStr">
        <is>
          <t>Public (Vienna Stock Exchange, WBAG:POS); Strauss family large minority shareholder; no state ownership</t>
        </is>
      </c>
      <c r="G16" s="10" t="inlineStr">
        <is>
          <t>EPC / construction (Austria, Germany, Switzerland, CEE)</t>
        </is>
      </c>
      <c r="H16" s="10" t="inlineStr">
        <is>
          <t>10k+</t>
        </is>
      </c>
      <c r="I16" s="10" t="inlineStr">
        <is>
          <t>€6.30B FY2025 revenue, +1.5% YoY, net income €136.7M, up 54% YoY (Feb 2026 results; MarketScreener/stockanalysis.com)</t>
        </is>
      </c>
      <c r="J16" s="10" t="inlineStr">
        <is>
          <t>$1.72B market cap as of Aug 2026 (stockanalysis.com) - clears the $1B threshold, contrary to triage's 'borderline' estimate</t>
        </is>
      </c>
      <c r="K16" s="10" t="inlineStr">
        <is>
          <t>N/A - public company; profit margin improved to 2.2% (from 1.4% FY2024), order backlog €9.5B (+11.7%)</t>
        </is>
      </c>
      <c r="L16" s="10" t="inlineStr">
        <is>
          <t>meets parameters</t>
        </is>
      </c>
      <c r="M16" s="10" t="n">
        <v>3</v>
      </c>
      <c r="N16" s="10" t="inlineStr">
        <is>
          <t>Yes</t>
        </is>
      </c>
      <c r="O16" s="10" t="inlineStr">
        <is>
          <t>All hard filters pass: revenue €6.3B (&gt;&gt;$100M), market cap $1.72B (&gt;$1B), headcount 20,000+ (10k+ band), profitable with improving margins, broad public/private client base, no F1 team/series/driver/GP conflict found, no majority-state or sanctioned ownership. Fit score 3 &gt;= 2.</t>
        </is>
      </c>
      <c r="P16" s="10" t="inlineStr">
        <is>
          <t>Open EPC/construction category on the 2026 grid; DACH-region infrastructure and engineering-precision story, with a natural home-market tie-in to the Austrian GP at the Red Bull Ring.</t>
        </is>
      </c>
      <c r="Q16" s="10" t="inlineStr">
        <is>
          <t>Strauss family large minority shareholder; triage significantly underestimated market cap ($1.72B actual vs ~€0.5-0.8B est)</t>
        </is>
      </c>
      <c r="R16" s="10" t="inlineStr">
        <is>
          <t>verified-existing</t>
        </is>
      </c>
      <c r="S16" s="10" t="inlineStr">
        <is>
          <t>2026-09-28</t>
        </is>
      </c>
    </row>
    <row r="17">
      <c r="A17" s="11" t="n">
        <v>14</v>
      </c>
      <c r="B17" s="11" t="n">
        <v>64</v>
      </c>
      <c r="C17" s="11" t="inlineStr">
        <is>
          <t>STO Building Group</t>
        </is>
      </c>
      <c r="D17" s="11" t="inlineStr">
        <is>
          <t>stobuildinggroup.com</t>
        </is>
      </c>
      <c r="E17" s="11" t="inlineStr">
        <is>
          <t>USA</t>
        </is>
      </c>
      <c r="F17" s="11" t="inlineStr">
        <is>
          <t>Private; ownership structure is disputed across sources — became employee-owned in 2017, but later reporting also shows Global Infrastructure Partners/GISI (Global Infrastructure Solutions Inc.) taking a majority stake (Jun 2020) alongside the Donaghy family and continued employee equity participation; not state-owned</t>
        </is>
      </c>
      <c r="G17" s="11" t="inlineStr">
        <is>
          <t>EPC / construction (incl. Structure Tone)</t>
        </is>
      </c>
      <c r="H17" s="11" t="inlineStr">
        <is>
          <t>5k-10k</t>
        </is>
      </c>
      <c r="I17" s="11" t="inlineStr">
        <is>
          <t>Estimated $4.7B (ENR East Top Contractor ranking) to as high as ~$15.5B group-wide across different 2025/2026 sources — figures conflict; treat as (est), no single audited number found</t>
        </is>
      </c>
      <c r="J17" s="11" t="inlineStr">
        <is>
          <t>No published valuation found; private company (est)</t>
        </is>
      </c>
      <c r="K17" s="11" t="inlineStr">
        <is>
          <t>Majority stake investment (reported as Global Infrastructure Partners / GISI), Jun 2020 — deal value undisclosed</t>
        </is>
      </c>
      <c r="L17" s="11" t="inlineStr">
        <is>
          <t>meets parameters</t>
        </is>
      </c>
      <c r="M17" s="11" t="n">
        <v>4</v>
      </c>
      <c r="N17" s="11" t="inlineStr">
        <is>
          <t>Stretch</t>
        </is>
      </c>
      <c r="O17" s="11" t="inlineStr">
        <is>
          <t>Hard filters pass on available evidence (revenue clearly &gt;$100M, no F1 conflict, diversified corporate client base, headcount 5k-10k) but valuation is unpublished and ownership is genuinely unclear across sources (input's 'purely employee-owned' triage looks stale) — treated per the brief's private/employee-owned carve-out and capped at Stretch.</t>
        </is>
      </c>
      <c r="P17" s="11" t="inlineStr">
        <is>
          <t>Construction-delivery precision / global-project-execution story; open category on the grid, aimed at corporate real estate and major-infrastructure decision-makers (est).</t>
        </is>
      </c>
      <c r="Q17" s="11" t="inlineStr">
        <is>
          <t>no published valuation (private company; ownership structure ambiguous between employee-ownership and PE/holding-company control); revenue estimates vary widely by source — low confidence</t>
        </is>
      </c>
      <c r="R17" s="11" t="inlineStr">
        <is>
          <t>verified-existing</t>
        </is>
      </c>
      <c r="S17" s="11" t="inlineStr">
        <is>
          <t>2026-09-28</t>
        </is>
      </c>
    </row>
    <row r="18">
      <c r="A18" s="11" t="n">
        <v>15</v>
      </c>
      <c r="B18" s="11" t="n">
        <v>64</v>
      </c>
      <c r="C18" s="11" t="inlineStr">
        <is>
          <t>Aurecon Group</t>
        </is>
      </c>
      <c r="D18" s="11" t="inlineStr">
        <is>
          <t>aurecongroup.com</t>
        </is>
      </c>
      <c r="E18" s="11" t="inlineStr">
        <is>
          <t>Australia</t>
        </is>
      </c>
      <c r="F18" s="11" t="inlineStr">
        <is>
          <t>Owned in trust for its people / member-owned partnership structure (private); not state-owned</t>
        </is>
      </c>
      <c r="G18" s="11" t="inlineStr">
        <is>
          <t>Design &amp; engineering consultancy</t>
        </is>
      </c>
      <c r="H18" s="11" t="inlineStr">
        <is>
          <t>5k-10k</t>
        </is>
      </c>
      <c r="I18" s="11" t="inlineStr">
        <is>
          <t>AUD $1,432.1M (~$950M USD), FY2025, up from AUD $1.06B in FY2023 (source: company financials via Craft.co / IBISWorld, 2025)</t>
        </is>
      </c>
      <c r="J18" s="11" t="inlineStr">
        <is>
          <t>No published valuation — privately owned in trust (est)</t>
        </is>
      </c>
      <c r="K18" s="11" t="inlineStr">
        <is>
          <t>N/A (member-owned; no external financing round identified)</t>
        </is>
      </c>
      <c r="L18" s="11" t="inlineStr">
        <is>
          <t>meets parameters</t>
        </is>
      </c>
      <c r="M18" s="11" t="n">
        <v>4</v>
      </c>
      <c r="N18" s="11" t="inlineStr">
        <is>
          <t>Stretch</t>
        </is>
      </c>
      <c r="O18" s="11" t="inlineStr">
        <is>
          <t>Hard filters pass (revenue ~$950M and growing, no F1 conflict, diversified public/private-sector clients, headcount 5k-10k) but the member-owned/trust structure has no published valuation — capped at Stretch per the brief's carve-out for partnership-owned firms.</t>
        </is>
      </c>
      <c r="P18" s="11" t="inlineStr">
        <is>
          <t>Engineering-excellence / precision-technology story for infrastructure and energy-transition projects; open category, targeting senior government and developer decision-makers across APAC/Africa/Middle East (est).</t>
        </is>
      </c>
      <c r="Q18" s="11" t="inlineStr">
        <is>
          <t>no published valuation (member/partnership-owned)</t>
        </is>
      </c>
      <c r="R18" s="11" t="inlineStr">
        <is>
          <t>verified-existing</t>
        </is>
      </c>
      <c r="S18" s="11" t="inlineStr">
        <is>
          <t>2026-09-28</t>
        </is>
      </c>
    </row>
    <row r="19">
      <c r="A19" s="11" t="n">
        <v>16</v>
      </c>
      <c r="B19" s="11" t="n">
        <v>64</v>
      </c>
      <c r="C19" s="11" t="inlineStr">
        <is>
          <t>GS Engineering &amp; Construction</t>
        </is>
      </c>
      <c r="D19" s="11" t="inlineStr">
        <is>
          <t>gsenc.com</t>
        </is>
      </c>
      <c r="E19" s="11" t="inlineStr">
        <is>
          <t>South Korea</t>
        </is>
      </c>
      <c r="F19" s="11" t="inlineStr">
        <is>
          <t>Public (KRX: 006360), family-controlled (Huh family / GS Group); not state-owned</t>
        </is>
      </c>
      <c r="G19" s="11" t="inlineStr">
        <is>
          <t>EPC / construction</t>
        </is>
      </c>
      <c r="H19" s="11" t="inlineStr">
        <is>
          <t>5k-10k</t>
        </is>
      </c>
      <c r="I19" s="11" t="inlineStr">
        <is>
          <t>2024 revenue ~$8.8B (-3.2% YoY); FY2025 guided at KRW 12.6T (~-2% YoY) (source: company guidance / market data, 2024-2025)</t>
        </is>
      </c>
      <c r="J19" s="11" t="inlineStr">
        <is>
          <t>Market cap ~KRW 2.47-2.7T (~$1.8-2.0B), 2026 (source: Investing.com / StockAnalysis)</t>
        </is>
      </c>
      <c r="K19" s="11" t="inlineStr">
        <is>
          <t>N/A (public company)</t>
        </is>
      </c>
      <c r="L19" s="11" t="inlineStr">
        <is>
          <t>meets parameters</t>
        </is>
      </c>
      <c r="M19" s="11" t="n">
        <v>4</v>
      </c>
      <c r="N19" s="11" t="inlineStr">
        <is>
          <t>Stretch</t>
        </is>
      </c>
      <c r="O19" s="11" t="inlineStr">
        <is>
          <t>Hard filters pass (revenue $8.8B, market cap ~$2B, no F1 conflict, family-controlled but publicly listed and not state-owned) but 2024 was an earnings trough with recovery only forecast for 2025-26 — a real reservation on near-term spending capacity per rule 4, capping this at Stretch.</t>
        </is>
      </c>
      <c r="P19" s="11" t="inlineStr">
        <is>
          <t>Global EPC / engineering-ambition story tied to Korea's industrial exports; open category, positioned around the company's 2025-26 earnings-recovery narrative (est).</t>
        </is>
      </c>
      <c r="Q19" s="11" t="inlineStr">
        <is>
          <t>2024 revenue and operating profit trough with a forecast 2025-26 recovery (analysts forecast +40.1% YoY operating profit) — some uncertainty on near-term capacity to sustain a ~$3.5M/yr sponsorship</t>
        </is>
      </c>
      <c r="R19" s="11" t="inlineStr">
        <is>
          <t>verified-existing</t>
        </is>
      </c>
      <c r="S19" s="11" t="inlineStr">
        <is>
          <t>2026-09-28</t>
        </is>
      </c>
    </row>
    <row r="20">
      <c r="A20" s="11" t="n">
        <v>17</v>
      </c>
      <c r="B20" s="11" t="n">
        <v>64</v>
      </c>
      <c r="C20" s="11" t="inlineStr">
        <is>
          <t>Norconsult</t>
        </is>
      </c>
      <c r="D20" s="11" t="inlineStr">
        <is>
          <t>norconsult.com</t>
        </is>
      </c>
      <c r="E20" s="11" t="inlineStr">
        <is>
          <t>Norway</t>
        </is>
      </c>
      <c r="F20" s="11" t="inlineStr">
        <is>
          <t>Publicly listed (Oslo Børs, since Nov 2023); employee foundation (Stiftelsen Norconsults Ansatte) is a major shareholder alongside Norwegian state fund Folketrygdfondet (minority state stake) and other institutional investors</t>
        </is>
      </c>
      <c r="G20" s="11" t="inlineStr">
        <is>
          <t>Design &amp; engineering consultancy</t>
        </is>
      </c>
      <c r="H20" s="11" t="inlineStr">
        <is>
          <t>5k-10k</t>
        </is>
      </c>
      <c r="I20" s="11" t="inlineStr">
        <is>
          <t>NOK 9.2B (~$860M est), FY2024, +8% YoY (Norconsult ASA Q4/FY2024 results, published Feb 2025)</t>
        </is>
      </c>
      <c r="J20" s="11" t="inlineStr">
        <is>
          <t>~NOK 12.06B market cap (~$1.1-1.2B est), as of Sept 11 2026 (stockanalysis.com)</t>
        </is>
      </c>
      <c r="K20" s="11" t="inlineStr">
        <is>
          <t>n/a – public company; IPO on Oslo Børs Nov 2023 at ~NOK 5.9B market cap</t>
        </is>
      </c>
      <c r="L20" s="11" t="inlineStr">
        <is>
          <t>meets parameters</t>
        </is>
      </c>
      <c r="M20" s="11" t="n">
        <v>4</v>
      </c>
      <c r="N20" s="11" t="inlineStr">
        <is>
          <t>Stretch</t>
        </is>
      </c>
      <c r="O20" s="11" t="inlineStr">
        <is>
          <t>Revenue NOK 9.2B (~$860M) FY2024 clears the $100M bar; market cap ~$1.1-1.2B clears the $1B bar but with a thin margin; headcount ~7,200 (5k-10k band); no F1 sponsorship conflict found. Capped at Stretch for the minority Norwegian state stake (Folketrygdfondet) and the thin valuation margin — note the input triage's 'employee-owned, no valuation' framing is outdated since the Nov 2023 IPO.</t>
        </is>
      </c>
      <c r="P20" s="11" t="inlineStr">
        <is>
          <t>Nordic infrastructure &amp; energy-transition engineering leader; align with F1's engineering-precision and sustainability narratives, timed to Norconsult's post-IPO growth and Nordic/European expansion (est).</t>
        </is>
      </c>
      <c r="Q20" s="11" t="inlineStr">
        <is>
          <t>minority state stake (Folketrygdfondet, Norwegian state pension fund); thin margin on $1B valuation bar (~$1.1-1.2B market cap)</t>
        </is>
      </c>
      <c r="R20" s="11" t="inlineStr">
        <is>
          <t>verified-existing</t>
        </is>
      </c>
      <c r="S20" s="11" t="inlineStr">
        <is>
          <t>2026-09-28</t>
        </is>
      </c>
    </row>
    <row r="21">
      <c r="A21" s="11" t="n">
        <v>18</v>
      </c>
      <c r="B21" s="11" t="n">
        <v>64</v>
      </c>
      <c r="C21" s="11" t="inlineStr">
        <is>
          <t>Royal HaskoningDHV</t>
        </is>
      </c>
      <c r="D21" s="11" t="inlineStr">
        <is>
          <t>royalhaskoningdhv.com</t>
        </is>
      </c>
      <c r="E21" s="11" t="inlineStr">
        <is>
          <t>Netherlands</t>
        </is>
      </c>
      <c r="F21" s="11" t="inlineStr">
        <is>
          <t>Partly employee-owned (private); rebranded to 'Haskoning' in 2025</t>
        </is>
      </c>
      <c r="G21" s="11" t="inlineStr">
        <is>
          <t>Design &amp; engineering consultancy</t>
        </is>
      </c>
      <c r="H21" s="11" t="inlineStr">
        <is>
          <t>5k-10k</t>
        </is>
      </c>
      <c r="I21" s="11" t="inlineStr">
        <is>
          <t>€810M FY2024, +10% YoY (company results release, published 2025)</t>
        </is>
      </c>
      <c r="J21" s="11" t="inlineStr">
        <is>
          <t>n/a – employee-owned, no published valuation</t>
        </is>
      </c>
      <c r="K21" s="11" t="inlineStr">
        <is>
          <t>n/a – privately held, no external financing rounds</t>
        </is>
      </c>
      <c r="L21" s="11" t="inlineStr">
        <is>
          <t>meets parameters</t>
        </is>
      </c>
      <c r="M21" s="11" t="n">
        <v>4</v>
      </c>
      <c r="N21" s="11" t="inlineStr">
        <is>
          <t>Stretch</t>
        </is>
      </c>
      <c r="O21" s="11" t="inlineStr">
        <is>
          <t>Revenue €810M (+10% YoY) FY2024 clears the $100M bar; net income €41M, profitable and improving — capacity fine; employee-owned with no published valuation caps the verdict at Stretch per protocol; headcount 6,488 (5k-10k band); no F1 sponsorship conflict found.</t>
        </is>
      </c>
      <c r="P21" s="11" t="inlineStr">
        <is>
          <t>Water/climate-resilient infrastructure engineering leader; tie to F1's sustainability ambitions and host-city climate-resilience/flood-defense projects as a technical-partner angle (est).</t>
        </is>
      </c>
      <c r="Q21" s="11" t="inlineStr">
        <is>
          <t>no published valuation (employee-owned); rebranded to 'Haskoning' in 2025</t>
        </is>
      </c>
      <c r="R21" s="11" t="inlineStr">
        <is>
          <t>verified-existing</t>
        </is>
      </c>
      <c r="S21" s="11" t="inlineStr">
        <is>
          <t>2026-09-28</t>
        </is>
      </c>
    </row>
    <row r="22">
      <c r="A22" s="11" t="n">
        <v>19</v>
      </c>
      <c r="B22" s="11" t="n">
        <v>64</v>
      </c>
      <c r="C22" s="11" t="inlineStr">
        <is>
          <t>Buro Happold</t>
        </is>
      </c>
      <c r="D22" s="11" t="inlineStr">
        <is>
          <t>burohappold.com</t>
        </is>
      </c>
      <c r="E22" s="11" t="inlineStr">
        <is>
          <t>United Kingdom (Bath)</t>
        </is>
      </c>
      <c r="F22" s="11" t="inlineStr">
        <is>
          <t>Employee-owned partnership (UK); no external shareholders, no published valuation</t>
        </is>
      </c>
      <c r="G22" s="11" t="inlineStr">
        <is>
          <t>Design &amp; engineering consultancy, including major stadiums/venues, globally</t>
        </is>
      </c>
      <c r="H22" s="11" t="inlineStr">
        <is>
          <t>1k-5k</t>
        </is>
      </c>
      <c r="I22" s="11" t="inlineStr">
        <is>
          <t>Turnover £397.9M FY2025 (+10% YoY), adjusted operating profit £48.4M (+1% YoY) — Buro Happold ESG Report 2025, published Oct 2025</t>
        </is>
      </c>
      <c r="J22" s="11" t="inlineStr">
        <is>
          <t>No published valuation - employee-owned partnership with no external shareholders (partner base grew 12% to 100 in 2025) — Buro Happold ESG Report 2025</t>
        </is>
      </c>
      <c r="K22" s="11" t="inlineStr">
        <is>
          <t>N/A - employee-owned partnership, no funding rounds</t>
        </is>
      </c>
      <c r="L22" s="11" t="inlineStr">
        <is>
          <t>meets parameters</t>
        </is>
      </c>
      <c r="M22" s="11" t="n">
        <v>4</v>
      </c>
      <c r="N22" s="11" t="inlineStr">
        <is>
          <t>Stretch</t>
        </is>
      </c>
      <c r="O22" s="11" t="inlineStr">
        <is>
          <t>Revenue £397.9M clears $100M bar; per Track A rule, employee-owned firm with no published valuation passes the valuation bar on revenue alone but caps the verdict at Stretch. Headcount ~3,099 (1k-5k band) is healthy; profit growing (+1% YoY, +10% revenue) shows capacity to spend; diversified global project client base; no confirmed F1 sponsorship found; ownership is employee/partner-owned with no compliance flags. Fit score 4/4, but the uncapped valuation uncertainty is the real reservation.</t>
        </is>
      </c>
      <c r="P22" s="11" t="inlineStr">
        <is>
          <t>Employee-owned engineering consultancy behind iconic stadiums and major sporting venues worldwide — pitch an 'engineering performance under pressure' story leveraging direct sports-venue design credibility as the outreach hook (est).</t>
        </is>
      </c>
      <c r="Q22" s="11" t="inlineStr">
        <is>
          <t>no published valuation (employee-owned)</t>
        </is>
      </c>
      <c r="R22" s="11" t="inlineStr">
        <is>
          <t>verified-existing</t>
        </is>
      </c>
      <c r="S22" s="11" t="inlineStr">
        <is>
          <t>2026-09-28</t>
        </is>
      </c>
    </row>
    <row r="23">
      <c r="A23" s="11" t="n">
        <v>20</v>
      </c>
      <c r="B23" s="11" t="n">
        <v>64</v>
      </c>
      <c r="C23" s="11" t="inlineStr">
        <is>
          <t>Currie &amp; Brown</t>
        </is>
      </c>
      <c r="D23" s="11" t="inlineStr">
        <is>
          <t>curriebrown.com</t>
        </is>
      </c>
      <c r="E23" s="11" t="inlineStr">
        <is>
          <t>United Kingdom (London)</t>
        </is>
      </c>
      <c r="F23" s="11" t="inlineStr">
        <is>
          <t>Wholly-owned subsidiary of Sidara (formerly Dar Group), a privately-owned working partnership with no external shareholders — corrects the input triage, which named Samsung C&amp;T as parent; no such Samsung C&amp;T acquisition was found in verification</t>
        </is>
      </c>
      <c r="G23" s="11" t="inlineStr">
        <is>
          <t>Project management &amp; cost consultancy, global, 70+ offices across 6 continents</t>
        </is>
      </c>
      <c r="H23" s="11" t="inlineStr">
        <is>
          <t>1k-5k</t>
        </is>
      </c>
      <c r="I23" s="11" t="inlineStr">
        <is>
          <t>~$242.6M annual revenue (subsidiary est., 2026 data) — CB Insights/PitchBook; parent Sidara group revenue &gt;$8.5B combined post-Wood Group acquisition (closed March 2026) — Rigzone/Sidara press coverage, March 2026</t>
        </is>
      </c>
      <c r="J23" s="11" t="inlineStr">
        <is>
          <t>No published valuation - parent Sidara is a privately-owned partnership with no external shareholders (~55,000 employees group-wide post-Wood acquisition) — Sidara company profile / Wikipedia, 2026</t>
        </is>
      </c>
      <c r="K23" s="11" t="inlineStr">
        <is>
          <t>N/A - private partnership; parent Sidara completed cash acquisition of Wood Group (~£207M) in March 2026, funded from own resources</t>
        </is>
      </c>
      <c r="L23" s="11" t="inlineStr">
        <is>
          <t>meets parameters</t>
        </is>
      </c>
      <c r="M23" s="11" t="n">
        <v>4</v>
      </c>
      <c r="N23" s="11" t="inlineStr">
        <is>
          <t>Stretch</t>
        </is>
      </c>
      <c r="O23" s="11" t="inlineStr">
        <is>
          <t>Revenue (~$243M subsidiary, or &gt;$8.5B combined parent) clears $100M bar. Parent Sidara is a private working partnership with no external shareholders and no published valuation; per Track A rule this is treated like the family-owned exemption (passes on revenue alone) but caps the verdict at Stretch, flagged 'no published valuation (employee-owned/partnership)'. Headcount ~2,700 (1k-5k band); parent is actively expanding (just closed the Wood Group acquisition), showing capacity to spend. Diversified global client base across 70+ offices. No confirmed F1 sponsorship found for Currie &amp; Brown, Sidara, or Sidara's other companies (Dar Al-Handasah, Perkins&amp;Will, Wood Group, Penspen, T.Y. Lin, Introba). No compliance flags. Fit score 4/4, but the parent's unpublished valuation is the real reservation. Note: the input triage's claim that the parent is Samsung C&amp;T was not corroborated by verification — the actual and long-standing parent is Sidara (formerly Dar Group), acquired in 2012.</t>
        </is>
      </c>
      <c r="P23" s="11" t="inlineStr">
        <is>
          <t>Global project/cost-management consultancy under the Sidara umbrella, spanning 70+ offices — pitch a 'delivering complex global programmes on time and on budget' precision-and-performance story into an open PM/cost-consultancy category (est).</t>
        </is>
      </c>
      <c r="Q23" s="11" t="inlineStr">
        <is>
          <t>no published valuation (employee-owned/partnership - parent Sidara); parent: Sidara (private engineering partnership; triage incorrectly named Samsung C&amp;T as parent)</t>
        </is>
      </c>
      <c r="R23" s="11" t="inlineStr">
        <is>
          <t>verified-existing</t>
        </is>
      </c>
      <c r="S23" s="11" t="inlineStr">
        <is>
          <t>2026-09-28</t>
        </is>
      </c>
    </row>
    <row r="24">
      <c r="A24" s="11" t="n">
        <v>21</v>
      </c>
      <c r="B24" s="11" t="n">
        <v>64</v>
      </c>
      <c r="C24" s="11" t="inlineStr">
        <is>
          <t>EllisDon</t>
        </is>
      </c>
      <c r="D24" s="11" t="inlineStr">
        <is>
          <t>ellisdon.com</t>
        </is>
      </c>
      <c r="E24" s="11" t="inlineStr">
        <is>
          <t>Canada</t>
        </is>
      </c>
      <c r="F24" s="11" t="inlineStr">
        <is>
          <t>Employee-owned (private); no published valuation</t>
        </is>
      </c>
      <c r="G24" s="11" t="inlineStr">
        <is>
          <t>EPC / construction</t>
        </is>
      </c>
      <c r="H24" s="11" t="inlineStr">
        <is>
          <t>10k+</t>
        </is>
      </c>
      <c r="I24" s="11" t="inlineStr">
        <is>
          <t>CAD $8.1B (~$5.9B USD) FY2024, 2nd-largest Canadian contractor by revenue — source: EllisDon Impact Report 2025 / industry construction rankings (Bridgit), retrieved Sept 2026</t>
        </is>
      </c>
      <c r="J24" s="11" t="inlineStr">
        <is>
          <t>n/a — employee-owned, no published valuation (protocol: passes on revenue alone, verdict capped at Stretch)</t>
        </is>
      </c>
      <c r="K24" s="11" t="inlineStr">
        <is>
          <t>n/a (not VC-backed; employee-owned private company)</t>
        </is>
      </c>
      <c r="L24" s="11" t="inlineStr">
        <is>
          <t>exceeds - mega-brand</t>
        </is>
      </c>
      <c r="M24" s="11" t="n">
        <v>4</v>
      </c>
      <c r="N24" s="11" t="inlineStr">
        <is>
          <t>Stretch</t>
        </is>
      </c>
      <c r="O24" s="11" t="inlineStr">
        <is>
          <t>All hard filters pass (revenue ~$5.9B USD FY2024 far exceeds $100M bar; headcount 10k+; no F1 conflict found for EllisDon or any parent; not state/gambling/alcohol-owned; serves many public and private clients, not concentrated) but the verdict is capped at Stretch per protocol because it is employee-owned with no published valuation.</t>
        </is>
      </c>
      <c r="P24" s="11" t="inlineStr">
        <is>
          <t>Open category (no construction/EPC sponsor on the 2026 grid) — pitch EllisDon's 'construction as technology' narrative (digital delivery, offsite/modular tech) against F1's precision-engineering story, timed to a marquee project win or its next Impact Report.</t>
        </is>
      </c>
      <c r="Q24" s="11" t="inlineStr">
        <is>
          <t>employee-owned, no published valuation (protocol cap to Stretch)</t>
        </is>
      </c>
      <c r="R24" s="11" t="inlineStr">
        <is>
          <t>verified-existing</t>
        </is>
      </c>
      <c r="S24" s="11" t="inlineStr">
        <is>
          <t>2026-09-28</t>
        </is>
      </c>
    </row>
    <row r="25">
      <c r="A25" s="11" t="n">
        <v>22</v>
      </c>
      <c r="B25" s="11" t="n">
        <v>64</v>
      </c>
      <c r="C25" s="11" t="inlineStr">
        <is>
          <t>POSCO E&amp;C</t>
        </is>
      </c>
      <c r="D25" s="11" t="inlineStr">
        <is>
          <t>poscoenc.com</t>
        </is>
      </c>
      <c r="E25" s="11" t="inlineStr">
        <is>
          <t>South Korea</t>
        </is>
      </c>
      <c r="F25" s="11" t="inlineStr">
        <is>
          <t>Majority-owned subsidiary of POSCO Holdings (public, KRX-listed); no F1 ties found for parent</t>
        </is>
      </c>
      <c r="G25" s="11" t="inlineStr">
        <is>
          <t>EPC / construction (steel/infrastructure)</t>
        </is>
      </c>
      <c r="H25" s="11" t="inlineStr">
        <is>
          <t>5k-10k</t>
        </is>
      </c>
      <c r="I25" s="11" t="inlineStr">
        <is>
          <t>Est. ~$5-6B annualized (Q2 2025 infrastructure-segment revenue ~KRW1.87T, ~$1.3B USD run-rate) — source: POSCO Group segment reporting / PitchBook, retrieved Sept 2026 (est; standalone POSCO E&amp;C revenue not separately disclosed)</t>
        </is>
      </c>
      <c r="J25" s="11" t="inlineStr">
        <is>
          <t>Via parent: POSCO Holdings market cap ~$16.1B USD as of Dec 2025 — source: companiesmarketcap.com / stockanalysis.com</t>
        </is>
      </c>
      <c r="K25" s="11" t="inlineStr">
        <is>
          <t>n/a (subsidiary of listed parent, not VC-backed)</t>
        </is>
      </c>
      <c r="L25" s="11" t="inlineStr">
        <is>
          <t>exceeds - mega-brand</t>
        </is>
      </c>
      <c r="M25" s="11" t="n">
        <v>4</v>
      </c>
      <c r="N25" s="11" t="inlineStr">
        <is>
          <t>Stretch</t>
        </is>
      </c>
      <c r="O25" s="11" t="inlineStr">
        <is>
          <t>Hard filters plausibly pass (parent POSCO Holdings market cap ~$16.1B clears $1B bar; estimated standalone revenue clears $100M bar; headcount 5k-10k; no confirmed F1 tie for POSCO E&amp;C or parent POSCO Holdings; majority — not wholly — owned by a public, non-state parent) but Stretch because the standalone revenue figure is an estimate (not separately disclosed) and it is a majority-owned subsidiary.</t>
        </is>
      </c>
      <c r="P25" s="11" t="inlineStr">
        <is>
          <t>Open EPC/construction category, pitched via parent-group scale (POSCO Holdings) and a 'precision steel &amp; infrastructure engineering' story tied to POSCO's materials-innovation narrative.</t>
        </is>
      </c>
      <c r="Q25" s="11" t="inlineStr">
        <is>
          <t>parent: POSCO Holdings; standalone revenue figure is an estimate derived from parent segment disclosures, not independently reported</t>
        </is>
      </c>
      <c r="R25" s="11" t="inlineStr">
        <is>
          <t>verified-existing</t>
        </is>
      </c>
      <c r="S25" s="11" t="inlineStr">
        <is>
          <t>2026-09-28</t>
        </is>
      </c>
    </row>
    <row r="26">
      <c r="A26" s="11" t="n">
        <v>23</v>
      </c>
      <c r="B26" s="11" t="n">
        <v>64</v>
      </c>
      <c r="C26" s="11" t="inlineStr">
        <is>
          <t>TYPSA</t>
        </is>
      </c>
      <c r="D26" s="11" t="inlineStr">
        <is>
          <t>typsa.com</t>
        </is>
      </c>
      <c r="E26" s="11" t="inlineStr">
        <is>
          <t>Spain</t>
        </is>
      </c>
      <c r="F26" s="11" t="inlineStr">
        <is>
          <t>Family-owned (private); no published valuation</t>
        </is>
      </c>
      <c r="G26" s="11" t="inlineStr">
        <is>
          <t>Design &amp; engineering consultancy</t>
        </is>
      </c>
      <c r="H26" s="11" t="inlineStr">
        <is>
          <t>1k-5k</t>
        </is>
      </c>
      <c r="I26" s="11" t="inlineStr">
        <is>
          <t>Est. ~$350-400M (est); FY2024 annual report describes 'exceptional results' but a precise consolidated revenue figure was not confirmed in available sources — source: TYPSA 2024 Annual Report / Non-Financial Information Statement, retrieved Sept 2026 (est)</t>
        </is>
      </c>
      <c r="J26" s="11" t="inlineStr">
        <is>
          <t>n/a — family-owned, no published valuation (protocol: plain family-owned exemption passes on revenue alone, not capped)</t>
        </is>
      </c>
      <c r="K26" s="11" t="inlineStr">
        <is>
          <t>n/a (not VC-backed; private family-owned company)</t>
        </is>
      </c>
      <c r="L26" s="11" t="inlineStr">
        <is>
          <t>meets parameters</t>
        </is>
      </c>
      <c r="M26" s="11" t="n">
        <v>4</v>
      </c>
      <c r="N26" s="11" t="inlineStr">
        <is>
          <t>Stretch</t>
        </is>
      </c>
      <c r="O26" s="11" t="inlineStr">
        <is>
          <t>Hard filters plausibly pass (headcount 1k-5k and growing; 'exceptional results' reported for 2024; no F1 conflict found; family-owned exemption applies) but Stretch because the exact consolidated revenue figure clearing the $100M bar could not be confirmed from public sources within the search budget.</t>
        </is>
      </c>
      <c r="P26" s="11" t="inlineStr">
        <is>
          <t>Open engineering-consultancy category — pitch TYPSA's global infrastructure design portfolio and its new AI/digital-transformation push as a 'precision engineering meets performance technology' story.</t>
        </is>
      </c>
      <c r="Q26" s="11" t="inlineStr">
        <is>
          <t>family-owned; revenue figure is an estimate (est) — precise consolidated figure not confirmed in available sources</t>
        </is>
      </c>
      <c r="R26" s="11" t="inlineStr">
        <is>
          <t>verified-existing</t>
        </is>
      </c>
      <c r="S26" s="11" t="inlineStr">
        <is>
          <t>2026-09-28</t>
        </is>
      </c>
    </row>
    <row r="27">
      <c r="A27" s="11" t="n">
        <v>24</v>
      </c>
      <c r="B27" s="11" t="n">
        <v>64</v>
      </c>
      <c r="C27" s="11" t="inlineStr">
        <is>
          <t>NGE Group</t>
        </is>
      </c>
      <c r="D27" s="11" t="inlineStr">
        <is>
          <t>nge.fr</t>
        </is>
      </c>
      <c r="E27" s="11" t="inlineStr">
        <is>
          <t>France</t>
        </is>
      </c>
      <c r="F27" s="11" t="inlineStr">
        <is>
          <t>Private, employee/management-owned; no published valuation</t>
        </is>
      </c>
      <c r="G27" s="11" t="inlineStr">
        <is>
          <t>EPC / construction</t>
        </is>
      </c>
      <c r="H27" s="11" t="inlineStr">
        <is>
          <t>10k+</t>
        </is>
      </c>
      <c r="I27" s="11" t="inlineStr">
        <is>
          <t>€5.024B pro forma FY2025 (+8.3% YoY), €4.6B FY2024 (+38.7%, incl. Sade acquisition) — source: NGE press release (April 2025) / lemoniteur.fr (March 2026), retrieved Sept 2026</t>
        </is>
      </c>
      <c r="J27" s="11" t="inlineStr">
        <is>
          <t>n/a — employee/management-owned, no published valuation (protocol: passes on revenue alone, verdict capped at Stretch)</t>
        </is>
      </c>
      <c r="K27" s="11" t="inlineStr">
        <is>
          <t>n/a (not VC-backed; private employee/management-owned group)</t>
        </is>
      </c>
      <c r="L27" s="11" t="inlineStr">
        <is>
          <t>exceeds - mega-brand</t>
        </is>
      </c>
      <c r="M27" s="11" t="n">
        <v>4</v>
      </c>
      <c r="N27" s="11" t="inlineStr">
        <is>
          <t>Stretch</t>
        </is>
      </c>
      <c r="O27" s="11" t="inlineStr">
        <is>
          <t>Hard filters pass (revenue €5B+/~$5.4B USD far exceeds the $100M bar; headcount 10k+; rapid growth, clearly not in distress; no F1 conflict found) but capped at Stretch per protocol because it is employee/management-owned with no published valuation.</t>
        </is>
      </c>
      <c r="P27" s="11" t="inlineStr">
        <is>
          <t>Category-open EPC angle built on NGE's record growth trajectory (revenue and headcount both doubled since 2019, 21-country footprint) — a 'fastest-growing infrastructure group' story paired with F1's momentum/ambition narrative.</t>
        </is>
      </c>
      <c r="Q27" s="11" t="inlineStr">
        <is>
          <t>employee/management-owned, no published valuation (protocol cap to Stretch)</t>
        </is>
      </c>
      <c r="R27" s="11" t="inlineStr">
        <is>
          <t>verified-existing</t>
        </is>
      </c>
      <c r="S27" s="11" t="inlineStr">
        <is>
          <t>2026-09-28</t>
        </is>
      </c>
    </row>
    <row r="28">
      <c r="A28" s="11" t="n">
        <v>25</v>
      </c>
      <c r="B28" s="11" t="n">
        <v>64</v>
      </c>
      <c r="C28" s="11" t="inlineStr">
        <is>
          <t>Implenia AG</t>
        </is>
      </c>
      <c r="D28" s="11" t="inlineStr">
        <is>
          <t>implenia.com</t>
        </is>
      </c>
      <c r="E28" s="11" t="inlineStr">
        <is>
          <t>Switzerland</t>
        </is>
      </c>
      <c r="F28" s="11" t="inlineStr">
        <is>
          <t>Public (SIX:IMPN); dispersed institutional shareholder base, no majority state or family control identified</t>
        </is>
      </c>
      <c r="G28" s="11" t="inlineStr">
        <is>
          <t>EPC / construction (Buildings, Civil Engineering, Service Solutions)</t>
        </is>
      </c>
      <c r="H28" s="11" t="inlineStr">
        <is>
          <t>5k-10k</t>
        </is>
      </c>
      <c r="I28" s="11" t="inlineStr">
        <is>
          <t>CHF 3,475M (~$4.0B USD) FY2025 (companiesmarketcap.com, 2026); net income CHF 84.7M, profitable — well above $100M hard bar.</t>
        </is>
      </c>
      <c r="J28" s="11" t="inlineStr">
        <is>
          <t>Market cap CHF 1.19B (~$1.3-1.4B USD) as of Sept 28, 2026 (companiesmarketcap.com) — clears $1B hard bar, but only ~19% above threshold.</t>
        </is>
      </c>
      <c r="K28" s="11" t="inlineStr">
        <is>
          <t>N/A (public)</t>
        </is>
      </c>
      <c r="L28" s="11" t="inlineStr">
        <is>
          <t>meets parameters</t>
        </is>
      </c>
      <c r="M28" s="11" t="n">
        <v>4</v>
      </c>
      <c r="N28" s="11" t="inlineStr">
        <is>
          <t>Stretch</t>
        </is>
      </c>
      <c r="O28" s="11" t="inlineStr">
        <is>
          <t>No F1 conflict; revenue ~$4.0B clears $100M bar comfortably; market cap ~CHF 1.19B (~$1.3-1.4B) clears $1B bar but thinly (desk triage flagged this as borderline) — reservation on valuation durability; fit_score=4 otherwise strong → Stretch.</t>
        </is>
      </c>
      <c r="P28" s="11" t="inlineStr">
        <is>
          <t>'Swiss precision meets motorsport precision' — construction/engineering-excellence angle, open category on the 2026 grid.</t>
        </is>
      </c>
      <c r="Q28" s="11" t="inlineStr">
        <is>
          <t>market cap clears $1B threshold by a thin margin (~19%) — currency/share-price sensitive</t>
        </is>
      </c>
      <c r="R28" s="11" t="inlineStr">
        <is>
          <t>verified-existing</t>
        </is>
      </c>
      <c r="S28" s="11" t="inlineStr">
        <is>
          <t>2026-09-28</t>
        </is>
      </c>
    </row>
    <row r="29">
      <c r="A29" s="11" t="n">
        <v>26</v>
      </c>
      <c r="B29" s="11" t="n">
        <v>64</v>
      </c>
      <c r="C29" s="11" t="inlineStr">
        <is>
          <t>Consolidated Contractors Company (CCC)</t>
        </is>
      </c>
      <c r="D29" s="11" t="inlineStr">
        <is>
          <t>ccc.net</t>
        </is>
      </c>
      <c r="E29" s="11" t="inlineStr">
        <is>
          <t>Greece (registered) / Athens &amp; Middle East operations</t>
        </is>
      </c>
      <c r="F29" s="11" t="inlineStr">
        <is>
          <t>Private, family-owned (Khoury and Sabbagh families); no published valuation</t>
        </is>
      </c>
      <c r="G29" s="11" t="inlineStr">
        <is>
          <t>EPC / construction, MENA-focused with Africa/Central Asia/Australia/PNG reach</t>
        </is>
      </c>
      <c r="H29" s="11" t="inlineStr">
        <is>
          <t>10k+</t>
        </is>
      </c>
      <c r="I29" s="11" t="inlineStr">
        <is>
          <t>~$2.32B (2023; Wikipedia / World Economic Forum profile) — clears $100M hard bar.</t>
        </is>
      </c>
      <c r="J29" s="11" t="inlineStr">
        <is>
          <t>N/A — private, family-owned; no published valuation. Passes on revenue alone per the family-owned exception.</t>
        </is>
      </c>
      <c r="K29" s="11" t="inlineStr">
        <is>
          <t>N/A (privately held since 1952 founding)</t>
        </is>
      </c>
      <c r="L29" s="11" t="inlineStr">
        <is>
          <t>meets parameters</t>
        </is>
      </c>
      <c r="M29" s="11" t="n">
        <v>4</v>
      </c>
      <c r="N29" s="11" t="inlineStr">
        <is>
          <t>Stretch</t>
        </is>
      </c>
      <c r="O29" s="11" t="inlineStr">
        <is>
          <t>No F1 conflict found; revenue ~$2.32B clears $100M bar and passes the valuation filter on the family-owned exception; fit_score=4. Real reservation: potential customer concentration among MENA state/oil clients (rule 5) — not confirmed to breach the 20-customer bar but genuinely uncertain → Stretch.</t>
        </is>
      </c>
      <c r="P29" s="11" t="inlineStr">
        <is>
          <t>70-year MENA mega-project legacy repositioned as a global engineering-excellence story, timed to F1's expanding Middle East calendar (Abu Dhabi, Qatar, Saudi Arabia, Bahrain).</t>
        </is>
      </c>
      <c r="Q29" s="11" t="inlineStr">
        <is>
          <t>family-owned, no published valuation; possible customer concentration — meaningful revenue share from a relatively small set of MENA national oil companies/governments (flagged, not confirmed to breach the 20-customer threshold); no confirmed sanctions exposure found in available searches, though not exhaustively verified</t>
        </is>
      </c>
      <c r="R29" s="11" t="inlineStr">
        <is>
          <t>verified-existing</t>
        </is>
      </c>
      <c r="S29" s="11" t="inlineStr">
        <is>
          <t>2026-09-28</t>
        </is>
      </c>
    </row>
    <row r="30">
      <c r="A30" s="11" t="n">
        <v>27</v>
      </c>
      <c r="B30" s="11" t="n">
        <v>64</v>
      </c>
      <c r="C30" s="11" t="inlineStr">
        <is>
          <t>Saipem SpA</t>
        </is>
      </c>
      <c r="D30" s="11" t="inlineStr">
        <is>
          <t>saipem.com</t>
        </is>
      </c>
      <c r="E30" s="11" t="inlineStr">
        <is>
          <t>Italy</t>
        </is>
      </c>
      <c r="F30" s="11" t="inlineStr">
        <is>
          <t>Public (Milan, BIT:SPM); Eni (~30%) and CDP Equity minority stakes - Italian state-linked, minority</t>
        </is>
      </c>
      <c r="G30" s="11" t="inlineStr">
        <is>
          <t>EPC (energy/offshore), operations in 60+ countries</t>
        </is>
      </c>
      <c r="H30" s="11" t="inlineStr">
        <is>
          <t>10k+</t>
        </is>
      </c>
      <c r="I30" s="11" t="inlineStr">
        <is>
          <t>€15.50B FY2025 revenue, +6.56% YoY, net income €311M (Feb 2026 results; stockanalysis.com); record revenue/order intake in H1 2026</t>
        </is>
      </c>
      <c r="J30" s="11" t="inlineStr">
        <is>
          <t>~$10.2B market cap as of Aug 2026 (stockanalysis.com; also cited ~€7.9B) - well above the $1B threshold</t>
        </is>
      </c>
      <c r="K30" s="11" t="inlineStr">
        <is>
          <t>N/A - public company; strong cash flow, adjusted EBITDA ~€1.9B FY2025</t>
        </is>
      </c>
      <c r="L30" s="11" t="inlineStr">
        <is>
          <t>exceeds - mega-brand</t>
        </is>
      </c>
      <c r="M30" s="11" t="n">
        <v>4</v>
      </c>
      <c r="N30" s="11" t="inlineStr">
        <is>
          <t>Stretch</t>
        </is>
      </c>
      <c r="O30" s="11" t="inlineStr">
        <is>
          <t>Hard filters pass (revenue, valuation, headcount, capacity, audience, no F1 conflict, ownership only minority state-linked) but there is a real reservation: the pending Saipem-Subsea7 merger into 'Saipem7' has been delayed by an EU Phase 2 review as of Sept 2026, creating uncertainty about which entity/brand any sponsorship would actually run through.</t>
        </is>
      </c>
      <c r="P30" s="11" t="inlineStr">
        <is>
          <t>Global energy-transition / deepwater-engineering precision story on an open EPC category; a 'fresh start' sponsorship narrative timed to the Saipem7 rebrand once the Subsea7 merger closes.</t>
        </is>
      </c>
      <c r="Q30" s="11" t="inlineStr">
        <is>
          <t>minority Italian state-linked ownership via Eni (~30%) and CDP Equity; pending merger with Subsea7 to form 'Saipem7' (signed July 2025); EU Phase-2 antitrust review paused in Aug 2026, delaying closing and creating entity/brand continuity uncertainty</t>
        </is>
      </c>
      <c r="R30" s="11" t="inlineStr">
        <is>
          <t>verified-existing</t>
        </is>
      </c>
      <c r="S30" s="11" t="inlineStr">
        <is>
          <t>2026-09-28</t>
        </is>
      </c>
    </row>
    <row r="31">
      <c r="A31" s="11" t="n">
        <v>28</v>
      </c>
      <c r="B31" s="11" t="n">
        <v>58</v>
      </c>
      <c r="C31" s="11" t="inlineStr">
        <is>
          <t>HNTB Corporation</t>
        </is>
      </c>
      <c r="D31" s="11" t="inlineStr">
        <is>
          <t>hntb.com</t>
        </is>
      </c>
      <c r="E31" s="11" t="inlineStr">
        <is>
          <t>USA</t>
        </is>
      </c>
      <c r="F31" s="11" t="inlineStr">
        <is>
          <t>Employee-owned (ESOP holds ~75% of outstanding shares); private S-corp; not state-owned</t>
        </is>
      </c>
      <c r="G31" s="11" t="inlineStr">
        <is>
          <t>Design &amp; engineering consultancy (transportation)</t>
        </is>
      </c>
      <c r="H31" s="11" t="inlineStr">
        <is>
          <t>5k-10k</t>
        </is>
      </c>
      <c r="I31" s="11" t="inlineStr">
        <is>
          <t>Peak revenue $1.4B, 2024 (source: Zippia / company data, 2024)</t>
        </is>
      </c>
      <c r="J31" s="11" t="inlineStr">
        <is>
          <t>No published valuation — employee-owned ESOP (est)</t>
        </is>
      </c>
      <c r="K31" s="11" t="inlineStr">
        <is>
          <t>N/A (employee-owned; no external financing round identified)</t>
        </is>
      </c>
      <c r="L31" s="11" t="inlineStr">
        <is>
          <t>meets parameters</t>
        </is>
      </c>
      <c r="M31" s="11" t="n">
        <v>3</v>
      </c>
      <c r="N31" s="11" t="inlineStr">
        <is>
          <t>Stretch</t>
        </is>
      </c>
      <c r="O31" s="11" t="inlineStr">
        <is>
          <t>Hard filters pass (revenue $1.4B, no F1 conflict, diversified US public-agency client base, ESOP not state-owned) but no published valuation under the employee-owned carve-out caps this at Stretch, reinforced by a fit score of 3 with a weak international-markets angle.</t>
        </is>
      </c>
      <c r="P31" s="11" t="inlineStr">
        <is>
          <t>US infrastructure-modernization / transportation-engineering precision story; open category, positioned around major public transit and highway megaprojects (est).</t>
        </is>
      </c>
      <c r="Q31" s="11" t="inlineStr">
        <is>
          <t>no published valuation (employee-owned ESOP)</t>
        </is>
      </c>
      <c r="R31" s="11" t="inlineStr">
        <is>
          <t>verified-existing</t>
        </is>
      </c>
      <c r="S31" s="11" t="inlineStr">
        <is>
          <t>2026-09-28</t>
        </is>
      </c>
    </row>
    <row r="32">
      <c r="A32" s="11" t="n">
        <v>29</v>
      </c>
      <c r="B32" s="11" t="n">
        <v>58</v>
      </c>
      <c r="C32" s="11" t="inlineStr">
        <is>
          <t>McCarthy Building Companies</t>
        </is>
      </c>
      <c r="D32" s="11" t="inlineStr">
        <is>
          <t>mccarthy.com</t>
        </is>
      </c>
      <c r="E32" s="11" t="inlineStr">
        <is>
          <t>USA</t>
        </is>
      </c>
      <c r="F32" s="11" t="inlineStr">
        <is>
          <t>Employee-owned (ESOP)</t>
        </is>
      </c>
      <c r="G32" s="11" t="inlineStr">
        <is>
          <t>EPC / construction</t>
        </is>
      </c>
      <c r="H32" s="11" t="inlineStr">
        <is>
          <t>5k-10k</t>
        </is>
      </c>
      <c r="I32" s="11" t="inlineStr">
        <is>
          <t>~$4.4B (FY2023, ENR Top 400 2023 list, published 2024); ~$4.5B reported for 2026 (company/press sources, WebSearch Sept 2026)</t>
        </is>
      </c>
      <c r="J32" s="11" t="inlineStr">
        <is>
          <t>n/a – employee-owned (ESOP), no published valuation</t>
        </is>
      </c>
      <c r="K32" s="11" t="inlineStr">
        <is>
          <t>n/a – employee-owned, no external financing rounds</t>
        </is>
      </c>
      <c r="L32" s="11" t="inlineStr">
        <is>
          <t>meets parameters</t>
        </is>
      </c>
      <c r="M32" s="11" t="n">
        <v>3</v>
      </c>
      <c r="N32" s="11" t="inlineStr">
        <is>
          <t>Stretch</t>
        </is>
      </c>
      <c r="O32" s="11" t="inlineStr">
        <is>
          <t>Revenue ~$4.4-4.5B clears the $100M bar; employee-owned (ESOP) with no published valuation caps the verdict at Stretch per protocol's employee-owned exemption; headcount ~6,535 (5k-10k band); no F1 sponsorship conflict found; no ownership/compliance issues. Fit score 3 given largely domestic footprint.</t>
        </is>
      </c>
      <c r="P32" s="11" t="inlineStr">
        <is>
          <t>Domestic mega-project storytelling (stadiums, aviation, healthcare, data centers) tied to US GP host markets (Austin/Miami/Las Vegas), with a precision-build/construction-technology narrative (est).</t>
        </is>
      </c>
      <c r="Q32" s="11" t="inlineStr">
        <is>
          <t>no published valuation (employee-owned)</t>
        </is>
      </c>
      <c r="R32" s="11" t="inlineStr">
        <is>
          <t>verified-existing</t>
        </is>
      </c>
      <c r="S32" s="11" t="inlineStr">
        <is>
          <t>2026-09-28</t>
        </is>
      </c>
    </row>
    <row r="33">
      <c r="A33" s="11" t="n">
        <v>30</v>
      </c>
      <c r="B33" s="11" t="n">
        <v>58</v>
      </c>
      <c r="C33" s="11" t="inlineStr">
        <is>
          <t>HDR Inc</t>
        </is>
      </c>
      <c r="D33" s="11" t="inlineStr">
        <is>
          <t>hdrinc.com</t>
        </is>
      </c>
      <c r="E33" s="11" t="inlineStr">
        <is>
          <t>USA</t>
        </is>
      </c>
      <c r="F33" s="11" t="inlineStr">
        <is>
          <t>100% employee-owned (ESOP)</t>
        </is>
      </c>
      <c r="G33" s="11" t="inlineStr">
        <is>
          <t>Design &amp; engineering consultancy</t>
        </is>
      </c>
      <c r="H33" s="11" t="inlineStr">
        <is>
          <t>10k+</t>
        </is>
      </c>
      <c r="I33" s="11" t="inlineStr">
        <is>
          <t>$3.7B design revenue, FY2025, +8.8% YoY (HDR company release / ENR design-firm rankings, published 2026)</t>
        </is>
      </c>
      <c r="J33" s="11" t="inlineStr">
        <is>
          <t>n/a – 100% employee-owned, no published valuation</t>
        </is>
      </c>
      <c r="K33" s="11" t="inlineStr">
        <is>
          <t>n/a – employee-owned, no external financing rounds</t>
        </is>
      </c>
      <c r="L33" s="11" t="inlineStr">
        <is>
          <t>meets parameters</t>
        </is>
      </c>
      <c r="M33" s="11" t="n">
        <v>3</v>
      </c>
      <c r="N33" s="11" t="inlineStr">
        <is>
          <t>Stretch</t>
        </is>
      </c>
      <c r="O33" s="11" t="inlineStr">
        <is>
          <t>Revenue $3.7B FY2025 (+8.8% YoY) clears the $100M bar; workforce growing 6%+ — capacity fine; 100% employee-owned with no published valuation caps the verdict at Stretch per protocol; ~14,200 employees (10k+ band); no F1 sponsorship conflict found. Fit score 3 given largely domestic footprint.</t>
        </is>
      </c>
      <c r="P33" s="11" t="inlineStr">
        <is>
          <t>US infrastructure/civic-engineering design leader — align with F1's US market growth (Austin/Miami/Las Vegas) and transportation-technology storytelling; lean into a '100%-employee-owned, built for the long run' authenticity narrative (est).</t>
        </is>
      </c>
      <c r="Q33" s="11" t="inlineStr">
        <is>
          <t>no published valuation (employee-owned)</t>
        </is>
      </c>
      <c r="R33" s="11" t="inlineStr">
        <is>
          <t>verified-existing</t>
        </is>
      </c>
      <c r="S33" s="11" t="inlineStr">
        <is>
          <t>2026-09-28</t>
        </is>
      </c>
    </row>
    <row r="34">
      <c r="A34" s="11" t="n">
        <v>31</v>
      </c>
      <c r="B34" s="11" t="n">
        <v>58</v>
      </c>
      <c r="C34" s="11" t="inlineStr">
        <is>
          <t>Gleeds</t>
        </is>
      </c>
      <c r="D34" s="11" t="inlineStr">
        <is>
          <t>gleeds.com</t>
        </is>
      </c>
      <c r="E34" s="11" t="inlineStr">
        <is>
          <t>UK</t>
        </is>
      </c>
      <c r="F34" s="11" t="inlineStr">
        <is>
          <t>Partner-owned (private partnership); no published valuation</t>
        </is>
      </c>
      <c r="G34" s="11" t="inlineStr">
        <is>
          <t>PM &amp; cost consultancy</t>
        </is>
      </c>
      <c r="H34" s="11" t="inlineStr">
        <is>
          <t>1k-5k</t>
        </is>
      </c>
      <c r="I34" s="11" t="inlineStr">
        <is>
          <t>Worldwide turnover ~£267M (~$340M USD, est), +15% YoY, FY2024/25 — source: UK trade press coverage of Gleeds financials, retrieved Sept 2026</t>
        </is>
      </c>
      <c r="J34" s="11" t="inlineStr">
        <is>
          <t>n/a — partner-owned, no published valuation (protocol: passes on revenue alone, verdict capped at Stretch)</t>
        </is>
      </c>
      <c r="K34" s="11" t="inlineStr">
        <is>
          <t>n/a (not VC-backed; private partnership)</t>
        </is>
      </c>
      <c r="L34" s="11" t="inlineStr">
        <is>
          <t>meets parameters</t>
        </is>
      </c>
      <c r="M34" s="11" t="n">
        <v>3</v>
      </c>
      <c r="N34" s="11" t="inlineStr">
        <is>
          <t>Stretch</t>
        </is>
      </c>
      <c r="O34" s="11" t="inlineStr">
        <is>
          <t>Hard filters pass (worldwide turnover ~$340M USD clears $100M bar; headcount 1k-5k; growing 15% YoY, not in distress; no F1 conflict found) but capped at Stretch per protocol: partner-owned with no published valuation.</t>
        </is>
      </c>
      <c r="P34" s="11" t="inlineStr">
        <is>
          <t>Category-open PM/cost-consultancy angle tied to Gleeds' active US expansion push (targeting 20% of workload by 2026) — position F1 as a global-credibility platform for that growth story.</t>
        </is>
      </c>
      <c r="Q34" s="11" t="inlineStr">
        <is>
          <t>partner-owned, no published valuation (protocol cap to Stretch)</t>
        </is>
      </c>
      <c r="R34" s="11" t="inlineStr">
        <is>
          <t>verified-existing</t>
        </is>
      </c>
      <c r="S34" s="11" t="inlineStr">
        <is>
          <t>2026-09-28</t>
        </is>
      </c>
    </row>
    <row r="35">
      <c r="A35" s="11" t="n">
        <v>32</v>
      </c>
      <c r="B35" s="11" t="n">
        <v>58</v>
      </c>
      <c r="C35" s="11" t="inlineStr">
        <is>
          <t>Rider Levett Bucknall</t>
        </is>
      </c>
      <c r="D35" s="11" t="inlineStr">
        <is>
          <t>rlb.com</t>
        </is>
      </c>
      <c r="E35" s="11" t="inlineStr">
        <is>
          <t>UK</t>
        </is>
      </c>
      <c r="F35" s="11" t="inlineStr">
        <is>
          <t>Partner-owned (private partnership); no published valuation</t>
        </is>
      </c>
      <c r="G35" s="11" t="inlineStr">
        <is>
          <t>PM &amp; cost consultancy (QS)</t>
        </is>
      </c>
      <c r="H35" s="11" t="inlineStr">
        <is>
          <t>1k-5k</t>
        </is>
      </c>
      <c r="I35" s="11" t="inlineStr">
        <is>
          <t>Global revenue est. $300-500M+ (UK region alone: £107M FY2024, +21% YoY; group operates 120+ offices across 6 regions) — source: RLB Europe news release / RLB Global Annual Report 2024, retrieved Sept 2026 (est for global total; UK figure confirmed)</t>
        </is>
      </c>
      <c r="J35" s="11" t="inlineStr">
        <is>
          <t>n/a — partner-owned, no published valuation (protocol: passes on revenue alone, verdict capped at Stretch)</t>
        </is>
      </c>
      <c r="K35" s="11" t="inlineStr">
        <is>
          <t>n/a (not VC-backed; private partnership)</t>
        </is>
      </c>
      <c r="L35" s="11" t="inlineStr">
        <is>
          <t>meets parameters</t>
        </is>
      </c>
      <c r="M35" s="11" t="n">
        <v>3</v>
      </c>
      <c r="N35" s="11" t="inlineStr">
        <is>
          <t>Stretch</t>
        </is>
      </c>
      <c r="O35" s="11" t="inlineStr">
        <is>
          <t>Hard filters plausibly pass (UK region alone tops £100M/~$135M USD, and group scale across 120+ offices implies global revenue well above the $100M bar; headcount 1k-5k; growing; no F1 conflict found) but capped at Stretch per protocol: partner-owned with no published valuation, and the global revenue figure is an estimate.</t>
        </is>
      </c>
      <c r="P35" s="11" t="inlineStr">
        <is>
          <t>Category-open QS/PM angle tied to RLB's global growth (4,400+ staff, 120+ offices) — 'measuring precision on the world's biggest builds' framing alongside F1 engineering precision.</t>
        </is>
      </c>
      <c r="Q35" s="11" t="inlineStr">
        <is>
          <t>partner-owned, no published valuation (protocol cap to Stretch); global revenue figure is an estimate; only the UK-region figure is officially confirmed</t>
        </is>
      </c>
      <c r="R35" s="11" t="inlineStr">
        <is>
          <t>verified-existing</t>
        </is>
      </c>
      <c r="S35" s="11" t="inlineStr">
        <is>
          <t>2026-09-28</t>
        </is>
      </c>
    </row>
    <row r="36">
      <c r="A36" s="11" t="n">
        <v>33</v>
      </c>
      <c r="B36" s="11" t="n">
        <v>58</v>
      </c>
      <c r="C36" s="11" t="inlineStr">
        <is>
          <t>YIT Corporation</t>
        </is>
      </c>
      <c r="D36" s="11" t="inlineStr">
        <is>
          <t>yitgroup.com</t>
        </is>
      </c>
      <c r="E36" s="11" t="inlineStr">
        <is>
          <t>Finland</t>
        </is>
      </c>
      <c r="F36" s="11" t="inlineStr">
        <is>
          <t>Public (Nasdaq Helsinki, HEL:YIT); no state control identified</t>
        </is>
      </c>
      <c r="G36" s="11" t="inlineStr">
        <is>
          <t>EPC / construction (Finland, Baltics, CEE)</t>
        </is>
      </c>
      <c r="H36" s="11" t="inlineStr">
        <is>
          <t>1k-5k</t>
        </is>
      </c>
      <c r="I36" s="11" t="inlineStr">
        <is>
          <t>€1.8B FY2025 revenue, -3.46% YoY (MarketScreener/companiesmarketcap)</t>
        </is>
      </c>
      <c r="J36" s="11" t="inlineStr">
        <is>
          <t>~$1.06-1.12B market cap depending on date/currency (July-Sept 2026 sources) - just above the $1B threshold</t>
        </is>
      </c>
      <c r="K36" s="11" t="inlineStr">
        <is>
          <t>N/A - public company; adjusted operating profit rose to €54M in 2025 (+€100M YoY), FY2026 guidance €70-100M, but Q1 2026 net loss -€34M and Q2 2026 net loss -€22M amid weak Finnish residential market</t>
        </is>
      </c>
      <c r="L36" s="11" t="inlineStr">
        <is>
          <t>meets parameters</t>
        </is>
      </c>
      <c r="M36" s="11" t="n">
        <v>3</v>
      </c>
      <c r="N36" s="11" t="inlineStr">
        <is>
          <t>Stretch</t>
        </is>
      </c>
      <c r="O36" s="11" t="inlineStr">
        <is>
          <t>Hard filters technically pass (revenue, headcount, no F1 conflict, clean ownership, market cap just above $1B) but there are real reservations: the valuation is thin/borderline depending on measurement date, and the company posted net losses in Q1 and Q2 2026 even as full-year adjusted operating profit improves, so 'clearly improving, not in distress' is a close call.</t>
        </is>
      </c>
      <c r="P36" s="11" t="inlineStr">
        <is>
          <t>CEE/Baltic infrastructure growth story on an open EPC category, framed as a post-downturn turnaround narrative.</t>
        </is>
      </c>
      <c r="Q36" s="11" t="inlineStr">
        <is>
          <t>market cap sits right at/just above the $1B threshold depending on source and date; recent quarterly net losses (Q1 2026: -€34M, Q2 2026: -€22M) despite improving full-year adjusted operating profit; 2023-24 financial distress/impairments per triage; still working through the Finnish housing downturn</t>
        </is>
      </c>
      <c r="R36" s="11" t="inlineStr">
        <is>
          <t>verified-existing</t>
        </is>
      </c>
      <c r="S36" s="11" t="inlineStr">
        <is>
          <t>2026-09-28</t>
        </is>
      </c>
    </row>
    <row r="37">
      <c r="A37" s="11" t="n">
        <v>34</v>
      </c>
      <c r="B37" s="11" t="n">
        <v>52</v>
      </c>
      <c r="C37" s="11" t="inlineStr">
        <is>
          <t>Nesma &amp; Partners</t>
        </is>
      </c>
      <c r="D37" s="11" t="inlineStr">
        <is>
          <t>nesma.com</t>
        </is>
      </c>
      <c r="E37" s="11" t="inlineStr">
        <is>
          <t>Saudi Arabia</t>
        </is>
      </c>
      <c r="F37" s="11" t="inlineStr">
        <is>
          <t>Privately held by Nesma Contracting Ltd, Alturki Holding and Rawabi Holding, plus Saudi Arabia's Public Investment Fund (PIF) as a minority shareholder since Feb 2023</t>
        </is>
      </c>
      <c r="G37" s="11" t="inlineStr">
        <is>
          <t>EPC / construction (Gulf)</t>
        </is>
      </c>
      <c r="H37" s="11" t="inlineStr">
        <is>
          <t>10k+</t>
        </is>
      </c>
      <c r="I37" s="11" t="inlineStr">
        <is>
          <t>~SAR 9B (~$2.4B est) FY2024 (Nesma &amp; Partners IPLOCA submission, 2024); backlog SAR 25B (CEO interview, Argaam 2025)</t>
        </is>
      </c>
      <c r="J37" s="11" t="inlineStr">
        <is>
          <t>n/a – private; PIF subscribed to new shares (minority stake) as part of a ~SAR 5B investment across 4 Saudi construction firms, Feb 2023; no full-company valuation disclosed</t>
        </is>
      </c>
      <c r="K37" s="11" t="inlineStr">
        <is>
          <t>PIF minority equity investment, announced Feb 2023 (part of ~SAR 5B across 4 Saudi construction firms)</t>
        </is>
      </c>
      <c r="L37" s="11" t="inlineStr">
        <is>
          <t>meets parameters</t>
        </is>
      </c>
      <c r="M37" s="11" t="n">
        <v>2</v>
      </c>
      <c r="N37" s="11" t="inlineStr">
        <is>
          <t>Stretch</t>
        </is>
      </c>
      <c r="O37" s="11" t="inlineStr">
        <is>
          <t>F1 conflict: Saudi Arabia's Public Investment Fund (PIF), a minority shareholder in Nesma &amp; Partners since Feb 2023, also holds an equity stake in the Aston Martin F1 Team via AMR GP Holdings (Gulf-investor F1 stake, reported 2025-2026) — a confirmed tie via common state-fund ownership. This is disqualifying regardless of revenue/valuation strength.</t>
        </is>
      </c>
      <c r="P37" s="11" t="inlineStr">
        <is>
          <t>N/A – disqualified on F1 conflict (shared PIF ownership with the Aston Martin F1 Team)</t>
        </is>
      </c>
      <c r="Q37" s="11" t="inlineStr">
        <is>
          <t>minority state stake (Saudi PIF, since Feb 2023); family/holding-owned alongside PIF; reclassified No-&gt;Stretch at compile: PIF minority stake in both Nesma and the Aston Martin team is a minority-state flag under the spec, not a sponsorship tie</t>
        </is>
      </c>
      <c r="R37" s="11" t="inlineStr">
        <is>
          <t>verified-existing</t>
        </is>
      </c>
      <c r="S37" s="11" t="inlineStr">
        <is>
          <t>2026-09-28</t>
        </is>
      </c>
    </row>
    <row r="38">
      <c r="A38" s="11" t="n">
        <v>35</v>
      </c>
      <c r="B38" s="11" t="n">
        <v>52</v>
      </c>
      <c r="C38" s="11" t="inlineStr">
        <is>
          <t>Heijmans</t>
        </is>
      </c>
      <c r="D38" s="11" t="inlineStr">
        <is>
          <t>heijmans.nl</t>
        </is>
      </c>
      <c r="E38" s="11" t="inlineStr">
        <is>
          <t>Netherlands</t>
        </is>
      </c>
      <c r="F38" s="11" t="inlineStr">
        <is>
          <t>Public (Euronext Amsterdam, HEIJM.AS); no state or family control identified</t>
        </is>
      </c>
      <c r="G38" s="11" t="inlineStr">
        <is>
          <t>EPC / construction, area development, infrastructure (primarily Netherlands)</t>
        </is>
      </c>
      <c r="H38" s="11" t="inlineStr">
        <is>
          <t>5k-10k</t>
        </is>
      </c>
      <c r="I38" s="11" t="inlineStr">
        <is>
          <t>€2.77B FY2025 revenue, +7.27% YoY; H1 2026 revenue €1.517B (+15.8% YoY), net profit +24% YoY (MarketScreener/stockanalysis.com)</t>
        </is>
      </c>
      <c r="J38" s="11" t="inlineStr">
        <is>
          <t>€2.42B market cap as of Aug 2026 (stockanalysis.com) - well above the $1B threshold, contrary to triage's 'borderline' estimate</t>
        </is>
      </c>
      <c r="K38" s="11" t="inlineStr">
        <is>
          <t>N/A - public company; underlying EBIT margin rose to 6.9% in H1 2026, FY2026 outlook ~€3.1B revenue at 7.3% EBIT margin</t>
        </is>
      </c>
      <c r="L38" s="11" t="inlineStr">
        <is>
          <t>meets parameters</t>
        </is>
      </c>
      <c r="M38" s="11" t="n">
        <v>2</v>
      </c>
      <c r="N38" s="11" t="inlineStr">
        <is>
          <t>Stretch</t>
        </is>
      </c>
      <c r="O38" s="11" t="inlineStr">
        <is>
          <t>Hard filters all pass (revenue, valuation, headcount, profitable/improving capacity, diversified client base, no F1 conflict, clean ownership) but the fit score is a weak 2, driven almost entirely by senior-buyer and open-category points rather than any real global F1 brand story, since the business is overwhelmingly domestic to the Netherlands.</t>
        </is>
      </c>
      <c r="P38" s="11" t="inlineStr">
        <is>
          <t>Dutch infrastructure/housing-growth story activated locally around the Dutch GP at Zandvoort, rather than a global sponsorship platform.</t>
        </is>
      </c>
      <c r="Q38" s="11" t="inlineStr">
        <is>
          <t>primarily single-market (Netherlands) operator, limiting a global F1 sponsorship narrative; triage significantly underestimated market cap (€2.42B actual vs ~€0.7-1B est)</t>
        </is>
      </c>
      <c r="R38" s="11" t="inlineStr">
        <is>
          <t>verified-existing</t>
        </is>
      </c>
      <c r="S38" s="11" t="inlineStr">
        <is>
          <t>2026-09-28</t>
        </is>
      </c>
    </row>
  </sheetData>
  <autoFilter ref="A3:S38"/>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S37"/>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Rail, Transit &amp; Road Infra — existing New-Sectors book, now verified — 34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"12 Rail, Transit &amp; Road Infra".</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0" t="n">
        <v>1</v>
      </c>
      <c r="B4" s="10" t="n">
        <v>92</v>
      </c>
      <c r="C4" s="10" t="inlineStr">
        <is>
          <t>Plasser &amp; Theurer</t>
        </is>
      </c>
      <c r="D4" s="10" t="inlineStr">
        <is>
          <t>plassertheurer.com</t>
        </is>
      </c>
      <c r="E4" s="10" t="inlineStr">
        <is>
          <t>Austria</t>
        </is>
      </c>
      <c r="F4" s="10" t="inlineStr">
        <is>
          <t>Family-owned (Theurer family); no published valuation</t>
        </is>
      </c>
      <c r="G4" s="10" t="inlineStr">
        <is>
          <t>Track maintenance machinery</t>
        </is>
      </c>
      <c r="H4" s="10" t="inlineStr">
        <is>
          <t>5k-10k</t>
        </is>
      </c>
      <c r="I4" s="10" t="inlineStr">
        <is>
          <t>€731M FY2025 (~$856M USD), record, +56% YoY; €469M FY2024 — source: railway.supply / Yahoo Finance (Trains.com), retrieved Sept 2026</t>
        </is>
      </c>
      <c r="J4" s="10" t="inlineStr">
        <is>
          <t>n/a — family-owned, no published valuation (protocol: plain family-owned exemption passes on revenue alone, not capped)</t>
        </is>
      </c>
      <c r="K4" s="10" t="inlineStr">
        <is>
          <t>n/a (not VC-backed; private family-owned company)</t>
        </is>
      </c>
      <c r="L4" s="10" t="inlineStr">
        <is>
          <t>meets parameters</t>
        </is>
      </c>
      <c r="M4" s="10" t="n">
        <v>4</v>
      </c>
      <c r="N4" s="10" t="inlineStr">
        <is>
          <t>Yes</t>
        </is>
      </c>
      <c r="O4" s="10" t="inlineStr">
        <is>
          <t>All hard filters pass: revenue €731M/~$856M USD FY2025 far exceeds the $100M bar; family-owned with no published valuation passes on revenue alone (plain exemption, no cap applies); headcount 5k-10k; no F1 conflict found (Austria hosts an F1 race but Plasser &amp; Theurer has no sponsorship tie); clearly improving (record revenue +56%, operating profit +250%, turnaround year) shows strong capacity to spend. Fit score 4 clears the &gt;=2 bar.</t>
        </is>
      </c>
      <c r="P4" s="10" t="inlineStr">
        <is>
          <t>Open track-maintenance-machinery category — 'precision engineering that keeps the world's railways running' story tied to its record 2025 turnaround and new Linz factory investment, timed to the Austrian Grand Prix given its home-market tie.</t>
        </is>
      </c>
      <c r="Q4" s="10" t="inlineStr">
        <is>
          <t>customer base concentrated among national rail infrastructure managers and large maintenance contractors, though order backlog of ~€1.6B spans many contracts</t>
        </is>
      </c>
      <c r="R4" s="10" t="inlineStr">
        <is>
          <t>verified-existing</t>
        </is>
      </c>
      <c r="S4" s="10" t="inlineStr">
        <is>
          <t>2026-09-28</t>
        </is>
      </c>
    </row>
    <row r="5">
      <c r="A5" s="10" t="n">
        <v>2</v>
      </c>
      <c r="B5" s="10" t="n">
        <v>92</v>
      </c>
      <c r="C5" s="10" t="inlineStr">
        <is>
          <t>CAF (Construcciones y Auxiliar de Ferrocarriles)</t>
        </is>
      </c>
      <c r="D5" s="10" t="inlineStr">
        <is>
          <t>caf.net</t>
        </is>
      </c>
      <c r="E5" s="10" t="inlineStr">
        <is>
          <t>Spain</t>
        </is>
      </c>
      <c r="F5" s="10" t="inlineStr">
        <is>
          <t>Public (BME: CAF), no state control</t>
        </is>
      </c>
      <c r="G5" s="10" t="inlineStr">
        <is>
          <t>Rolling stock &amp; rail systems</t>
        </is>
      </c>
      <c r="H5" s="10" t="inlineStr">
        <is>
          <t>10k+</t>
        </is>
      </c>
      <c r="I5" s="10" t="inlineStr">
        <is>
          <t>€4.49B, FY2025 (+6.46% YoY) - stockanalysis.com</t>
        </is>
      </c>
      <c r="J5" s="10" t="inlineStr">
        <is>
          <t>Market cap €2.65B, as of Sept 11 2026 - stockanalysis.com</t>
        </is>
      </c>
      <c r="K5" s="10" t="inlineStr">
        <is>
          <t>N/A - public company</t>
        </is>
      </c>
      <c r="L5" s="10" t="inlineStr">
        <is>
          <t>exceeds - mega-brand</t>
        </is>
      </c>
      <c r="M5" s="10" t="n">
        <v>4</v>
      </c>
      <c r="N5" s="10" t="inlineStr">
        <is>
          <t>Yes</t>
        </is>
      </c>
      <c r="O5" s="10" t="inlineStr">
        <is>
          <t>All hard filters pass - revenue €4.49B (2025), market cap €2.65B (Sept 2026), no F1 sponsorship ties found in searches, publicly listed with no state control; fit=4 with no material reservations.</t>
        </is>
      </c>
      <c r="P5" s="10" t="inlineStr">
        <is>
          <t>Global rail-mobility technology leader; sponsor angle around precision engineering and international infrastructure ambition - no rolling-stock category yet on the grid.</t>
        </is>
      </c>
      <c r="Q5" s="10" t="n"/>
      <c r="R5" s="10" t="inlineStr">
        <is>
          <t>verified-existing</t>
        </is>
      </c>
      <c r="S5" s="10" t="inlineStr">
        <is>
          <t>2026-09-28</t>
        </is>
      </c>
    </row>
    <row r="6">
      <c r="A6" s="10" t="n">
        <v>3</v>
      </c>
      <c r="B6" s="10" t="n">
        <v>92</v>
      </c>
      <c r="C6" s="10" t="inlineStr">
        <is>
          <t>Stadler Rail</t>
        </is>
      </c>
      <c r="D6" s="10" t="inlineStr">
        <is>
          <t>stadlerrail.com</t>
        </is>
      </c>
      <c r="E6" s="10" t="inlineStr">
        <is>
          <t>Switzerland</t>
        </is>
      </c>
      <c r="F6" s="10" t="inlineStr">
        <is>
          <t>Public (SIX: SRAIL), founder-controlled (Peter Spuhler), no state control</t>
        </is>
      </c>
      <c r="G6" s="10" t="inlineStr">
        <is>
          <t>Rolling stock manufacturer</t>
        </is>
      </c>
      <c r="H6" s="10" t="inlineStr">
        <is>
          <t>10k+</t>
        </is>
      </c>
      <c r="I6" s="10" t="inlineStr">
        <is>
          <t>CHF 3.68B, 2025 (+13.01% YoY) - stockanalysis.com</t>
        </is>
      </c>
      <c r="J6" s="10" t="inlineStr">
        <is>
          <t>Market cap CHF 2.50B, as of ~Sept 2026 - stockanalysis.com</t>
        </is>
      </c>
      <c r="K6" s="10" t="inlineStr">
        <is>
          <t>N/A - public company</t>
        </is>
      </c>
      <c r="L6" s="10" t="inlineStr">
        <is>
          <t>exceeds - mega-brand</t>
        </is>
      </c>
      <c r="M6" s="10" t="n">
        <v>4</v>
      </c>
      <c r="N6" s="10" t="inlineStr">
        <is>
          <t>Yes</t>
        </is>
      </c>
      <c r="O6" s="10" t="inlineStr">
        <is>
          <t>All hard filters clear - revenue CHF3.68B (2025, +13% YoY), market cap CHF2.50B (Sept 2026), no F1 sponsorship ties found, publicly listed with no state ownership; fit=4, no material reservations.</t>
        </is>
      </c>
      <c r="P6" s="10" t="inlineStr">
        <is>
          <t>Swiss precision-engineering narrative plus rapid international growth (backlog-driven expansion); rail manufacturing is an open sponsorship category on the grid.</t>
        </is>
      </c>
      <c r="Q6" s="10" t="n"/>
      <c r="R6" s="10" t="inlineStr">
        <is>
          <t>verified-existing</t>
        </is>
      </c>
      <c r="S6" s="10" t="inlineStr">
        <is>
          <t>2026-09-28</t>
        </is>
      </c>
    </row>
    <row r="7">
      <c r="A7" s="10" t="n">
        <v>4</v>
      </c>
      <c r="B7" s="10" t="n">
        <v>92</v>
      </c>
      <c r="C7" s="10" t="inlineStr">
        <is>
          <t>Abertis</t>
        </is>
      </c>
      <c r="D7" s="10" t="inlineStr">
        <is>
          <t>abertis.com</t>
        </is>
      </c>
      <c r="E7" s="10" t="inlineStr">
        <is>
          <t>Spain</t>
        </is>
      </c>
      <c r="F7" s="10" t="inlineStr">
        <is>
          <t>Private consortium (Mundys/formerly Atlantia 50%, ACS 30%+1 share, Hochtief 20%-1 share); no state control</t>
        </is>
      </c>
      <c r="G7" s="10" t="inlineStr">
        <is>
          <t>Toll road concessions operator</t>
        </is>
      </c>
      <c r="H7" s="10" t="inlineStr">
        <is>
          <t>10k+</t>
        </is>
      </c>
      <c r="I7" s="10" t="inlineStr">
        <is>
          <t>€6,149M, 2025 (+4.5% comparable growth) - abertis.com press release</t>
        </is>
      </c>
      <c r="J7" s="10" t="inlineStr">
        <is>
          <t>No current public valuation (private since 2018); 2018 take-private deal enterprise value ~€16.5B (ACS/Atlantia consortium)</t>
        </is>
      </c>
      <c r="K7" s="10" t="inlineStr">
        <is>
          <t>N/A - private, no recent equity raise found</t>
        </is>
      </c>
      <c r="L7" s="10" t="inlineStr">
        <is>
          <t>exceeds - mega-brand</t>
        </is>
      </c>
      <c r="M7" s="10" t="n">
        <v>4</v>
      </c>
      <c r="N7" s="10" t="inlineStr">
        <is>
          <t>Yes</t>
        </is>
      </c>
      <c r="O7" s="10" t="inlineStr">
        <is>
          <t>All hard filters clear - 2025 revenue €6,149M and EBITDA €4,374M (+6.2%), private since 2018 take-private at ~€16.5B enterprise value (far above the $1B bar), no F1 sponsorship ties found, no state ownership; fit=4.</t>
        </is>
      </c>
      <c r="P7" s="10" t="inlineStr">
        <is>
          <t>Global toll-road/mobility-infrastructure operator spanning F1-host markets (Spain, Italy, France, Brazil, Mexico); angle around smart-tolling technology and cross-border mobility, an open category on the grid.</t>
        </is>
      </c>
      <c r="Q7" s="10" t="n"/>
      <c r="R7" s="10" t="inlineStr">
        <is>
          <t>verified-existing</t>
        </is>
      </c>
      <c r="S7" s="10" t="inlineStr">
        <is>
          <t>2026-09-28</t>
        </is>
      </c>
    </row>
    <row r="8">
      <c r="A8" s="10" t="n">
        <v>5</v>
      </c>
      <c r="B8" s="10" t="n">
        <v>92</v>
      </c>
      <c r="C8" s="10" t="inlineStr">
        <is>
          <t>Hitachi Rail</t>
        </is>
      </c>
      <c r="D8" s="10" t="inlineStr">
        <is>
          <t>hitachirail.com</t>
        </is>
      </c>
      <c r="E8" s="10" t="inlineStr">
        <is>
          <t>United Kingdom/Japan</t>
        </is>
      </c>
      <c r="F8" s="10" t="inlineStr">
        <is>
          <t>Wholly-owned subsidiary of Hitachi Ltd (Tokyo-listed public parent)</t>
        </is>
      </c>
      <c r="G8" s="10" t="inlineStr">
        <is>
          <t>Rolling stock, signaling &amp; rail technology</t>
        </is>
      </c>
      <c r="H8" s="10" t="inlineStr">
        <is>
          <t>10k+</t>
        </is>
      </c>
      <c r="I8" s="10" t="inlineStr">
        <is>
          <t>Hitachi Rail division revenue &gt;€7B (~$7.5B), per company/aggregator reporting, ~2024/2025 (hitachirail.com; Owler)</t>
        </is>
      </c>
      <c r="J8" s="10" t="inlineStr">
        <is>
          <t>Via parent Hitachi Ltd: FY2025 consolidated revenue ¥10,586.7B (+8% YoY, hitachi.com financial results release, Apr 2025/2026); Hitachi Ltd market cap well over $100B (2025/2026) - far exceeds the $1B bar</t>
        </is>
      </c>
      <c r="K8" s="10" t="inlineStr">
        <is>
          <t>N/A - subsidiary of an established public parent, no funding round</t>
        </is>
      </c>
      <c r="L8" s="10" t="inlineStr">
        <is>
          <t>exceeds - mega-brand</t>
        </is>
      </c>
      <c r="M8" s="10" t="n">
        <v>4</v>
      </c>
      <c r="N8" s="10" t="inlineStr">
        <is>
          <t>Yes</t>
        </is>
      </c>
      <c r="O8" s="10" t="inlineStr">
        <is>
          <t>All hard filters pass: revenue and valuation clear comfortably via the profitable, non-F1-tied parent Hitachi Ltd; no F1 conflicts found (Hitachi Astemo sponsors IndyCar, not F1); ownership is clean; fit score 4/4.</t>
        </is>
      </c>
      <c r="P8" s="10" t="inlineStr">
        <is>
          <t>Precision rail-engineering and digital-signaling technology story paired with F1's technology narrative; unclaimed 'rail/mobility technology' sponsorship category, with a global footprint spanning multiple GP-host countries.</t>
        </is>
      </c>
      <c r="Q8" s="10" t="inlineStr">
        <is>
          <t>parent: Hitachi Ltd (public, profitable, no F1 ties - Hitachi Astemo's motorsport sponsorship is IndyCar/Team Penske, not F1)</t>
        </is>
      </c>
      <c r="R8" s="10" t="inlineStr">
        <is>
          <t>verified-existing</t>
        </is>
      </c>
      <c r="S8" s="10" t="inlineStr">
        <is>
          <t>2026-09-28</t>
        </is>
      </c>
    </row>
    <row r="9">
      <c r="A9" s="10" t="n">
        <v>6</v>
      </c>
      <c r="B9" s="10" t="n">
        <v>92</v>
      </c>
      <c r="C9" s="10" t="inlineStr">
        <is>
          <t>Progress Rail (Caterpillar)</t>
        </is>
      </c>
      <c r="D9" s="10" t="inlineStr">
        <is>
          <t>progressrail.com</t>
        </is>
      </c>
      <c r="E9" s="10" t="inlineStr">
        <is>
          <t>USA</t>
        </is>
      </c>
      <c r="F9" s="10" t="inlineStr">
        <is>
          <t>Wholly-owned subsidiary of Caterpillar Inc (NYSE-listed public parent)</t>
        </is>
      </c>
      <c r="G9" s="10" t="inlineStr">
        <is>
          <t>Locomotives, rail technology &amp; signaling</t>
        </is>
      </c>
      <c r="H9" s="10" t="inlineStr">
        <is>
          <t>10k+</t>
        </is>
      </c>
      <c r="I9" s="10" t="inlineStr">
        <is>
          <t>$2.6B in 2025, up 4% from 2024 (company reporting via businesswire.com, Feb 2026)</t>
        </is>
      </c>
      <c r="J9" s="10" t="inlineStr">
        <is>
          <t>Via parent Caterpillar Inc: market cap well over $100B (2025/2026) - far exceeds the $1B bar; no F1 conflicts found for Caterpillar</t>
        </is>
      </c>
      <c r="K9" s="10" t="inlineStr">
        <is>
          <t>N/A - subsidiary of an established public parent, no funding round</t>
        </is>
      </c>
      <c r="L9" s="10" t="inlineStr">
        <is>
          <t>exceeds - mega-brand</t>
        </is>
      </c>
      <c r="M9" s="10" t="n">
        <v>4</v>
      </c>
      <c r="N9" s="10" t="inlineStr">
        <is>
          <t>Yes</t>
        </is>
      </c>
      <c r="O9" s="10" t="inlineStr">
        <is>
          <t>All hard filters pass via the profitable, non-F1-tied parent Caterpillar; standalone Progress Rail revenue ($2.6B, 2025) also clears the bar; no F1 conflicts found; fit score 4/4.</t>
        </is>
      </c>
      <c r="P9" s="10" t="inlineStr">
        <is>
          <t>Heavy-engineering horsepower and reliability story - align Progress Rail/Caterpillar powertrain technology with F1 performance engineering; open heavy-industrial/rail-technology sponsorship category, leveraging Caterpillar's global industrial brand recognition.</t>
        </is>
      </c>
      <c r="Q9" s="10" t="inlineStr">
        <is>
          <t>parent: Caterpillar Inc (public, profitable, no F1 ties found)</t>
        </is>
      </c>
      <c r="R9" s="10" t="inlineStr">
        <is>
          <t>verified-existing</t>
        </is>
      </c>
      <c r="S9" s="10" t="inlineStr">
        <is>
          <t>2026-09-28</t>
        </is>
      </c>
    </row>
    <row r="10">
      <c r="A10" s="10" t="n">
        <v>7</v>
      </c>
      <c r="B10" s="10" t="n">
        <v>92</v>
      </c>
      <c r="C10" s="10" t="inlineStr">
        <is>
          <t>Yunex Traffic</t>
        </is>
      </c>
      <c r="D10" s="10" t="inlineStr">
        <is>
          <t>yunextraffic.com</t>
        </is>
      </c>
      <c r="E10" s="10" t="inlineStr">
        <is>
          <t>Germany</t>
        </is>
      </c>
      <c r="F10" s="10" t="inlineStr">
        <is>
          <t>Subsidiary of Mundys (formerly Siemens Mobility; acquired by Atlantia/Mundys in 2022)</t>
        </is>
      </c>
      <c r="G10" s="10" t="inlineStr">
        <is>
          <t>Traffic management &amp; intelligent transport systems (ITS)</t>
        </is>
      </c>
      <c r="H10" s="10" t="inlineStr">
        <is>
          <t>1k-5k</t>
        </is>
      </c>
      <c r="I10" s="10" t="inlineStr">
        <is>
          <t>€635.4M revenue / €54M EBITDA in 2021 (most recent standalone figures found, via cbinsights.com/marketscreener.com); no separate post-acquisition figure, but parent Mundys reports €9.6B group revenue for 2025</t>
        </is>
      </c>
      <c r="J10" s="10" t="inlineStr">
        <is>
          <t>Acquired by Atlantia (now Mundys) from Siemens for ~€950M (agreed Jan 2022, closed June 2022, marketscreener.com); also covered via the much larger, non-F1-tied parent Mundys (~€19B, 2022 tender) - clears the $1B bar</t>
        </is>
      </c>
      <c r="K10" s="10" t="inlineStr">
        <is>
          <t>N/A - 2022 acquisition by Atlantia/Mundys, not a funding round</t>
        </is>
      </c>
      <c r="L10" s="10" t="inlineStr">
        <is>
          <t>exceeds - mega-brand</t>
        </is>
      </c>
      <c r="M10" s="10" t="n">
        <v>4</v>
      </c>
      <c r="N10" s="10" t="inlineStr">
        <is>
          <t>Yes</t>
        </is>
      </c>
      <c r="O10" s="10" t="inlineStr">
        <is>
          <t>Revenue (~€635M standalone, last reported 2021) and valuation (~€950M 2022 acquisition price, plus the far larger non-F1-tied parent Mundys at ~€19B) both clear their bars; no F1 conflicts found; fit score 4/4.</t>
        </is>
      </c>
      <c r="P10" s="10" t="inlineStr">
        <is>
          <t>Smart-mobility/ITS technology narrative - real-time traffic optimization data parallels F1 race-strategy analytics; open ITS/traffic-management sponsorship category, with a global city-authority client base across multiple GP-host markets.</t>
        </is>
      </c>
      <c r="Q10" s="10" t="inlineStr">
        <is>
          <t>parent: Mundys (also a separate candidate in this same list - potential sister-brand/portfolio overlap); former Siemens business, but Siemens is no longer the owner - current owner Mundys has no F1 ties</t>
        </is>
      </c>
      <c r="R10" s="10" t="inlineStr">
        <is>
          <t>verified-existing</t>
        </is>
      </c>
      <c r="S10" s="10" t="inlineStr">
        <is>
          <t>2026-09-28</t>
        </is>
      </c>
    </row>
    <row r="11">
      <c r="A11" s="10" t="n">
        <v>8</v>
      </c>
      <c r="B11" s="10" t="n">
        <v>92</v>
      </c>
      <c r="C11" s="10" t="inlineStr">
        <is>
          <t>CPKC (Canadian Pacific Kansas City)</t>
        </is>
      </c>
      <c r="D11" s="10" t="inlineStr">
        <is>
          <t>cpkc.com</t>
        </is>
      </c>
      <c r="E11" s="10" t="inlineStr">
        <is>
          <t>Canada (Calgary, Alberta)</t>
        </is>
      </c>
      <c r="F11" s="10" t="inlineStr">
        <is>
          <t>Public (TSX/NYSE: CP); no state or sovereign stake</t>
        </is>
      </c>
      <c r="G11" s="10" t="inlineStr">
        <is>
          <t>Class I freight railroad; only transnational Canada-US-Mexico rail network</t>
        </is>
      </c>
      <c r="H11" s="10" t="inlineStr">
        <is>
          <t>10k+</t>
        </is>
      </c>
      <c r="I11" s="10" t="inlineStr">
        <is>
          <t>C$15.08B FY2025 (~US$10.9B) (source: CPKC FY2025 results, SEC 10-K, filed 2026)</t>
        </is>
      </c>
      <c r="J11" s="10" t="inlineStr">
        <is>
          <t>Market cap ~US$81.5B as of Aug 2026 (source: Investing.com/market data, Aug 2026)</t>
        </is>
      </c>
      <c r="K11" s="10" t="inlineStr">
        <is>
          <t>N/A (public company)</t>
        </is>
      </c>
      <c r="L11" s="10" t="inlineStr">
        <is>
          <t>exceeds - mega-brand</t>
        </is>
      </c>
      <c r="M11" s="10" t="n">
        <v>4</v>
      </c>
      <c r="N11" s="10" t="inlineStr">
        <is>
          <t>Yes</t>
        </is>
      </c>
      <c r="O11" s="10" t="inlineStr">
        <is>
          <t>Revenue ~$10.9B and market cap ~$81.5B clear hard bars by a wide margin; 20,000+ employees (10k+ band); public, no state/compliance flags; no F1 sponsorship conflicts found (only unrelated stadium-naming and golf-tournament sponsorships). Fit=4.</t>
        </is>
      </c>
      <c r="P11" s="10" t="inlineStr">
        <is>
          <t>The only transnational Canada-US-Mexico rail network — a natural fit for F1's North American triple-header (Canadian GP, US GPs, Mexico City GP), positioned as the connective backbone across all three host markets.</t>
        </is>
      </c>
      <c r="Q11" s="10" t="n"/>
      <c r="R11" s="10" t="inlineStr">
        <is>
          <t>verified-existing</t>
        </is>
      </c>
      <c r="S11" s="10" t="inlineStr">
        <is>
          <t>2026-09-28</t>
        </is>
      </c>
    </row>
    <row r="12">
      <c r="A12" s="10" t="n">
        <v>9</v>
      </c>
      <c r="B12" s="10" t="n">
        <v>92</v>
      </c>
      <c r="C12" s="10" t="inlineStr">
        <is>
          <t>Vossloh</t>
        </is>
      </c>
      <c r="D12" s="10" t="inlineStr">
        <is>
          <t>vossloh.com</t>
        </is>
      </c>
      <c r="E12" s="10" t="inlineStr">
        <is>
          <t>Germany</t>
        </is>
      </c>
      <c r="F12" s="10" t="inlineStr">
        <is>
          <t>Public (Frankfurt/SDAX, ETR:VOS); no state control identified</t>
        </is>
      </c>
      <c r="G12" s="10" t="inlineStr">
        <is>
          <t>Rail infrastructure components &amp; fastening systems (global)</t>
        </is>
      </c>
      <c r="H12" s="10" t="inlineStr">
        <is>
          <t>1k-5k</t>
        </is>
      </c>
      <c r="I12" s="10" t="inlineStr">
        <is>
          <t>$1.34B FY2025 revenue, +11% YoY, EBIT $111.9M +6% YoY (Investing.com)</t>
        </is>
      </c>
      <c r="J12" s="10" t="inlineStr">
        <is>
          <t>$1.29B / €1.47B market cap (May-Aug 2026, stockanalysis.com) - above the $1B threshold, contrary to triage's below-$1B estimate</t>
        </is>
      </c>
      <c r="K12" s="10" t="inlineStr">
        <is>
          <t>N/A - public company; FY2026 guidance initially 20% sales growth, since trimmed to €1.51-1.61B citing delayed projects/rising procurement costs</t>
        </is>
      </c>
      <c r="L12" s="10" t="inlineStr">
        <is>
          <t>meets parameters</t>
        </is>
      </c>
      <c r="M12" s="10" t="n">
        <v>4</v>
      </c>
      <c r="N12" s="10" t="inlineStr">
        <is>
          <t>Yes</t>
        </is>
      </c>
      <c r="O12" s="10" t="inlineStr">
        <is>
          <t>All hard filters pass: revenue $1.34B (&gt;&gt;$100M), market cap $1.29B (&gt;$1B), headcount 3,000-4,000 (1k-5k band), profitable and growing (a mild guidance trim is not distress), broad global rail-operator client base, no F1 conflict, clean public ownership. Fit score 4 &gt;= 2.</t>
        </is>
      </c>
      <c r="P12" s="10" t="inlineStr">
        <is>
          <t>Precision rail-engineering/technology story on a wholly open rail-infrastructure category - global mobility and high-speed rail buildout narrative.</t>
        </is>
      </c>
      <c r="Q12" s="10" t="inlineStr">
        <is>
          <t>2026 sales guidance trimmed slightly due to delayed projects and rising procurement costs; triage significantly underestimated market cap ($1.29B actual vs ~€0.7-0.9B est)</t>
        </is>
      </c>
      <c r="R12" s="10" t="inlineStr">
        <is>
          <t>verified-existing</t>
        </is>
      </c>
      <c r="S12" s="10" t="inlineStr">
        <is>
          <t>2026-09-28</t>
        </is>
      </c>
    </row>
    <row r="13">
      <c r="A13" s="10" t="n">
        <v>10</v>
      </c>
      <c r="B13" s="10" t="n">
        <v>92</v>
      </c>
      <c r="C13" s="10" t="inlineStr">
        <is>
          <t>SKIDATA</t>
        </is>
      </c>
      <c r="D13" s="10" t="inlineStr">
        <is>
          <t>skidata.com</t>
        </is>
      </c>
      <c r="E13" s="10" t="inlineStr">
        <is>
          <t>Austria (Grödig/Salzburg)</t>
        </is>
      </c>
      <c r="F13" s="10" t="inlineStr">
        <is>
          <t>Public parent - wholly owned subsidiary of ASSA ABLOY AB (Sweden, publicly listed), acquired July 2024 for an enterprise value of ~EUR 340M (mainsights.io/PR Newswire, accessed Sept 2026). Note: SKIDATA was previously part of Kudelski Group (as the input assumed) but was divested to ASSA ABLOY in 2024, so it is no longer linked to Kudelski.</t>
        </is>
      </c>
      <c r="G13" s="10" t="inlineStr">
        <is>
          <t>Access control &amp; parking management systems (Parking &amp; Mobility and Sports &amp; Entertainment divisions)</t>
        </is>
      </c>
      <c r="H13" s="10" t="inlineStr">
        <is>
          <t>1k-5k (est; ~1,400-1,772 employees per Revelio Labs/company site, accessed Sept 2026)</t>
        </is>
      </c>
      <c r="I13" s="10" t="inlineStr">
        <is>
          <t>SKIDATA reported EUR 305M (~US$332M) revenue in fiscal 2023 (multiple M&amp;A press coverage of the ASSA ABLOY acquisition, July 2024, accessed Sept 2026) - clears the $100M bar comfortably</t>
        </is>
      </c>
      <c r="J13" s="10" t="inlineStr">
        <is>
          <t>Parent ASSA ABLOY AB (Stockholm-listed, ASSA-B.ST) market cap ~$39B as of July 2026 (companiesmarketcap.com/stockanalysis.com, accessed Sept 2026) - clears the $1B bar by a wide margin</t>
        </is>
      </c>
      <c r="K13" s="10" t="inlineStr">
        <is>
          <t>n/a - acquired outright by ASSA ABLOY (public, mega-cap, profitable global security group) in July 2024; parent has ample, stable capacity to fund sponsorship spend</t>
        </is>
      </c>
      <c r="L13" s="10" t="inlineStr">
        <is>
          <t>meets parameters</t>
        </is>
      </c>
      <c r="M13" s="10" t="n">
        <v>4</v>
      </c>
      <c r="N13" s="10" t="inlineStr">
        <is>
          <t>Yes</t>
        </is>
      </c>
      <c r="O13" s="10" t="inlineStr">
        <is>
          <t>All hard filters pass: revenue ~$332M (FY2023, pre-acquisition disclosure) well above $100M; valuation via parent ASSA ABLOY market cap ~$39B (July 2026) well above $1B; headcount ~1,400-1,772 (2024) comfortably above 51; parent is profitable, stable, and not in distress; SKIDATA serves thousands of venue/parking/stadium customers globally (no meaningful customer concentration); no F1 sponsorship conflict found for SKIDATA or ASSA ABLOY; fit score 4/4.</t>
        </is>
      </c>
      <c r="P13" s="10" t="inlineStr">
        <is>
          <t>Pitch SKIDATA's stadium/event access-control and fan-entry technology (an open category on the 2026 grid) as an F1 paddock/fan-zone access and ticketing technology partner, leveraging its global venue footprint and ASSA ABLOY's balance sheet for a multi-year deal.</t>
        </is>
      </c>
      <c r="Q13" s="10" t="inlineStr">
        <is>
          <t>input's ownership note (parent: Kudelski) is stale - corrected here: SKIDATA was sold by Kudelski Group to ASSA ABLOY in July 2024 and is no longer part of Kudelski; parent: ASSA ABLOY (large public group, no F1 sponsorship ties found)</t>
        </is>
      </c>
      <c r="R13" s="10" t="inlineStr">
        <is>
          <t>verified-existing</t>
        </is>
      </c>
      <c r="S13" s="10" t="inlineStr">
        <is>
          <t>2026-09-28</t>
        </is>
      </c>
    </row>
    <row r="14">
      <c r="A14" s="10" t="n">
        <v>11</v>
      </c>
      <c r="B14" s="10" t="n">
        <v>84</v>
      </c>
      <c r="C14" s="10" t="inlineStr">
        <is>
          <t>Swarco</t>
        </is>
      </c>
      <c r="D14" s="10" t="inlineStr">
        <is>
          <t>swarco.com</t>
        </is>
      </c>
      <c r="E14" s="10" t="inlineStr">
        <is>
          <t>Austria</t>
        </is>
      </c>
      <c r="F14" s="10" t="inlineStr">
        <is>
          <t>Family-owned (Swarovski family)</t>
        </is>
      </c>
      <c r="G14" s="10" t="inlineStr">
        <is>
          <t>Traffic management &amp; road-marking technology</t>
        </is>
      </c>
      <c r="H14" s="10" t="inlineStr">
        <is>
          <t>5k-10k</t>
        </is>
      </c>
      <c r="I14" s="10" t="inlineStr">
        <is>
          <t>~€1.2B, 2023 confirmed (top.tirol, 'SWARCO knackt Umsatzmarke von 1 Milliarde Euro'); a separate low-quality source claimed $5B for 2025 but this figure could not be corroborated and is treated as unreliable</t>
        </is>
      </c>
      <c r="J14" s="10" t="inlineStr">
        <is>
          <t>No published valuation - private, family-owned (Swarovski family; confirmed via trend.at company profile)</t>
        </is>
      </c>
      <c r="K14" s="10" t="inlineStr">
        <is>
          <t>N/A - private, family-owned; acquired LACROIX's City-Mobility segment Jan 2025 (bolt-on acquisition)</t>
        </is>
      </c>
      <c r="L14" s="10" t="inlineStr">
        <is>
          <t>meets parameters</t>
        </is>
      </c>
      <c r="M14" s="10" t="n">
        <v>3</v>
      </c>
      <c r="N14" s="10" t="inlineStr">
        <is>
          <t>Yes</t>
        </is>
      </c>
      <c r="O14" s="10" t="inlineStr">
        <is>
          <t>Passes hard filters - revenue ~€1.2B confirmed (2023, top.tirol), family-owned with no published valuation (passes on revenue-alone exemption per protocol), no F1 ties found; fit=3.</t>
        </is>
      </c>
      <c r="P14" s="10" t="inlineStr">
        <is>
          <t>Traffic-technology/LED-innovation and road-safety story tied to smart-mobility infrastructure; open category, global footprint across F1 markets.</t>
        </is>
      </c>
      <c r="Q14" s="10" t="inlineStr">
        <is>
          <t>family-owned, no published valuation</t>
        </is>
      </c>
      <c r="R14" s="10" t="inlineStr">
        <is>
          <t>verified-existing</t>
        </is>
      </c>
      <c r="S14" s="10" t="inlineStr">
        <is>
          <t>2026-09-28</t>
        </is>
      </c>
    </row>
    <row r="15">
      <c r="A15" s="10" t="n">
        <v>12</v>
      </c>
      <c r="B15" s="10" t="n">
        <v>84</v>
      </c>
      <c r="C15" s="10" t="inlineStr">
        <is>
          <t>Mundys (Atlantia)</t>
        </is>
      </c>
      <c r="D15" s="10" t="inlineStr">
        <is>
          <t>mundys.com</t>
        </is>
      </c>
      <c r="E15" s="10" t="inlineStr">
        <is>
          <t>Italy</t>
        </is>
      </c>
      <c r="F15" s="10" t="inlineStr">
        <is>
          <t>Majority family-controlled (Edizione/Benetton family, 65% of the controlling consortium) with Blackstone-affiliated funds (35%) and CRT Foundation as minority holders; private since 2022</t>
        </is>
      </c>
      <c r="G15" s="10" t="inlineStr">
        <is>
          <t>Toll roads &amp; mobility infrastructure holding company</t>
        </is>
      </c>
      <c r="H15" s="10" t="inlineStr">
        <is>
          <t>10k+</t>
        </is>
      </c>
      <c r="I15" s="10" t="inlineStr">
        <is>
          <t>€9.6B revenue and €1.2B net income, FY2025 (company/Wikipedia-aggregated disclosures)</t>
        </is>
      </c>
      <c r="J15" s="10" t="inlineStr">
        <is>
          <t>2022 take-private tender offer valued Atlantia at ~€19B (Oct 2022 bid, Schema Alfa/Edizione-Blackstone consortium at €23/share) - far exceeds the $1B bar</t>
        </is>
      </c>
      <c r="K15" s="10" t="inlineStr">
        <is>
          <t>N/A - 2022 take-private acquisition, not a funding raise; Blackstone-affiliated funds first invested Nov 2022</t>
        </is>
      </c>
      <c r="L15" s="10" t="inlineStr">
        <is>
          <t>exceeds - mega-brand</t>
        </is>
      </c>
      <c r="M15" s="10" t="n">
        <v>3</v>
      </c>
      <c r="N15" s="10" t="inlineStr">
        <is>
          <t>Yes</t>
        </is>
      </c>
      <c r="O15" s="10" t="inlineStr">
        <is>
          <t>All hard filters pass: revenue (€9.6B) and valuation (~€19B implied, 2022 tender) both far above the bars; no F1 conflicts found; ownership is majority private family control with no state/gambling/alcohol issue; fit score 3/4.</t>
        </is>
      </c>
      <c r="P15" s="10" t="inlineStr">
        <is>
          <t>Italian heritage angle tied to the Italian GP at Monza - position Mundys' Autostrade network and global mobility-infrastructure reach alongside F1's Italian roots; open toll-road/infrastructure sponsorship category.</t>
        </is>
      </c>
      <c r="Q15" s="10" t="inlineStr">
        <is>
          <t>Blackstone minority stake (~35%) held since Nov 2022 (~4 years); family-controlled via Edizione/Benetton (majority control of the consortium)</t>
        </is>
      </c>
      <c r="R15" s="10" t="inlineStr">
        <is>
          <t>verified-existing</t>
        </is>
      </c>
      <c r="S15" s="10" t="inlineStr">
        <is>
          <t>2026-09-28</t>
        </is>
      </c>
    </row>
    <row r="16">
      <c r="A16" s="10" t="n">
        <v>13</v>
      </c>
      <c r="B16" s="10" t="n">
        <v>84</v>
      </c>
      <c r="C16" s="10" t="inlineStr">
        <is>
          <t>Arriva (I Squared Capital)</t>
        </is>
      </c>
      <c r="D16" s="10" t="inlineStr">
        <is>
          <t>arriva.co.uk</t>
        </is>
      </c>
      <c r="E16" s="10" t="inlineStr">
        <is>
          <t>United Kingdom/Europe</t>
        </is>
      </c>
      <c r="F16" s="10" t="inlineStr">
        <is>
          <t>PE-owned (I Squared Capital, infrastructure investment fund) since Jun 2024, acquired from Deutsche Bahn</t>
        </is>
      </c>
      <c r="G16" s="10" t="inlineStr">
        <is>
          <t>Pan-European bus &amp; rail transit operator across 11 countries</t>
        </is>
      </c>
      <c r="H16" s="10" t="inlineStr">
        <is>
          <t>10k+</t>
        </is>
      </c>
      <c r="I16" s="10" t="inlineStr">
        <is>
          <t>€2.5B in the 7 months to Dec 2024 (annualized ~€4.3B / ~$4.6B) (est); operating profit €127M, pre-tax profit €156M (source: Arriva Group 2024 Annual Report / RailBusinessDaily, CBW, 2025)</t>
        </is>
      </c>
      <c r="J16" s="10" t="inlineStr">
        <is>
          <t>~€1.6B enterprise value (~$1.75B) at the Jun 2024 I Squared Capital acquisition from Deutsche Bahn (source: Financier Worldwide / Sustainable Bus, 2024) — clears the $1B bar</t>
        </is>
      </c>
      <c r="K16" s="10" t="inlineStr">
        <is>
          <t>N/A — acquisition from Deutsche Bahn completed Jun 2024 at ~€1.6B EV</t>
        </is>
      </c>
      <c r="L16" s="10" t="inlineStr">
        <is>
          <t>exceeds - mega-brand</t>
        </is>
      </c>
      <c r="M16" s="10" t="n">
        <v>3</v>
      </c>
      <c r="N16" s="10" t="inlineStr">
        <is>
          <t>Yes</t>
        </is>
      </c>
      <c r="O16" s="10" t="inlineStr">
        <is>
          <t>Clears all hard bars: revenue ~€4.3B annualized (2024, est) far exceeds $100M; valuation ~€1.6B EV (~$1.75B, Jun 2024 deal) exceeds $1B; headcount 40,000+ (10k+ band); profitable and freshly PE-backed with no distress signals; no F1 conflicts found for Arriva or I Squared Capital; no disqualifying ownership. Fit score 3/4 with a clean, open-category angle.</t>
        </is>
      </c>
      <c r="P16" s="10" t="inlineStr">
        <is>
          <t>Pan-European mobility operator spanning multiple F1 host markets (UK, NL, IT, ES, HU) — 'moving Europe's fans and cities' angle; open mobility/transit category on the 2026 grid.</t>
        </is>
      </c>
      <c r="Q16" s="10" t="n"/>
      <c r="R16" s="10" t="inlineStr">
        <is>
          <t>verified-existing</t>
        </is>
      </c>
      <c r="S16" s="10" t="inlineStr">
        <is>
          <t>2026-09-28</t>
        </is>
      </c>
    </row>
    <row r="17">
      <c r="A17" s="10" t="n">
        <v>14</v>
      </c>
      <c r="B17" s="10" t="n">
        <v>84</v>
      </c>
      <c r="C17" s="10" t="inlineStr">
        <is>
          <t>Canadian National Railway (CN)</t>
        </is>
      </c>
      <c r="D17" s="10" t="inlineStr">
        <is>
          <t>cn.ca</t>
        </is>
      </c>
      <c r="E17" s="10" t="inlineStr">
        <is>
          <t>Canada (Montreal, Quebec)</t>
        </is>
      </c>
      <c r="F17" s="10" t="inlineStr">
        <is>
          <t>Public (TSX/NYSE: CNI/CNR); no state or sovereign stake</t>
        </is>
      </c>
      <c r="G17" s="10" t="inlineStr">
        <is>
          <t>Class I freight railroad, Canada/US network</t>
        </is>
      </c>
      <c r="H17" s="10" t="inlineStr">
        <is>
          <t>10k+</t>
        </is>
      </c>
      <c r="I17" s="10" t="inlineStr">
        <is>
          <t>C$17.3B FY2025 (~US$12.5B), +2% YoY (source: CN Q4/FY2025 results, SEC Form 6-K, Jan 2026)</t>
        </is>
      </c>
      <c r="J17" s="10" t="inlineStr">
        <is>
          <t>Market cap ~US$61.6B as of Dec 2025 (source: companiesmarketcap.com, Dec 2025)</t>
        </is>
      </c>
      <c r="K17" s="10" t="inlineStr">
        <is>
          <t>N/A (public company)</t>
        </is>
      </c>
      <c r="L17" s="10" t="inlineStr">
        <is>
          <t>exceeds - mega-brand</t>
        </is>
      </c>
      <c r="M17" s="10" t="n">
        <v>3</v>
      </c>
      <c r="N17" s="10" t="inlineStr">
        <is>
          <t>Yes</t>
        </is>
      </c>
      <c r="O17" s="10" t="inlineStr">
        <is>
          <t>All hard filters clear: revenue ~$12.5B (&gt;&gt;$100M bar), market cap $61.6B (&gt;&gt;$1B bar), 20,000+ employees (10k+ band), public with no state/compliance issues, no F1 team/series/GP sponsorship found. Fit=3 (&gt;=2).</t>
        </is>
      </c>
      <c r="P17" s="10" t="inlineStr">
        <is>
          <t>Tie CN's 'precision railroading' operating philosophy to F1's performance-engineering story, anchored around the Canadian GP (Montreal) — CN's home market.</t>
        </is>
      </c>
      <c r="Q17" s="10" t="n"/>
      <c r="R17" s="10" t="inlineStr">
        <is>
          <t>verified-existing</t>
        </is>
      </c>
      <c r="S17" s="10" t="inlineStr">
        <is>
          <t>2026-09-28</t>
        </is>
      </c>
    </row>
    <row r="18">
      <c r="A18" s="10" t="n">
        <v>15</v>
      </c>
      <c r="B18" s="10" t="n">
        <v>84</v>
      </c>
      <c r="C18" s="10" t="inlineStr">
        <is>
          <t>Union Pacific</t>
        </is>
      </c>
      <c r="D18" s="10" t="inlineStr">
        <is>
          <t>up.com</t>
        </is>
      </c>
      <c r="E18" s="10" t="inlineStr">
        <is>
          <t>USA (Omaha, NE)</t>
        </is>
      </c>
      <c r="F18" s="10" t="inlineStr">
        <is>
          <t>Public (NYSE: UNP); no state or sovereign stake</t>
        </is>
      </c>
      <c r="G18" s="10" t="inlineStr">
        <is>
          <t>Class I freight railroad, western two-thirds of the US</t>
        </is>
      </c>
      <c r="H18" s="10" t="inlineStr">
        <is>
          <t>10k+</t>
        </is>
      </c>
      <c r="I18" s="10" t="inlineStr">
        <is>
          <t>US$24.51B FY2025, +1.1% YoY (source: Union Pacific Q4/FY2025 earnings release, up.com/SEC 8-K, Jan 2026)</t>
        </is>
      </c>
      <c r="J18" s="10" t="inlineStr">
        <is>
          <t>Market cap ~US$177B as of Aug 13, 2026 (source: stockanalysis.com, Aug 2026)</t>
        </is>
      </c>
      <c r="K18" s="10" t="inlineStr">
        <is>
          <t>N/A (public company)</t>
        </is>
      </c>
      <c r="L18" s="10" t="inlineStr">
        <is>
          <t>exceeds - mega-brand</t>
        </is>
      </c>
      <c r="M18" s="10" t="n">
        <v>3</v>
      </c>
      <c r="N18" s="10" t="inlineStr">
        <is>
          <t>Yes</t>
        </is>
      </c>
      <c r="O18" s="10" t="inlineStr">
        <is>
          <t>Revenue $24.5B and market cap $177B far exceed hard bars; 30,000+ employees (10k+ band); public, no state/compliance issues; no F1 sponsorship conflicts found. Fit=3 (&gt;=2). The pending NS merger is a timing consideration, not a hard-filter failure, since UP remains highly profitable and is actively funding a large acquisition.</t>
        </is>
      </c>
      <c r="P18" s="10" t="inlineStr">
        <is>
          <t>'Building America' performance/technology story tied to the Mexico City, Canadian, and three US Grands Prix; consider timing any deal around resolution of the STB merger review for messaging clarity.</t>
        </is>
      </c>
      <c r="Q18" s="10" t="inlineStr">
        <is>
          <t>Pending ~$85B stock-and-cash acquisition of Norfolk Southern announced July 28, 2025; STB merger review ongoing as of Sept 2026, expected to close early 2027 (source: Wikipedia/STB.gov, Sept 2026)</t>
        </is>
      </c>
      <c r="R18" s="10" t="inlineStr">
        <is>
          <t>verified-existing</t>
        </is>
      </c>
      <c r="S18" s="10" t="inlineStr">
        <is>
          <t>2026-09-28</t>
        </is>
      </c>
    </row>
    <row r="19">
      <c r="A19" s="10" t="n">
        <v>16</v>
      </c>
      <c r="B19" s="10" t="n">
        <v>84</v>
      </c>
      <c r="C19" s="10" t="inlineStr">
        <is>
          <t>JR Central (Central Japan Railway Company)</t>
        </is>
      </c>
      <c r="D19" s="10" t="inlineStr">
        <is>
          <t>jr-central.co.jp</t>
        </is>
      </c>
      <c r="E19" s="10" t="inlineStr">
        <is>
          <t>Japan (Nagoya)</t>
        </is>
      </c>
      <c r="F19" s="10" t="inlineStr">
        <is>
          <t>Public (Tokyo Stock Exchange: 9022); fully privatized, government fully divested by 2006 — no state stake</t>
        </is>
      </c>
      <c r="G19" s="10" t="inlineStr">
        <is>
          <t>High-speed rail operator (Tokaido Shinkansen), Japan domestic</t>
        </is>
      </c>
      <c r="H19" s="10" t="inlineStr">
        <is>
          <t>10k+</t>
        </is>
      </c>
      <c r="I19" s="10" t="inlineStr">
        <is>
          <t>¥1.87T forecast FY2025 (~US$12.5B) (source: company FY2025 guidance/Statista, 2025)</t>
        </is>
      </c>
      <c r="J19" s="10" t="inlineStr">
        <is>
          <t>Market cap ~US$26-27B as of Nov 2025 (source: Yahoo Finance/companiesmarketcap.com, Nov 2025)</t>
        </is>
      </c>
      <c r="K19" s="10" t="inlineStr">
        <is>
          <t>N/A (public company)</t>
        </is>
      </c>
      <c r="L19" s="10" t="inlineStr">
        <is>
          <t>exceeds - mega-brand</t>
        </is>
      </c>
      <c r="M19" s="10" t="n">
        <v>3</v>
      </c>
      <c r="N19" s="10" t="inlineStr">
        <is>
          <t>Yes</t>
        </is>
      </c>
      <c r="O19" s="10" t="inlineStr">
        <is>
          <t>Revenue ~$12.5B and market cap ~$26-27B clear hard bars; 18,000+ employees (10k+ band); fully privatized public company, no state ownership or compliance issues; no F1 sponsorship found (JR lines incidentally serve Suzuka GP travel but no sponsorship tie). Fit=3.</t>
        </is>
      </c>
      <c r="P19" s="10" t="inlineStr">
        <is>
          <t>Nagoya/Tokaido Shinkansen is the main gateway for fan travel to the Japanese GP at Suzuka — a punctuality/precision-engineering story pairs naturally with F1's technology narrative and Japan's F1 heritage.</t>
        </is>
      </c>
      <c r="Q19" s="10" t="n"/>
      <c r="R19" s="10" t="inlineStr">
        <is>
          <t>verified-existing</t>
        </is>
      </c>
      <c r="S19" s="10" t="inlineStr">
        <is>
          <t>2026-09-28</t>
        </is>
      </c>
    </row>
    <row r="20">
      <c r="A20" s="10" t="n">
        <v>17</v>
      </c>
      <c r="B20" s="10" t="n">
        <v>84</v>
      </c>
      <c r="C20" s="10" t="inlineStr">
        <is>
          <t>JR East (East Japan Railway Company)</t>
        </is>
      </c>
      <c r="D20" s="10" t="inlineStr">
        <is>
          <t>jreast.co.jp</t>
        </is>
      </c>
      <c r="E20" s="10" t="inlineStr">
        <is>
          <t>Japan (Tokyo)</t>
        </is>
      </c>
      <c r="F20" s="10" t="inlineStr">
        <is>
          <t>Public (Tokyo Stock Exchange: 9020); fully privatized, government fully divested by 2002 — no state stake</t>
        </is>
      </c>
      <c r="G20" s="10" t="inlineStr">
        <is>
          <t>Passenger rail operator, Tokyo/Kanto/Tohoku, Japan domestic</t>
        </is>
      </c>
      <c r="H20" s="10" t="inlineStr">
        <is>
          <t>10k+</t>
        </is>
      </c>
      <c r="I20" s="10" t="inlineStr">
        <is>
          <t>¥3.08T for FY ended March 2026 (~US$20B), up from ¥2.89T FY2025 (source: company FY results, 2026)</t>
        </is>
      </c>
      <c r="J20" s="10" t="inlineStr">
        <is>
          <t>Market cap ~US$24.1B (~¥4T) (source: market data, 2026)</t>
        </is>
      </c>
      <c r="K20" s="10" t="inlineStr">
        <is>
          <t>N/A (public company)</t>
        </is>
      </c>
      <c r="L20" s="10" t="inlineStr">
        <is>
          <t>exceeds - mega-brand</t>
        </is>
      </c>
      <c r="M20" s="10" t="n">
        <v>3</v>
      </c>
      <c r="N20" s="10" t="inlineStr">
        <is>
          <t>Yes</t>
        </is>
      </c>
      <c r="O20" s="10" t="inlineStr">
        <is>
          <t>Revenue ~$20B and market cap ~$24.1B clear hard bars; 40,000+ employees (10k+ band); fully privatized public company, no state/compliance issues; no F1 sponsorship conflicts found. Fit=3.</t>
        </is>
      </c>
      <c r="P20" s="10" t="inlineStr">
        <is>
          <t>Tokyo/Kanto tourism-gateway story — inbound-fan travel packages and a technology/punctuality narrative, positioned as welcoming international F1 fans arriving in Japan.</t>
        </is>
      </c>
      <c r="Q20" s="10" t="n"/>
      <c r="R20" s="10" t="inlineStr">
        <is>
          <t>verified-existing</t>
        </is>
      </c>
      <c r="S20" s="10" t="inlineStr">
        <is>
          <t>2026-09-28</t>
        </is>
      </c>
    </row>
    <row r="21">
      <c r="A21" s="11" t="n">
        <v>18</v>
      </c>
      <c r="B21" s="11" t="n">
        <v>64</v>
      </c>
      <c r="C21" s="11" t="inlineStr">
        <is>
          <t>Hyundai Rotem</t>
        </is>
      </c>
      <c r="D21" s="11" t="inlineStr">
        <is>
          <t>hyundai-rotem.co.kr</t>
        </is>
      </c>
      <c r="E21" s="11" t="inlineStr">
        <is>
          <t>South Korea</t>
        </is>
      </c>
      <c r="F21" s="11" t="inlineStr">
        <is>
          <t>Public (KRX), Hyundai Motor Group affiliate; no state control</t>
        </is>
      </c>
      <c r="G21" s="11" t="inlineStr">
        <is>
          <t>Rolling stock manufacturer</t>
        </is>
      </c>
      <c r="H21" s="11" t="inlineStr">
        <is>
          <t>1k-5k</t>
        </is>
      </c>
      <c r="I21" s="11" t="inlineStr">
        <is>
          <t>KRW 5.84T FY2025 (~$4.2B USD, +33% YoY), KRW 4.38T FY2024 — source: stockanalysis.com, retrieved Sept 2026</t>
        </is>
      </c>
      <c r="J21" s="11" t="inlineStr">
        <is>
          <t>Market cap ~KRW 24.67T (~$18B USD) as of Oct 2025, +329% in one year — source: stockanalysis.com</t>
        </is>
      </c>
      <c r="K21" s="11" t="inlineStr">
        <is>
          <t>n/a (publicly listed, not VC-backed)</t>
        </is>
      </c>
      <c r="L21" s="11" t="inlineStr">
        <is>
          <t>exceeds - mega-brand</t>
        </is>
      </c>
      <c r="M21" s="11" t="n">
        <v>4</v>
      </c>
      <c r="N21" s="11" t="inlineStr">
        <is>
          <t>Stretch</t>
        </is>
      </c>
      <c r="O21" s="11" t="inlineStr">
        <is>
          <t>Hard filters currently pass (market cap ~$18B far exceeds the $1B bar; revenue ~$4.2B USD far exceeds the $100M bar; headcount 1k-5k; no confirmed F1 tie — Hyundai's 2026 F1 entry rumors were officially denied by Hyundai Motorsport's director, Hyundai is not among the 11 confirmed 2026 grid entrants, and its stated motorsport programs are WRC/WEC) but Stretch due to a real reservation: recurring Hyundai-brand F1 entry speculation creates conflict risk, and its rolling-stock customer base is concentrated among a limited set of national/transit rail authorities.</t>
        </is>
      </c>
      <c r="P21" s="11" t="inlineStr">
        <is>
          <t>Rail-technology performance angle for an open rolling-stock/rail-manufacturer category — 'engineering at speed and scale' framing tied to Hyundai Rotem's record order growth, while monitoring Hyundai Motor Group's own F1 speculation before any deal.</t>
        </is>
      </c>
      <c r="Q21" s="11" t="inlineStr">
        <is>
          <t>parent/group brand (Hyundai) has drawn unconfirmed F1 entry speculation in 2026, officially denied by Hyundai Motorsport leadership as of the sources checked; customer base concentrated among a relatively small number of national/transit rail authorities</t>
        </is>
      </c>
      <c r="R21" s="11" t="inlineStr">
        <is>
          <t>verified-existing</t>
        </is>
      </c>
      <c r="S21" s="11" t="inlineStr">
        <is>
          <t>2026-09-28</t>
        </is>
      </c>
    </row>
    <row r="22">
      <c r="A22" s="11" t="n">
        <v>19</v>
      </c>
      <c r="B22" s="11" t="n">
        <v>64</v>
      </c>
      <c r="C22" s="11" t="inlineStr">
        <is>
          <t>Skoda Group (Skoda Transportation)</t>
        </is>
      </c>
      <c r="D22" s="11" t="inlineStr">
        <is>
          <t>skodagroup.com</t>
        </is>
      </c>
      <c r="E22" s="11" t="inlineStr">
        <is>
          <t>Czech Republic</t>
        </is>
      </c>
      <c r="F22" s="11" t="inlineStr">
        <is>
          <t>Privately owned by PPF Group (Kellner family) since 2018; uses the 'Skoda' brand under license from Skoda Auto (VW) until 2029</t>
        </is>
      </c>
      <c r="G22" s="11" t="inlineStr">
        <is>
          <t>Trams &amp; rolling stock</t>
        </is>
      </c>
      <c r="H22" s="11" t="inlineStr">
        <is>
          <t>5k-10k</t>
        </is>
      </c>
      <c r="I22" s="11" t="inlineStr">
        <is>
          <t>Skoda Group: €1.2B revenue (2025); order intake +74% YoY to €1.7B, EBITDA +185% YoY to €62M (2024, skodagroup.com press release). Skoda Transportation legal entity: CZK 29.37B revenue / CZK 726.7M net income, 6,720 employees (2025)</t>
        </is>
      </c>
      <c r="J22" s="11" t="inlineStr">
        <is>
          <t>No current published valuation; PPF acquired 100% of Skoda Transportation in 2018 for €326M (dated, pre-growth figure) - treated as a family-owned exemption (PPF/Kellner family), passing on revenue alone</t>
        </is>
      </c>
      <c r="K22" s="11" t="inlineStr">
        <is>
          <t>N/A - privately held via PPF Group; no external funding raise since the 2018 PPF acquisition</t>
        </is>
      </c>
      <c r="L22" s="11" t="inlineStr">
        <is>
          <t>meets parameters</t>
        </is>
      </c>
      <c r="M22" s="11" t="n">
        <v>4</v>
      </c>
      <c r="N22" s="11" t="inlineStr">
        <is>
          <t>Stretch</t>
        </is>
      </c>
      <c r="O22" s="11" t="inlineStr">
        <is>
          <t>Revenue (€1.2B) clears the bar comfortably and the family-owned exemption covers the valuation gap, but the only concrete valuation figure (€326M, 2018) is stale relative to since-grown revenue - an uncertain-figure reservation; no F1 conflicts found; fit score 4/4 is otherwise strong.</t>
        </is>
      </c>
      <c r="P22" s="11" t="inlineStr">
        <is>
          <t>Central European rail-engineering heritage plus a fast-growing order book (+74% YoY) - position Skoda Group as an emerging global tram/rail-tech player with precision-engineering roots, timed to major recent contract wins; open tram/rail-vehicle category.</t>
        </is>
      </c>
      <c r="Q22" s="11" t="inlineStr">
        <is>
          <t>family-owned (PPF/Kellner family), no current published valuation - the only known price (€326M) is from 2018, before major revenue growth; shares the 'Skoda' brand name under license from Skoda Auto (VW) until 2029 - potential brand-confusion risk</t>
        </is>
      </c>
      <c r="R22" s="11" t="inlineStr">
        <is>
          <t>verified-existing</t>
        </is>
      </c>
      <c r="S22" s="11" t="inlineStr">
        <is>
          <t>2026-09-28</t>
        </is>
      </c>
    </row>
    <row r="23">
      <c r="A23" s="11" t="n">
        <v>20</v>
      </c>
      <c r="B23" s="11" t="n">
        <v>64</v>
      </c>
      <c r="C23" s="11" t="inlineStr">
        <is>
          <t>Loram</t>
        </is>
      </c>
      <c r="D23" s="11" t="inlineStr">
        <is>
          <t>loram.com</t>
        </is>
      </c>
      <c r="E23" s="11" t="inlineStr">
        <is>
          <t>USA</t>
        </is>
      </c>
      <c r="F23" s="11" t="inlineStr">
        <is>
          <t>Privately held, family-owned (Mannix family) since 1954</t>
        </is>
      </c>
      <c r="G23" s="11" t="inlineStr">
        <is>
          <t>Rail grinding &amp; maintenance equipment</t>
        </is>
      </c>
      <c r="H23" s="11" t="inlineStr">
        <is>
          <t>1k-5k</t>
        </is>
      </c>
      <c r="I23" s="11" t="inlineStr">
        <is>
          <t>Estimates range $260M-$484M depending on source (D&amp;B $484.23M, ZoomInfo $403.6M, Zippia $260.0M) - all above the $100M bar though figures vary meaningfully</t>
        </is>
      </c>
      <c r="J23" s="11" t="inlineStr">
        <is>
          <t>No published valuation - private, family-owned (Mannix family) since 1954; passes on revenue alone under the family-owned exemption</t>
        </is>
      </c>
      <c r="K23" s="11" t="inlineStr">
        <is>
          <t>N/A - privately held, no external funding round found; has made bolt-on acquisitions (e.g., Tranergy Corporation)</t>
        </is>
      </c>
      <c r="L23" s="11" t="inlineStr">
        <is>
          <t>meets parameters</t>
        </is>
      </c>
      <c r="M23" s="11" t="n">
        <v>4</v>
      </c>
      <c r="N23" s="11" t="inlineStr">
        <is>
          <t>Stretch</t>
        </is>
      </c>
      <c r="O23" s="11" t="inlineStr">
        <is>
          <t>Passes hard filters via the family-owned exemption and revenue is clearly above $100M under any cited estimate; no F1 conflicts found; strong 4/4 fit; but revenue figures vary widely across sources (uncertain figure) and the core customer base leans on a limited set of major railroads - real reservations.</t>
        </is>
      </c>
      <c r="P23" s="11" t="inlineStr">
        <is>
          <t>Precision rail-grinding technology ('the pit crew of the rail network') - patented control systems and high-power grinding modules mirror F1's precision-engineering ethos; open rail-maintenance-tech category; multi-market presence across the US, UK and Australia.</t>
        </is>
      </c>
      <c r="Q23" s="11" t="inlineStr">
        <is>
          <t>family-owned (Mannix family), no published valuation; revenue estimates vary widely across sources ($260M-$484M) - uncertain figure; core customer base is concentrated among a small number of North American Class I railroads, though diversified by global transit/international clients</t>
        </is>
      </c>
      <c r="R23" s="11" t="inlineStr">
        <is>
          <t>verified-existing</t>
        </is>
      </c>
      <c r="S23" s="11" t="inlineStr">
        <is>
          <t>2026-09-28</t>
        </is>
      </c>
    </row>
    <row r="24">
      <c r="A24" s="11" t="n">
        <v>21</v>
      </c>
      <c r="B24" s="11" t="n">
        <v>64</v>
      </c>
      <c r="C24" s="11" t="inlineStr">
        <is>
          <t>Pandrol</t>
        </is>
      </c>
      <c r="D24" s="11" t="inlineStr">
        <is>
          <t>pandrol.com</t>
        </is>
      </c>
      <c r="E24" s="11" t="inlineStr">
        <is>
          <t>United Kingdom/France</t>
        </is>
      </c>
      <c r="F24" s="11" t="inlineStr">
        <is>
          <t>Owned by Delachaux Group, family-owned (Delachaux family) since 1902; the family completed a buyout of La Caisse's (Quebec pension fund, CDPQ) minority stake in Sept 2026</t>
        </is>
      </c>
      <c r="G24" s="11" t="inlineStr">
        <is>
          <t>Rail fastening systems</t>
        </is>
      </c>
      <c r="H24" s="11" t="inlineStr">
        <is>
          <t>1k-5k</t>
        </is>
      </c>
      <c r="I24" s="11" t="inlineStr">
        <is>
          <t>Delachaux Group (parent, incl. Pandrol, Conductix-Wampfler, DCX Chrome): €1,208M (2024) / €1,013M (2025, delachaux.com); Pandrol standalone estimated ~$300-400M (est, division per input triage) - not independently confirmed</t>
        </is>
      </c>
      <c r="J24" s="11" t="inlineStr">
        <is>
          <t>No published valuation - private, family-owned (Delachaux family) since 1902; passes on revenue alone under the family-owned exemption. La Caisse (CDPQ, a Quebec government pension fund) held a minority stake until the family completed a buyout in Sept 2026 (delachaux.com press release)</t>
        </is>
      </c>
      <c r="K24" s="11" t="inlineStr">
        <is>
          <t>N/A - no external funding raise; most recent transaction is the family's Sept 2026 buyout of La Caisse's stake (an equity repurchase, not a capital raise)</t>
        </is>
      </c>
      <c r="L24" s="11" t="inlineStr">
        <is>
          <t>meets parameters</t>
        </is>
      </c>
      <c r="M24" s="11" t="n">
        <v>4</v>
      </c>
      <c r="N24" s="11" t="inlineStr">
        <is>
          <t>Stretch</t>
        </is>
      </c>
      <c r="O24" s="11" t="inlineStr">
        <is>
          <t>Group revenue (~€1.0-1.2B) and the family-owned exemption clear the revenue/valuation bars, no F1 conflicts were found, and fit score is 4/4, but Pandrol's standalone revenue is unconfirmed (only parent Group figures available) and ownership just underwent a leveraged buyout of a minority state-linked (Quebec pension fund) stake in Sept 2026 - real reservations on figure certainty and near-term spending capacity.</t>
        </is>
      </c>
      <c r="P24" s="11" t="inlineStr">
        <is>
          <t>Rail-infrastructure precision-engineering and safety-critical reliability story ('the fastening system trusted by 400+ railways worldwide') mapped to F1 engineering excellence; open rail-components category; newly consolidated family ownership signals renewed strategic investment appetite.</t>
        </is>
      </c>
      <c r="Q24" s="11" t="inlineStr">
        <is>
          <t>family-owned (Delachaux family since 1902), no published valuation; formerly had a minority stake held by La Caisse (Quebec government pension fund, CDPQ) - bought out by the family in Sept 2026; Pandrol's standalone revenue is unconfirmed - only parent Delachaux Group figures were found; the recent buyout transaction may affect near-term marketing/sponsorship budget capacity</t>
        </is>
      </c>
      <c r="R24" s="11" t="inlineStr">
        <is>
          <t>verified-existing</t>
        </is>
      </c>
      <c r="S24" s="11" t="inlineStr">
        <is>
          <t>2026-09-28</t>
        </is>
      </c>
    </row>
    <row r="25">
      <c r="A25" s="11" t="n">
        <v>22</v>
      </c>
      <c r="B25" s="11" t="n">
        <v>58</v>
      </c>
      <c r="C25" s="11" t="inlineStr">
        <is>
          <t>Amsted Rail</t>
        </is>
      </c>
      <c r="D25" s="11" t="inlineStr">
        <is>
          <t>amstedrail.com</t>
        </is>
      </c>
      <c r="E25" s="11" t="inlineStr">
        <is>
          <t>USA</t>
        </is>
      </c>
      <c r="F25" s="11" t="inlineStr">
        <is>
          <t>Employee-owned (100% ESOP via parent Amsted Industries)</t>
        </is>
      </c>
      <c r="G25" s="11" t="inlineStr">
        <is>
          <t>Rail components (wheels, bearings, couplers)</t>
        </is>
      </c>
      <c r="H25" s="11" t="inlineStr">
        <is>
          <t>5k-10k</t>
        </is>
      </c>
      <c r="I25" s="11" t="inlineStr">
        <is>
          <t>Parent Amsted Industries ~$6.5B, 2024 (company profile aggregation, incfact.com)</t>
        </is>
      </c>
      <c r="J25" s="11" t="inlineStr">
        <is>
          <t>No published valuation - 100% ESOP, private (confirmed via multiple 2025-26 ownership profiles)</t>
        </is>
      </c>
      <c r="K25" s="11" t="inlineStr">
        <is>
          <t>$500M senior notes issuance plus $1.4B credit facility refinancing, early 2025 (debt refinancing, not an equity raise)</t>
        </is>
      </c>
      <c r="L25" s="11" t="inlineStr">
        <is>
          <t>exceeds - mega-brand</t>
        </is>
      </c>
      <c r="M25" s="11" t="n">
        <v>3</v>
      </c>
      <c r="N25" s="11" t="inlineStr">
        <is>
          <t>Stretch</t>
        </is>
      </c>
      <c r="O25" s="11" t="inlineStr">
        <is>
          <t>Employee-owned via 100% ESOP with no published valuation - per protocol treated like the family-owned exemption on revenue alone, but capped at Stretch per the Track A employee-owned rule. No F1 conflicts found; revenue and other hard filters otherwise clear.</t>
        </is>
      </c>
      <c r="P25" s="11" t="inlineStr">
        <is>
          <t>Precision-engineering / performance-under-extreme-conditions narrative around rail hardware reliability; open category, global industrial buyer base.</t>
        </is>
      </c>
      <c r="Q25" s="11" t="inlineStr">
        <is>
          <t>no published valuation (employee-owned)</t>
        </is>
      </c>
      <c r="R25" s="11" t="inlineStr">
        <is>
          <t>verified-existing</t>
        </is>
      </c>
      <c r="S25" s="11" t="inlineStr">
        <is>
          <t>2026-09-28</t>
        </is>
      </c>
    </row>
    <row r="26">
      <c r="A26" s="11" t="n">
        <v>23</v>
      </c>
      <c r="B26" s="11" t="n">
        <v>58</v>
      </c>
      <c r="C26" s="11" t="inlineStr">
        <is>
          <t>Greenbrier Companies</t>
        </is>
      </c>
      <c r="D26" s="11" t="inlineStr">
        <is>
          <t>gbrx.com</t>
        </is>
      </c>
      <c r="E26" s="11" t="inlineStr">
        <is>
          <t>USA</t>
        </is>
      </c>
      <c r="F26" s="11" t="inlineStr">
        <is>
          <t>Public (NYSE: GBX), no state control</t>
        </is>
      </c>
      <c r="G26" s="11" t="inlineStr">
        <is>
          <t>Freight railcar manufacturing</t>
        </is>
      </c>
      <c r="H26" s="11" t="inlineStr">
        <is>
          <t>10k+</t>
        </is>
      </c>
      <c r="I26" s="11" t="inlineStr">
        <is>
          <t>$3.24B, FY2025 (down -8.59% YoY) - stockanalysis.com / companiesmarketcap.com</t>
        </is>
      </c>
      <c r="J26" s="11" t="inlineStr">
        <is>
          <t>Market cap ~$1.44-1.67B, Dec 2025-Feb 2026 - stockanalysis.com / macrotrends.net</t>
        </is>
      </c>
      <c r="K26" s="11" t="inlineStr">
        <is>
          <t>N/A - public company</t>
        </is>
      </c>
      <c r="L26" s="11" t="inlineStr">
        <is>
          <t>meets parameters</t>
        </is>
      </c>
      <c r="M26" s="11" t="n">
        <v>3</v>
      </c>
      <c r="N26" s="11" t="inlineStr">
        <is>
          <t>Stretch</t>
        </is>
      </c>
      <c r="O26" s="11" t="inlineStr">
        <is>
          <t>Passes hard bars (revenue $3.24B far above the $100M bar; market cap $1.44-1.67B above $1B; no F1 ties; record EPS/cash flow shows financial health) but valuation sits at a thin ~1.4-1.7x margin over the $1B bar and revenue declined YoY - a real reservation despite fit=3.</t>
        </is>
      </c>
      <c r="P26" s="11" t="inlineStr">
        <is>
          <t>Freight-rail industrial-strength/reliability narrative across NA/Europe/South America; freight rail manufacturing is an open sponsorship category on the grid.</t>
        </is>
      </c>
      <c r="Q26" s="11" t="inlineStr">
        <is>
          <t>revenue declined -8.59% YoY in FY2025 despite record EPS and strong operating cash flow</t>
        </is>
      </c>
      <c r="R26" s="11" t="inlineStr">
        <is>
          <t>verified-existing</t>
        </is>
      </c>
      <c r="S26" s="11" t="inlineStr">
        <is>
          <t>2026-09-28</t>
        </is>
      </c>
    </row>
    <row r="27">
      <c r="A27" s="11" t="n">
        <v>24</v>
      </c>
      <c r="B27" s="11" t="n">
        <v>58</v>
      </c>
      <c r="C27" s="11" t="inlineStr">
        <is>
          <t>ComfortDelGro</t>
        </is>
      </c>
      <c r="D27" s="11" t="inlineStr">
        <is>
          <t>comfortdelgro.com</t>
        </is>
      </c>
      <c r="E27" s="11" t="inlineStr">
        <is>
          <t>Singapore</t>
        </is>
      </c>
      <c r="F27" s="11" t="inlineStr">
        <is>
          <t>Public (SGX: C52); Temasek-linked holders aggregate ~low-to-mid teens %, a minority (non-controlling) state-linked stake</t>
        </is>
      </c>
      <c r="G27" s="11" t="inlineStr">
        <is>
          <t>Transit &amp; mobility operator (bus, taxi, rail)</t>
        </is>
      </c>
      <c r="H27" s="11" t="inlineStr">
        <is>
          <t>10k+</t>
        </is>
      </c>
      <c r="I27" s="11" t="inlineStr">
        <is>
          <t>$3.87B TTM, as of Dec 31 2025 - pitchbook/tipranks aggregation</t>
        </is>
      </c>
      <c r="J27" s="11" t="inlineStr">
        <is>
          <t>Market cap $2.18B, current 2026 figure - pitchbook and related sources</t>
        </is>
      </c>
      <c r="K27" s="11" t="inlineStr">
        <is>
          <t>N/A - public company</t>
        </is>
      </c>
      <c r="L27" s="11" t="inlineStr">
        <is>
          <t>exceeds - mega-brand</t>
        </is>
      </c>
      <c r="M27" s="11" t="n">
        <v>3</v>
      </c>
      <c r="N27" s="11" t="inlineStr">
        <is>
          <t>Stretch</t>
        </is>
      </c>
      <c r="O27" s="11" t="inlineStr">
        <is>
          <t>Passes hard filters - TTM revenue $3.87B, market cap $2.18B, no F1 ties found, earnings up 19% YoY (1QFY2025) showing financial health - but the minority state-linked ownership (Temasek-linked stake) is flagged per protocol as a real reservation despite fit=3.</t>
        </is>
      </c>
      <c r="P27" s="11" t="inlineStr">
        <is>
          <t>Multi-market land-transport/mobility operator (Singapore, UK, Australia, China); angle around smart/EV mobility and global transit-technology ambition, an open category on the grid.</t>
        </is>
      </c>
      <c r="Q27" s="11" t="inlineStr">
        <is>
          <t>minority state-linked stake (Temasek-linked holders ~low-mid teens%)</t>
        </is>
      </c>
      <c r="R27" s="11" t="inlineStr">
        <is>
          <t>verified-existing</t>
        </is>
      </c>
      <c r="S27" s="11" t="inlineStr">
        <is>
          <t>2026-09-28</t>
        </is>
      </c>
    </row>
    <row r="28">
      <c r="A28" s="11" t="n">
        <v>25</v>
      </c>
      <c r="B28" s="11" t="n">
        <v>58</v>
      </c>
      <c r="C28" s="11" t="inlineStr">
        <is>
          <t>Titagarh Rail Systems</t>
        </is>
      </c>
      <c r="D28" s="11" t="inlineStr">
        <is>
          <t>titagarh.in</t>
        </is>
      </c>
      <c r="E28" s="11" t="inlineStr">
        <is>
          <t>India</t>
        </is>
      </c>
      <c r="F28" s="11" t="inlineStr">
        <is>
          <t>Public (NSE/BSE: TITAGARH)</t>
        </is>
      </c>
      <c r="G28" s="11" t="inlineStr">
        <is>
          <t>Rolling stock &amp; rail components</t>
        </is>
      </c>
      <c r="H28" s="11" t="inlineStr">
        <is>
          <t>1k-5k</t>
        </is>
      </c>
      <c r="I28" s="11" t="inlineStr">
        <is>
          <t>₹31.86B (~$330M) FY2025-26; ₹38.68B FY ended Mar 2025; TTM revenue ₹33.86B, down -14.65% YoY (stockanalysis.com, screener.in, as of Sept 2026)</t>
        </is>
      </c>
      <c r="J28" s="11" t="inlineStr">
        <is>
          <t>Market cap ~₹11,078 crore (~$1.33B) as of Sept 25, 2026 (tipranks.com, stockanalysis.com) - clears the $1B bar but down -20.91% over the past year</t>
        </is>
      </c>
      <c r="K28" s="11" t="inlineStr">
        <is>
          <t>N/A - public company, no recent funding round</t>
        </is>
      </c>
      <c r="L28" s="11" t="inlineStr">
        <is>
          <t>meets parameters</t>
        </is>
      </c>
      <c r="M28" s="11" t="n">
        <v>3</v>
      </c>
      <c r="N28" s="11" t="inlineStr">
        <is>
          <t>Stretch</t>
        </is>
      </c>
      <c r="O28" s="11" t="inlineStr">
        <is>
          <t>Valuation (~$1.33B) and revenue (~$330-380M) both clear their hard bars and no F1 conflicts were found, but revenue is down -14.65% YoY and market cap is down -20.91% YoY - a real reservation on the 'clearly improving, not in distress' capacity test; fit score 3/4, weak on multi-market F1 overlap.</t>
        </is>
      </c>
      <c r="P28" s="11" t="inlineStr">
        <is>
          <t>'Make in India' rail-manufacturing growth story (Vande Bharat, metro expansion) timed with India's rising F1 fan base; open rail-manufacturing sponsorship category built on an engineering/national-ambition narrative.</t>
        </is>
      </c>
      <c r="Q28" s="11" t="inlineStr">
        <is>
          <t>revenue down -14.65% YoY (TTM vs prior year); market cap down -20.91% over the past year; exports include Russia - an optics consideration on exports, though the company itself is Indian-owned with no sanctions exposure found</t>
        </is>
      </c>
      <c r="R28" s="11" t="inlineStr">
        <is>
          <t>verified-existing</t>
        </is>
      </c>
      <c r="S28" s="11" t="inlineStr">
        <is>
          <t>2026-09-28</t>
        </is>
      </c>
    </row>
    <row r="29">
      <c r="A29" s="11" t="n">
        <v>26</v>
      </c>
      <c r="B29" s="11" t="n">
        <v>58</v>
      </c>
      <c r="C29" s="11" t="inlineStr">
        <is>
          <t>Genesee &amp; Wyoming</t>
        </is>
      </c>
      <c r="D29" s="11" t="inlineStr">
        <is>
          <t>gwrr.com</t>
        </is>
      </c>
      <c r="E29" s="11" t="inlineStr">
        <is>
          <t>USA</t>
        </is>
      </c>
      <c r="F29" s="11" t="inlineStr">
        <is>
          <t>Private; owned by Brookfield Infrastructure and GIC (Singapore's sovereign wealth fund) since Dec 2019 — minority state stake via GIC</t>
        </is>
      </c>
      <c r="G29" s="11" t="inlineStr">
        <is>
          <t>Short-line &amp; regional freight railroad operator; 120+ short lines across North America, UK/Europe, and Australia</t>
        </is>
      </c>
      <c r="H29" s="11" t="inlineStr">
        <is>
          <t>5k-10k</t>
        </is>
      </c>
      <c r="I29" s="11" t="inlineStr">
        <is>
          <t>$2.72B (FY2019, last publicly reported figure pre going-private; current scale assumed similar or higher) (est) (source: G&amp;W 2019 SEC filings / Wikipedia)</t>
        </is>
      </c>
      <c r="J29" s="11" t="inlineStr">
        <is>
          <t>$8.4B enterprise value at the Dec 2019 Brookfield Infrastructure/GIC take-private (source: Brookfield Infrastructure press release, Jul 2019) — well above the $1B bar</t>
        </is>
      </c>
      <c r="K29" s="11" t="inlineStr">
        <is>
          <t>N/A — take-private transaction closed Dec 2019 at $8.4B EV; each share converted to $112 cash</t>
        </is>
      </c>
      <c r="L29" s="11" t="inlineStr">
        <is>
          <t>exceeds - mega-brand</t>
        </is>
      </c>
      <c r="M29" s="11" t="n">
        <v>3</v>
      </c>
      <c r="N29" s="11" t="inlineStr">
        <is>
          <t>Stretch</t>
        </is>
      </c>
      <c r="O29" s="11" t="inlineStr">
        <is>
          <t>Passes hard bars (revenue clears &gt;$100M even on the aged 2019 figure; valuation $8.4B EV &gt;&gt; $1B; headcount 5k-10k; no F1 conflicts found for G&amp;W, Brookfield, or GIC; no disqualifying ownership), but real reservations keep it at Stretch: minority state ownership via GIC, a PE/infrastructure hold now 6+ years old, and a revenue figure that is a stale 2019 disclosure rather than a current one.</t>
        </is>
      </c>
      <c r="P29" s="11" t="inlineStr">
        <is>
          <t>Multi-continent freight-rail backbone (North America/Europe/Australia) ties to F1's global logistics and precision-scheduling story; open category — no freight-rail sponsor on the 2026 grid.</t>
        </is>
      </c>
      <c r="Q29" s="11" t="inlineStr">
        <is>
          <t>PE/infrastructure-owned since 2019 (6+ years — 4+ yr flag); minority state stake via GIC (Singapore sovereign wealth fund); revenue figure is an aged 2019 pre-buyout disclosure carried as an estimate (est) — no post-2019 public financials since the company delisted</t>
        </is>
      </c>
      <c r="R29" s="11" t="inlineStr">
        <is>
          <t>verified-existing</t>
        </is>
      </c>
      <c r="S29" s="11" t="inlineStr">
        <is>
          <t>2026-09-28</t>
        </is>
      </c>
    </row>
    <row r="30">
      <c r="A30" s="11" t="n">
        <v>27</v>
      </c>
      <c r="B30" s="11" t="n">
        <v>58</v>
      </c>
      <c r="C30" s="11" t="inlineStr">
        <is>
          <t>Watco Companies</t>
        </is>
      </c>
      <c r="D30" s="11" t="inlineStr">
        <is>
          <t>watcocompanies.com</t>
        </is>
      </c>
      <c r="E30" s="11" t="inlineStr">
        <is>
          <t>USA</t>
        </is>
      </c>
      <c r="F30" s="11" t="inlineStr">
        <is>
          <t>Privately held, founder/family-controlled (founded by Charles R. Webb) with minority institutional investment from Duration Capital Partners (&gt;$600M, 2024/2025, an Oaktree spin-off) and historical minority stakes from Norfolk Southern, Oaktree, and Kinder Morgan</t>
        </is>
      </c>
      <c r="G30" s="11" t="inlineStr">
        <is>
          <t>Short-line rail &amp; supply-chain logistics operator (rail, transloading, terminal/port services)</t>
        </is>
      </c>
      <c r="H30" s="11" t="inlineStr">
        <is>
          <t>1k-5k</t>
        </is>
      </c>
      <c r="I30" s="11" t="inlineStr">
        <is>
          <t>~$1.6-2B (est); figures vary across sources (source: Owler / company profile aggregators, 2024-2025) — clears the $100M bar</t>
        </is>
      </c>
      <c r="J30" s="11" t="inlineStr">
        <is>
          <t>No published valuation; most recent capital event is a minority (&gt;$600M) investment from Duration Capital Partners (2024/2025) — treated as the family-owned exemption, passing on revenue alone</t>
        </is>
      </c>
      <c r="K30" s="11" t="inlineStr">
        <is>
          <t>&gt;$600M minority investment from Duration Capital Partners for growth/expansion (source: PR Newswire / Railway Age, 2024-2025)</t>
        </is>
      </c>
      <c r="L30" s="11" t="inlineStr">
        <is>
          <t>meets parameters</t>
        </is>
      </c>
      <c r="M30" s="11" t="n">
        <v>3</v>
      </c>
      <c r="N30" s="11" t="inlineStr">
        <is>
          <t>Stretch</t>
        </is>
      </c>
      <c r="O30" s="11" t="inlineStr">
        <is>
          <t>Passes hard bars: revenue ~$1.6-2B (est) clears $100M; headcount 1k-5k clears the 51 floor; no F1 conflicts found for Watco or its minority investors; no disqualifying ownership. Capped at Stretch by the family-owned/no-published-valuation exemption plus real reservations — inconsistent revenue figures and employee counts across sources, and family control diluted by minority institutional investors.</t>
        </is>
      </c>
      <c r="P30" s="11" t="inlineStr">
        <is>
          <t>US-founded, family-controlled rail/logistics operator with international reach (Australia, India) — a 'built to move America and beyond' precision-logistics angle; open category on the grid.</t>
        </is>
      </c>
      <c r="Q30" s="11" t="inlineStr">
        <is>
          <t>family-owned, no published valuation; minority PE/institutional stakes (Duration Capital Partners; historically Norfolk Southern/Oaktree/Kinder Morgan) dilute the pure family-ownership picture; revenue figures inconsistent across sources ($1.6B-$2B) (est); public employee-count trackers show ~3,800-4,800 employees, notably below the input's 6,000-8,000 estimate</t>
        </is>
      </c>
      <c r="R30" s="11" t="inlineStr">
        <is>
          <t>verified-existing</t>
        </is>
      </c>
      <c r="S30" s="11" t="inlineStr">
        <is>
          <t>2026-09-28</t>
        </is>
      </c>
    </row>
    <row r="31">
      <c r="A31" s="11" t="n">
        <v>28</v>
      </c>
      <c r="B31" s="11" t="n">
        <v>52</v>
      </c>
      <c r="C31" s="11" t="inlineStr">
        <is>
          <t>Getlink (Eurotunnel)</t>
        </is>
      </c>
      <c r="D31" s="11" t="inlineStr">
        <is>
          <t>getlinkgroup.com</t>
        </is>
      </c>
      <c r="E31" s="11" t="inlineStr">
        <is>
          <t>France/United Kingdom</t>
        </is>
      </c>
      <c r="F31" s="11" t="inlineStr">
        <is>
          <t>Public (Euronext Paris, CAC Next 20); no state control found</t>
        </is>
      </c>
      <c r="G31" s="11" t="inlineStr">
        <is>
          <t>Channel Tunnel rail infrastructure operator (listed, private)</t>
        </is>
      </c>
      <c r="H31" s="11" t="inlineStr">
        <is>
          <t>1k-5k</t>
        </is>
      </c>
      <c r="I31" s="11" t="inlineStr">
        <is>
          <t>€1.595B FY2025 (-1% YoY), €1.614B FY2024 (electricity-transport segment down 12%, other segments grew) — source: Getlink SE press release (Jan 2025) / newsroom.getlinkgroup.com, retrieved Sept 2026</t>
        </is>
      </c>
      <c r="J31" s="11" t="inlineStr">
        <is>
          <t>Market cap ~$11.5B USD as of June 2026 — source: stockanalysis.com</t>
        </is>
      </c>
      <c r="K31" s="11" t="inlineStr">
        <is>
          <t>n/a (publicly listed, not VC-backed)</t>
        </is>
      </c>
      <c r="L31" s="11" t="inlineStr">
        <is>
          <t>exceeds - mega-brand</t>
        </is>
      </c>
      <c r="M31" s="11" t="n">
        <v>2</v>
      </c>
      <c r="N31" s="11" t="inlineStr">
        <is>
          <t>Stretch</t>
        </is>
      </c>
      <c r="O31" s="11" t="inlineStr">
        <is>
          <t>Hard filters pass (market cap ~$11.5B far exceeds the $1B bar; revenue ~$1.6B USD far exceeds the $100M bar; headcount 1k-5k; public with no state control found; no F1 conflict found) but Stretch because fit score is only 2 with a weak market-breadth angle (single fixed cross-Channel asset, not a multi-market seller), and revenue growth is flat rather than clearly improving.</t>
        </is>
      </c>
      <c r="P31" s="11" t="inlineStr">
        <is>
          <t>European connectivity/engineering-icon angle — position the Channel Tunnel as a symbol of cross-border performance engineering, timed around a European race weekend (British or French GP) given Getlink's France/UK identity.</t>
        </is>
      </c>
      <c r="Q31" s="11" t="inlineStr">
        <is>
          <t>revenue essentially flat/slightly down YoY (stable, not clearly growing)</t>
        </is>
      </c>
      <c r="R31" s="11" t="inlineStr">
        <is>
          <t>verified-existing</t>
        </is>
      </c>
      <c r="S31" s="11" t="inlineStr">
        <is>
          <t>2026-09-28</t>
        </is>
      </c>
    </row>
    <row r="32">
      <c r="A32" s="11" t="n">
        <v>29</v>
      </c>
      <c r="B32" s="11" t="n">
        <v>52</v>
      </c>
      <c r="C32" s="11" t="inlineStr">
        <is>
          <t>Transurban</t>
        </is>
      </c>
      <c r="D32" s="11" t="inlineStr">
        <is>
          <t>transurban.com</t>
        </is>
      </c>
      <c r="E32" s="11" t="inlineStr">
        <is>
          <t>Australia</t>
        </is>
      </c>
      <c r="F32" s="11" t="inlineStr">
        <is>
          <t>Public (ASX: TCL), no state control</t>
        </is>
      </c>
      <c r="G32" s="11" t="inlineStr">
        <is>
          <t>Toll road operator</t>
        </is>
      </c>
      <c r="H32" s="11" t="inlineStr">
        <is>
          <t>1k-5k</t>
        </is>
      </c>
      <c r="I32" s="11" t="inlineStr">
        <is>
          <t>AUD $4,047M proportional revenue, FY26 results reported Aug 13 2026 (Transurban FY26 slides via Investing.com); prior FY25 revenue AUD $3.77B (~$2.5B USD, stockanalysis.com)</t>
        </is>
      </c>
      <c r="J32" s="11" t="inlineStr">
        <is>
          <t>Market cap ~A$45B (~US$29-32B), 2026 (stockanalysis.com / companiesmarketcap.com)</t>
        </is>
      </c>
      <c r="K32" s="11" t="inlineStr">
        <is>
          <t>N/A - public company</t>
        </is>
      </c>
      <c r="L32" s="11" t="inlineStr">
        <is>
          <t>exceeds - mega-brand</t>
        </is>
      </c>
      <c r="M32" s="11" t="n">
        <v>2</v>
      </c>
      <c r="N32" s="11" t="inlineStr">
        <is>
          <t>Stretch</t>
        </is>
      </c>
      <c r="O32" s="11" t="inlineStr">
        <is>
          <t>Passes all hard filters (revenue, valuation, headcount, no current F1 conflicts, no state ownership) but fit=2 with weak angles - narrow multi-market presence and a general-commuter audience are a real reservation.</t>
        </is>
      </c>
      <c r="P32" s="11" t="inlineStr">
        <is>
          <t>Smart/electronic tolling technology and global mobility-infrastructure ambition; toll-road operators are an open sponsorship category on the 2026 grid.</t>
        </is>
      </c>
      <c r="Q32" s="11" t="inlineStr">
        <is>
          <t>one-off historical Australian GP sponsorship in 1996, expired, no current tie</t>
        </is>
      </c>
      <c r="R32" s="11" t="inlineStr">
        <is>
          <t>verified-existing</t>
        </is>
      </c>
      <c r="S32" s="11" t="inlineStr">
        <is>
          <t>2026-09-28</t>
        </is>
      </c>
    </row>
    <row r="33">
      <c r="A33" s="11" t="n">
        <v>30</v>
      </c>
      <c r="B33" s="11" t="n">
        <v>52</v>
      </c>
      <c r="C33" s="11" t="inlineStr">
        <is>
          <t>Trinity Industries</t>
        </is>
      </c>
      <c r="D33" s="11" t="inlineStr">
        <is>
          <t>trinityindustries.com</t>
        </is>
      </c>
      <c r="E33" s="11" t="inlineStr">
        <is>
          <t>USA</t>
        </is>
      </c>
      <c r="F33" s="11" t="inlineStr">
        <is>
          <t>Public (NYSE: TRN), no state control</t>
        </is>
      </c>
      <c r="G33" s="11" t="inlineStr">
        <is>
          <t>Railcar manufacturing &amp; leasing</t>
        </is>
      </c>
      <c r="H33" s="11" t="inlineStr">
        <is>
          <t>5k-10k</t>
        </is>
      </c>
      <c r="I33" s="11" t="inlineStr">
        <is>
          <t>$2.16B, 2025 (down -29.95% YoY) - stockanalysis.com; earnings $253.1M, +82.88% YoY</t>
        </is>
      </c>
      <c r="J33" s="11" t="inlineStr">
        <is>
          <t>Market cap $2.64B, as of April 1 2026 - stockanalysis.com</t>
        </is>
      </c>
      <c r="K33" s="11" t="inlineStr">
        <is>
          <t>N/A - public company</t>
        </is>
      </c>
      <c r="L33" s="11" t="inlineStr">
        <is>
          <t>meets parameters</t>
        </is>
      </c>
      <c r="M33" s="11" t="n">
        <v>2</v>
      </c>
      <c r="N33" s="11" t="inlineStr">
        <is>
          <t>Stretch</t>
        </is>
      </c>
      <c r="O33" s="11" t="inlineStr">
        <is>
          <t>Passes hard bars (revenue $2.16B and market cap $2.64B both far above thresholds; earnings up 82.88% YoY shows financial health; no F1 ties) but fit=2 with weak angles - North America-only footprint limits multi-market fit, and the sharp revenue decline is a real reservation.</t>
        </is>
      </c>
      <c r="P33" s="11" t="inlineStr">
        <is>
          <t>US industrial rail-leasing growth story; angle around North American supply-chain resilience and freight infrastructure, an open category on the grid.</t>
        </is>
      </c>
      <c r="Q33" s="11" t="inlineStr">
        <is>
          <t>revenue declined -29.95% YoY in 2025 despite earnings growth</t>
        </is>
      </c>
      <c r="R33" s="11" t="inlineStr">
        <is>
          <t>verified-existing</t>
        </is>
      </c>
      <c r="S33" s="11" t="inlineStr">
        <is>
          <t>2026-09-28</t>
        </is>
      </c>
    </row>
    <row r="34">
      <c r="A34" s="11" t="n">
        <v>31</v>
      </c>
      <c r="B34" s="11" t="n">
        <v>52</v>
      </c>
      <c r="C34" s="11" t="inlineStr">
        <is>
          <t>FirstGroup</t>
        </is>
      </c>
      <c r="D34" s="11" t="inlineStr">
        <is>
          <t>firstgroupplc.com</t>
        </is>
      </c>
      <c r="E34" s="11" t="inlineStr">
        <is>
          <t>United Kingdom</t>
        </is>
      </c>
      <c r="F34" s="11" t="inlineStr">
        <is>
          <t>Public (LSE: FGP)</t>
        </is>
      </c>
      <c r="G34" s="11" t="inlineStr">
        <is>
          <t>Rail &amp; bus transit operator (UK)</t>
        </is>
      </c>
      <c r="H34" s="11" t="inlineStr">
        <is>
          <t>10k+</t>
        </is>
      </c>
      <c r="I34" s="11" t="inlineStr">
        <is>
          <t>£4.65B (~$5.9B) FY2025, vs £4.25B FY2024 (companiesmarketcap.com / stockanalysis.com, reported 2025)</t>
        </is>
      </c>
      <c r="J34" s="11" t="inlineStr">
        <is>
          <t>Market cap ~£894M-£939M (~$1.2-1.26B) as of Sept 18, 2026 (LSE-listed; stockanalysis.com, companiesmarketcap.com) - clears the $1B bar but by a thin margin</t>
        </is>
      </c>
      <c r="K34" s="11" t="inlineStr">
        <is>
          <t>N/A - long-established public company, no recent funding round</t>
        </is>
      </c>
      <c r="L34" s="11" t="inlineStr">
        <is>
          <t>meets parameters</t>
        </is>
      </c>
      <c r="M34" s="11" t="n">
        <v>2</v>
      </c>
      <c r="N34" s="11" t="inlineStr">
        <is>
          <t>Stretch</t>
        </is>
      </c>
      <c r="O34" s="11" t="inlineStr">
        <is>
          <t>Hard filters pass (revenue ~$5.9B FY2025, mkt cap ~$1.2-1.3B as of Sept 2026, headcount 20k+, no F1 conflicts found, UK public ownership, no state/gambling/alcohol issues) but fit score is only 2/4 and the valuation clears its bar by a thin margin - two real reservations.</t>
        </is>
      </c>
      <c r="P34" s="11" t="inlineStr">
        <is>
          <t>UK home-market tie-in: official rail/bus travel partner for the British GP (Silverstone) fan logistics, leaning into FirstGroup's national rail (GWR, TransPennine) and bus network for race-weekend transport and sustainability messaging.</t>
        </is>
      </c>
      <c r="Q34" s="11" t="inlineStr">
        <is>
          <t>thin margin above the $1B valuation bar (~$1.2-1.3B); UK-only footprint since 2021 divestment of North American operations</t>
        </is>
      </c>
      <c r="R34" s="11" t="inlineStr">
        <is>
          <t>verified-existing</t>
        </is>
      </c>
      <c r="S34" s="11" t="inlineStr">
        <is>
          <t>2026-09-28</t>
        </is>
      </c>
    </row>
    <row r="35">
      <c r="A35" s="11" t="n">
        <v>32</v>
      </c>
      <c r="B35" s="11" t="n">
        <v>52</v>
      </c>
      <c r="C35" s="11" t="inlineStr">
        <is>
          <t>CSX Corporation</t>
        </is>
      </c>
      <c r="D35" s="11" t="inlineStr">
        <is>
          <t>csx.com</t>
        </is>
      </c>
      <c r="E35" s="11" t="inlineStr">
        <is>
          <t>USA (Jacksonville, FL)</t>
        </is>
      </c>
      <c r="F35" s="11" t="inlineStr">
        <is>
          <t>Public (Nasdaq: CSX); no state or sovereign stake</t>
        </is>
      </c>
      <c r="G35" s="11" t="inlineStr">
        <is>
          <t>Class I freight railroad, eastern US network</t>
        </is>
      </c>
      <c r="H35" s="11" t="inlineStr">
        <is>
          <t>10k+</t>
        </is>
      </c>
      <c r="I35" s="11" t="inlineStr">
        <is>
          <t>US$14.09B FY2025, -3.1% YoY (source: CSX FY2025 10-K, SEC, filed 2026)</t>
        </is>
      </c>
      <c r="J35" s="11" t="inlineStr">
        <is>
          <t>Market cap ~US$89B as of June 2026 (source: stockanalysis.com, June 2026)</t>
        </is>
      </c>
      <c r="K35" s="11" t="inlineStr">
        <is>
          <t>N/A (public company)</t>
        </is>
      </c>
      <c r="L35" s="11" t="inlineStr">
        <is>
          <t>exceeds - mega-brand</t>
        </is>
      </c>
      <c r="M35" s="11" t="n">
        <v>2</v>
      </c>
      <c r="N35" s="11" t="inlineStr">
        <is>
          <t>Stretch</t>
        </is>
      </c>
      <c r="O35" s="11" t="inlineStr">
        <is>
          <t>Hard filters pass (revenue $14.1B, market cap $89B, 20,000+ employees, public, no F1 conflicts found) but fit==2 with a weaker brand-story angle and single-market (US-only) footprint.</t>
        </is>
      </c>
      <c r="P35" s="11" t="inlineStr">
        <is>
          <t>US-market entry story timed to F1's growing American fanbase and three US Grands Prix (Austin, Miami, Las Vegas) — would need a sharper performance narrative to differentiate from CN/CPKC/UP.</t>
        </is>
      </c>
      <c r="Q35" s="11" t="inlineStr">
        <is>
          <t>revenue -3.1% YoY and operating income -14% YoY in FY2025</t>
        </is>
      </c>
      <c r="R35" s="11" t="inlineStr">
        <is>
          <t>verified-existing</t>
        </is>
      </c>
      <c r="S35" s="11" t="inlineStr">
        <is>
          <t>2026-09-28</t>
        </is>
      </c>
    </row>
    <row r="36">
      <c r="A36" s="11" t="n">
        <v>33</v>
      </c>
      <c r="B36" s="11" t="n">
        <v>52</v>
      </c>
      <c r="C36" s="11" t="inlineStr">
        <is>
          <t>Downer Group</t>
        </is>
      </c>
      <c r="D36" s="11" t="inlineStr">
        <is>
          <t>downergroup.com</t>
        </is>
      </c>
      <c r="E36" s="11" t="inlineStr">
        <is>
          <t>Australia (Sydney)</t>
        </is>
      </c>
      <c r="F36" s="11" t="inlineStr">
        <is>
          <t>Public (ASX: DOW); no state or sovereign stake</t>
        </is>
      </c>
      <c r="G36" s="11" t="inlineStr">
        <is>
          <t>Rail &amp; transit infrastructure maintenance services, Australia/New Zealand</t>
        </is>
      </c>
      <c r="H36" s="11" t="inlineStr">
        <is>
          <t>10k+</t>
        </is>
      </c>
      <c r="I36" s="11" t="inlineStr">
        <is>
          <t>AUD $10.6B pro forma FY25 (year ended June 2025), -2.5% YoY (source: Downer FY25 results, ASX announcement, 21 Aug 2025)</t>
        </is>
      </c>
      <c r="J36" s="11" t="inlineStr">
        <is>
          <t>Market cap ~AUD $4.24B (~US$2.75B) as of Sept 4, 2026 (source: stockanalysis.com, Sept 2026)</t>
        </is>
      </c>
      <c r="K36" s="11" t="inlineStr">
        <is>
          <t>N/A (public company)</t>
        </is>
      </c>
      <c r="L36" s="11" t="inlineStr">
        <is>
          <t>meets parameters</t>
        </is>
      </c>
      <c r="M36" s="11" t="n">
        <v>2</v>
      </c>
      <c r="N36" s="11" t="inlineStr">
        <is>
          <t>Stretch</t>
        </is>
      </c>
      <c r="O36" s="11" t="inlineStr">
        <is>
          <t>Hard filters pass (revenue ~US$6.9B, market cap ~US$2.75B, ~26,000 employees, public, no F1 conflicts found) but fit==2 with a weak brand-story angle, plus a revenue decline during an active business-quality restructuring.</t>
        </is>
      </c>
      <c r="P36" s="11" t="inlineStr">
        <is>
          <t>Australian GP (Melbourne, Downer's home market) hospitality tie-in built around an infrastructure-reliability story ('keeping essential networks moving') — would benefit from a sharper performance narrative.</t>
        </is>
      </c>
      <c r="Q36" s="11" t="inlineStr">
        <is>
          <t>revenue -2.5% YoY in FY25 amid active portfolio rationalization and exit of underperforming businesses</t>
        </is>
      </c>
      <c r="R36" s="11" t="inlineStr">
        <is>
          <t>verified-existing</t>
        </is>
      </c>
      <c r="S36" s="11" t="inlineStr">
        <is>
          <t>2026-09-28</t>
        </is>
      </c>
    </row>
    <row r="37">
      <c r="A37" s="11" t="n">
        <v>34</v>
      </c>
      <c r="B37" s="11" t="n">
        <v>52</v>
      </c>
      <c r="C37" s="11" t="inlineStr">
        <is>
          <t>Norfolk Southern</t>
        </is>
      </c>
      <c r="D37" s="11" t="inlineStr">
        <is>
          <t>nscorp.com</t>
        </is>
      </c>
      <c r="E37" s="11" t="inlineStr">
        <is>
          <t>USA (Atlanta, GA)</t>
        </is>
      </c>
      <c r="F37" s="11" t="inlineStr">
        <is>
          <t>Public (NYSE: NSC); pending acquisition by Union Pacific; no state or sovereign stake</t>
        </is>
      </c>
      <c r="G37" s="11" t="inlineStr">
        <is>
          <t>Class I freight railroad, eastern US network</t>
        </is>
      </c>
      <c r="H37" s="11" t="inlineStr">
        <is>
          <t>10k+</t>
        </is>
      </c>
      <c r="I37" s="11" t="inlineStr">
        <is>
          <t>US$12.18B FY2025, +0.5% YoY (source: Norfolk Southern FY2025 results release, early 2026)</t>
        </is>
      </c>
      <c r="J37" s="11" t="inlineStr">
        <is>
          <t>Market cap ~US$73.33B as of Oct 8, 2025, reflecting UP acquisition premium (source: tipranks.com, Oct 2025)</t>
        </is>
      </c>
      <c r="K37" s="11" t="inlineStr">
        <is>
          <t>N/A (public company)</t>
        </is>
      </c>
      <c r="L37" s="11" t="inlineStr">
        <is>
          <t>exceeds - mega-brand</t>
        </is>
      </c>
      <c r="M37" s="11" t="n">
        <v>2</v>
      </c>
      <c r="N37" s="11" t="inlineStr">
        <is>
          <t>Stretch</t>
        </is>
      </c>
      <c r="O37" s="11" t="inlineStr">
        <is>
          <t>Hard filters pass (revenue $12.2B, market cap $73.3B, 17,000+ employees, public, no F1 conflicts found) but fit==2 with a weak brand angle, compounded by the pending Union Pacific acquisition creating real uncertainty about deal continuity through the expected 2027 close.</t>
        </is>
      </c>
      <c r="P37" s="11" t="inlineStr">
        <is>
          <t>If pursued, time outreach to post-merger clarity; otherwise frame as an East Coast US logistics/performance story ahead of the Miami/Austin GPs — contingent on the UP deal not closing first.</t>
        </is>
      </c>
      <c r="Q37" s="11" t="inlineStr">
        <is>
          <t>Being acquired by Union Pacific in an ~$85B stock-and-cash deal announced July 28, 2025; STB review ongoing, expected to close early 2027 — raises doubt about who would execute a multi-year sponsorship commitment (source: Wikipedia/STB.gov, Sept 2026)</t>
        </is>
      </c>
      <c r="R37" s="11" t="inlineStr">
        <is>
          <t>verified-existing</t>
        </is>
      </c>
      <c r="S37" s="11" t="inlineStr">
        <is>
          <t>2026-09-28</t>
        </is>
      </c>
    </row>
  </sheetData>
  <autoFilter ref="A3:S37"/>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S38"/>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Industrial &amp; MRO Distributio — existing New-Sectors book, now verified — 35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"13 Industrial &amp; MRO Distributio".</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0" t="n">
        <v>1</v>
      </c>
      <c r="B4" s="10" t="n">
        <v>92</v>
      </c>
      <c r="C4" s="10" t="inlineStr">
        <is>
          <t>NOW Inc. (DistributionNOW)</t>
        </is>
      </c>
      <c r="D4" s="10" t="inlineStr">
        <is>
          <t>distributionnow.com</t>
        </is>
      </c>
      <c r="E4" s="10" t="inlineStr">
        <is>
          <t>USA</t>
        </is>
      </c>
      <c r="F4" s="10" t="inlineStr">
        <is>
          <t>Public (NYSE: DNOW), no state ties</t>
        </is>
      </c>
      <c r="G4" s="10" t="inlineStr">
        <is>
          <t>Energy/industrial MRO distribution, global</t>
        </is>
      </c>
      <c r="H4" s="10" t="inlineStr">
        <is>
          <t>5k-10k</t>
        </is>
      </c>
      <c r="I4" s="10" t="inlineStr">
        <is>
          <t>$2.82B FY2025, up from $2.37B in 2024, driven by the MRC Global combination (companiesmarketcap.com/SEC 8-K, reported 2026) — clears &gt;$100M bar</t>
        </is>
      </c>
      <c r="J4" s="10" t="inlineStr">
        <is>
          <t>Market cap ~$2.46B as of June 18, 2026 (stockanalysis.com) — clears &gt;$1B bar</t>
        </is>
      </c>
      <c r="K4" s="10" t="inlineStr">
        <is>
          <t>N/A (public); completed all-stock combination with MRC Global on Nov 6, 2025, valued at ~$1.5B including MRC's net debt (DNOW IR release, 2025)</t>
        </is>
      </c>
      <c r="L4" s="10" t="inlineStr">
        <is>
          <t>meets parameters</t>
        </is>
      </c>
      <c r="M4" s="10" t="n">
        <v>4</v>
      </c>
      <c r="N4" s="10" t="inlineStr">
        <is>
          <t>Yes</t>
        </is>
      </c>
      <c r="O4" s="10" t="inlineStr">
        <is>
          <t>All hard filters clear with room (revenue $2.82B, market cap $2.46B, ~5,000 employees post-merger in 20+ countries, no F1 conflict found, no distress — record revenue/EBITDA), and fit scores a clean 4/4 on global reach, buyer profile, narrative, and open category.</t>
        </is>
      </c>
      <c r="P4" s="10" t="inlineStr">
        <is>
          <t>Newly combined global energy/industrial distribution network (20+ countries) — market-timing angle around the DNOW/MRC Global merger paired with a global-infrastructure/engineering-precision story; open category on the grid.</t>
        </is>
      </c>
      <c r="Q4" s="10" t="inlineStr">
        <is>
          <t>recently completed transformative merger with MRC Global (Nov 2025) — combined ~5,000 employees across 20+ countries</t>
        </is>
      </c>
      <c r="R4" s="10" t="inlineStr">
        <is>
          <t>verified-existing</t>
        </is>
      </c>
      <c r="S4" s="10" t="inlineStr">
        <is>
          <t>2026-09-28</t>
        </is>
      </c>
    </row>
    <row r="5">
      <c r="A5" s="10" t="n">
        <v>2</v>
      </c>
      <c r="B5" s="10" t="n">
        <v>92</v>
      </c>
      <c r="C5" s="10" t="inlineStr">
        <is>
          <t>Brady Corporation</t>
        </is>
      </c>
      <c r="D5" s="10" t="inlineStr">
        <is>
          <t>bradyid.com</t>
        </is>
      </c>
      <c r="E5" s="10" t="inlineStr">
        <is>
          <t>USA</t>
        </is>
      </c>
      <c r="F5" s="10" t="inlineStr">
        <is>
          <t>Public (NYSE: BRC), no state ties</t>
        </is>
      </c>
      <c r="G5" s="10" t="inlineStr">
        <is>
          <t>Safety/identification products manufacturing &amp; distribution (labeling, RFID, industrial printers), global</t>
        </is>
      </c>
      <c r="H5" s="10" t="inlineStr">
        <is>
          <t>5k-10k</t>
        </is>
      </c>
      <c r="I5" s="10" t="inlineStr">
        <is>
          <t>$1.51B FY2025 (stockanalysis.com/SEC 8-K, reported 2025-2026) — clears &gt;$100M bar</t>
        </is>
      </c>
      <c r="J5" s="10" t="inlineStr">
        <is>
          <t>Market cap ~$3.98B as of Sept 23, 2026 (stockanalysis.com) — clears &gt;$1B bar with a wide margin</t>
        </is>
      </c>
      <c r="K5" s="10" t="inlineStr">
        <is>
          <t>N/A (public company)</t>
        </is>
      </c>
      <c r="L5" s="10" t="inlineStr">
        <is>
          <t>meets parameters</t>
        </is>
      </c>
      <c r="M5" s="10" t="n">
        <v>4</v>
      </c>
      <c r="N5" s="10" t="inlineStr">
        <is>
          <t>Yes</t>
        </is>
      </c>
      <c r="O5" s="10" t="inlineStr">
        <is>
          <t>All hard filters clear comfortably (revenue $1.51B, market cap $3.98B, 5,700+ employees, public and stable, no F1 conflict — confirmed the 'Brady' search hits are unrelated Tom Brady/NFL content) and fit scores a clean 4/4.</t>
        </is>
      </c>
      <c r="P5" s="10" t="inlineStr">
        <is>
          <t>Global safety and identification technology leader (RFID, industrial printing/software) — open category with a genuine precision/technology narrative and worldwide reach across F1 markets.</t>
        </is>
      </c>
      <c r="Q5" s="10" t="n"/>
      <c r="R5" s="10" t="inlineStr">
        <is>
          <t>verified-existing</t>
        </is>
      </c>
      <c r="S5" s="10" t="inlineStr">
        <is>
          <t>2026-09-28</t>
        </is>
      </c>
    </row>
    <row r="6">
      <c r="A6" s="10" t="n">
        <v>3</v>
      </c>
      <c r="B6" s="10" t="n">
        <v>92</v>
      </c>
      <c r="C6" s="10" t="inlineStr">
        <is>
          <t>BDI (Bearing Distributors Inc)</t>
        </is>
      </c>
      <c r="D6" s="10" t="inlineStr">
        <is>
          <t>bdiexpress.com</t>
        </is>
      </c>
      <c r="E6" s="10" t="inlineStr">
        <is>
          <t>USA</t>
        </is>
      </c>
      <c r="F6" s="10" t="inlineStr">
        <is>
          <t>Family-owned (privately held family holding-company structure, per industry press)</t>
        </is>
      </c>
      <c r="G6" s="10" t="inlineStr">
        <is>
          <t>Bearings/power transmission distribution, 200+ locations across 11 countries</t>
        </is>
      </c>
      <c r="H6" s="10" t="inlineStr">
        <is>
          <t>1k-5k</t>
        </is>
      </c>
      <c r="I6" s="10" t="inlineStr">
        <is>
          <t>~$519M-$750M annual revenue (2025 estimates vary by source - PrivCo, D&amp;B, industry estimates)</t>
        </is>
      </c>
      <c r="J6" s="10" t="inlineStr">
        <is>
          <t>n/a - family-owned, no published valuation (passes on revenue alone)</t>
        </is>
      </c>
      <c r="K6" s="10" t="inlineStr">
        <is>
          <t>n/a</t>
        </is>
      </c>
      <c r="L6" s="10" t="inlineStr">
        <is>
          <t>meets parameters</t>
        </is>
      </c>
      <c r="M6" s="10" t="n">
        <v>4</v>
      </c>
      <c r="N6" s="10" t="inlineStr">
        <is>
          <t>Yes</t>
        </is>
      </c>
      <c r="O6" s="10" t="inlineStr">
        <is>
          <t>All hard filters pass: revenue clears the $100M bar by a wide margin under any cited estimate; family-owned with no published valuation is exempted, passing on revenue alone; headcount ~1,400 (1k-5k band); no F1 sponsorship found for BDI; privately/family held in the US with no compliance issues; fit score 4.</t>
        </is>
      </c>
      <c r="P6" s="10" t="inlineStr">
        <is>
          <t>Bearings/power-transmission as a literal mechanical-performance story - 'the parts that keep performance machines turning' - tied to precision engineering across an 11-country distribution footprint.</t>
        </is>
      </c>
      <c r="Q6" s="10" t="inlineStr">
        <is>
          <t>family-owned, no published valuation; revenue estimates vary by source ($519M-$750M)</t>
        </is>
      </c>
      <c r="R6" s="10" t="inlineStr">
        <is>
          <t>verified-existing</t>
        </is>
      </c>
      <c r="S6" s="10" t="inlineStr">
        <is>
          <t>2026-09-28</t>
        </is>
      </c>
    </row>
    <row r="7">
      <c r="A7" s="10" t="n">
        <v>4</v>
      </c>
      <c r="B7" s="10" t="n">
        <v>92</v>
      </c>
      <c r="C7" s="10" t="inlineStr">
        <is>
          <t>Reyher</t>
        </is>
      </c>
      <c r="D7" s="10" t="inlineStr">
        <is>
          <t>reyher.de</t>
        </is>
      </c>
      <c r="E7" s="10" t="inlineStr">
        <is>
          <t>Germany</t>
        </is>
      </c>
      <c r="F7" s="10" t="inlineStr">
        <is>
          <t>Family-owned (Blinckmann family), private</t>
        </is>
      </c>
      <c r="G7" s="10" t="inlineStr">
        <is>
          <t>Fasteners/C-parts distribution and fixing technology</t>
        </is>
      </c>
      <c r="H7" s="10" t="inlineStr">
        <is>
          <t>201-1k</t>
        </is>
      </c>
      <c r="I7" s="10" t="inlineStr">
        <is>
          <t>€435M (~$470M) in FY2024, +960 employees, per company press release (reyher.de, Sep 2026 search)</t>
        </is>
      </c>
      <c r="J7" s="10" t="inlineStr">
        <is>
          <t>No published valuation - private, family-owned (Blinckmann family); qualifies for the family-owned no-valuation exemption</t>
        </is>
      </c>
      <c r="K7" s="10" t="inlineStr">
        <is>
          <t>n/a - family-owned, no external funding rounds identified</t>
        </is>
      </c>
      <c r="L7" s="10" t="inlineStr">
        <is>
          <t>meets parameters</t>
        </is>
      </c>
      <c r="M7" s="10" t="n">
        <v>4</v>
      </c>
      <c r="N7" s="10" t="inlineStr">
        <is>
          <t>Yes</t>
        </is>
      </c>
      <c r="O7" s="10" t="inlineStr">
        <is>
          <t>Passes all hard filters: revenue €435M (2024) clears the $100M bar; family-owned (Blinckmann family) with no published valuation (exemption applies); 960+ employees; no F1 sponsorship conflicts found; clean German family ownership with no state/compliance issues; fit score 4.</t>
        </is>
      </c>
      <c r="P7" s="10" t="inlineStr">
        <is>
          <t>Precision fastening technology as the invisible backbone of performance engineering ('every bolt matters') tied to component reliability under extreme stress - an open category on the 2026 grid, paired with Reyher's recognition as a top-100 German family business for an authentic ownership story.</t>
        </is>
      </c>
      <c r="Q7" s="10" t="n"/>
      <c r="R7" s="10" t="inlineStr">
        <is>
          <t>verified-existing</t>
        </is>
      </c>
      <c r="S7" s="10" t="inlineStr">
        <is>
          <t>2026-09-28</t>
        </is>
      </c>
    </row>
    <row r="8">
      <c r="A8" s="10" t="n">
        <v>5</v>
      </c>
      <c r="B8" s="10" t="n">
        <v>92</v>
      </c>
      <c r="C8" s="10" t="inlineStr">
        <is>
          <t>Steel Warehouse Company</t>
        </is>
      </c>
      <c r="D8" s="10" t="inlineStr">
        <is>
          <t>steelwarehouse.com</t>
        </is>
      </c>
      <c r="E8" s="10" t="inlineStr">
        <is>
          <t>USA</t>
        </is>
      </c>
      <c r="F8" s="10" t="inlineStr">
        <is>
          <t>Family-owned (Lerman family, three generations), private</t>
        </is>
      </c>
      <c r="G8" s="10" t="inlineStr">
        <is>
          <t>Metals service center distribution (flat-rolled steel products)</t>
        </is>
      </c>
      <c r="H8" s="10" t="inlineStr">
        <is>
          <t>201-1k</t>
        </is>
      </c>
      <c r="I8" s="10" t="inlineStr">
        <is>
          <t>Estimated $450-570M (multiple data aggregators cite ~$570.3M; est), per Zippia/ZoomInfo (Sep 2026 search)</t>
        </is>
      </c>
      <c r="J8" s="10" t="inlineStr">
        <is>
          <t>No published valuation - private, family-owned (Lerman family); qualifies for the family-owned no-valuation exemption</t>
        </is>
      </c>
      <c r="K8" s="10" t="inlineStr">
        <is>
          <t>n/a - family-owned, no external funding rounds identified</t>
        </is>
      </c>
      <c r="L8" s="10" t="inlineStr">
        <is>
          <t>meets parameters</t>
        </is>
      </c>
      <c r="M8" s="10" t="n">
        <v>4</v>
      </c>
      <c r="N8" s="10" t="inlineStr">
        <is>
          <t>Yes</t>
        </is>
      </c>
      <c r="O8" s="10" t="inlineStr">
        <is>
          <t>Passes all hard filters: revenue ~$450-570M (est) clears the $100M bar; family-owned (Lerman family) with no published valuation (exemption applies); 600+ employees across 14 US/Mexico/Brazil locations; no F1 sponsorship conflicts found; clean ownership, no compliance issues; fit score 4.</t>
        </is>
      </c>
      <c r="P8" s="10" t="inlineStr">
        <is>
          <t>Steel/advanced-materials performance story ('the metals behind high-performance components') amplified by a genuine three-country footprint (US/Mexico/Brazil) and third-generation family-business authenticity, into an open metals/materials category on the grid.</t>
        </is>
      </c>
      <c r="Q8" s="10" t="inlineStr">
        <is>
          <t>revenue estimates vary $450-570M across sources (est)</t>
        </is>
      </c>
      <c r="R8" s="10" t="inlineStr">
        <is>
          <t>verified-existing</t>
        </is>
      </c>
      <c r="S8" s="10" t="inlineStr">
        <is>
          <t>2026-09-28</t>
        </is>
      </c>
    </row>
    <row r="9">
      <c r="A9" s="10" t="n">
        <v>6</v>
      </c>
      <c r="B9" s="10" t="n">
        <v>84</v>
      </c>
      <c r="C9" s="10" t="inlineStr">
        <is>
          <t>TVH Group</t>
        </is>
      </c>
      <c r="D9" s="10" t="inlineStr">
        <is>
          <t>tvh.com</t>
        </is>
      </c>
      <c r="E9" s="10" t="inlineStr">
        <is>
          <t>Belgium</t>
        </is>
      </c>
      <c r="F9" s="10" t="inlineStr">
        <is>
          <t>60% Thermote family / 40% D'Ieteren Group (public, Belgium, no F1 ties), since 2021</t>
        </is>
      </c>
      <c r="G9" s="10" t="inlineStr">
        <is>
          <t>Materials-handling/forklift parts distribution, global (90 locations)</t>
        </is>
      </c>
      <c r="H9" s="10" t="inlineStr">
        <is>
          <t>5k-10k</t>
        </is>
      </c>
      <c r="I9" s="10" t="inlineStr">
        <is>
          <t>~€1.7B+ estimated FY2024 (extrapolated from H1 2024 revenue of ~€850M, +6.8% YoY; D'Ieteren Group H1 2024 results, Aug 2024) (est) — clears &gt;$100M bar</t>
        </is>
      </c>
      <c r="J9" s="10" t="inlineStr">
        <is>
          <t>Enterprise value of €3,650M (~$4B) established when D'Ieteren Group acquired its 40% stake, closed 2021 (D'Ieteren Group press materials/MarketScreener) — clears &gt;$1B bar; figure is dated but company has grown since (est. still &gt;$1B today)</t>
        </is>
      </c>
      <c r="K9" s="10" t="inlineStr">
        <is>
          <t>D'Ieteren Group acquired 40% stake at €3,650M EV, closed 2021; no other external capital raises reported</t>
        </is>
      </c>
      <c r="L9" s="10" t="inlineStr">
        <is>
          <t>meets parameters</t>
        </is>
      </c>
      <c r="M9" s="10" t="n">
        <v>3</v>
      </c>
      <c r="N9" s="10" t="inlineStr">
        <is>
          <t>Yes</t>
        </is>
      </c>
      <c r="O9" s="10" t="inlineStr">
        <is>
          <t>Hard filters clear with a real, published EV (~€3.65B, 2021) well above $1B, revenue well above $100M, ownership is a stable family/strategic-partner structure with no state or compliance issues, no F1 conflict found, and fit is a solid 3/4 (global reach, precision-engineering narrative, open-ish category).</t>
        </is>
      </c>
      <c r="P9" s="10" t="inlineStr">
        <is>
          <t>Global materials-handling/forklift-parts network (90 locations) — precision-engineering brand story paired with global operational reach; category not currently on the grid.</t>
        </is>
      </c>
      <c r="Q9" s="10" t="inlineStr">
        <is>
          <t>published valuation is dated to a 2021 transaction (~5 years old); likely higher now given continued growth (FORWARD28 strategic plan launched 2024)</t>
        </is>
      </c>
      <c r="R9" s="10" t="inlineStr">
        <is>
          <t>verified-existing</t>
        </is>
      </c>
      <c r="S9" s="10" t="inlineStr">
        <is>
          <t>2026-09-28</t>
        </is>
      </c>
    </row>
    <row r="10">
      <c r="A10" s="10" t="n">
        <v>7</v>
      </c>
      <c r="B10" s="10" t="n">
        <v>84</v>
      </c>
      <c r="C10" s="10" t="inlineStr">
        <is>
          <t>Berner Group</t>
        </is>
      </c>
      <c r="D10" s="10" t="inlineStr">
        <is>
          <t>berner-group.com</t>
        </is>
      </c>
      <c r="E10" s="10" t="inlineStr">
        <is>
          <t>Germany</t>
        </is>
      </c>
      <c r="F10" s="10" t="inlineStr">
        <is>
          <t>Family-owned (Berner family), no state/compliance ties</t>
        </is>
      </c>
      <c r="G10" s="10" t="inlineStr">
        <is>
          <t>Fasteners/C-parts/MRO distribution to professional tradesmen, pan-European</t>
        </is>
      </c>
      <c r="H10" s="10" t="inlineStr">
        <is>
          <t>5k-10k</t>
        </is>
      </c>
      <c r="I10" s="10" t="inlineStr">
        <is>
          <t>€1.1B+ in FY2024/25 (Omnichannel Trading segment, first time over €1.1B; €1.15B in FY2023/24; Berner Group press release, 2025) — clears &gt;$100M bar</t>
        </is>
      </c>
      <c r="J10" s="10" t="inlineStr">
        <is>
          <t>n/a — private, family-owned, no published valuation; passes on revenue alone per family-owned exemption</t>
        </is>
      </c>
      <c r="K10" s="10" t="inlineStr">
        <is>
          <t>N/A (family-owned, no external capital raise)</t>
        </is>
      </c>
      <c r="L10" s="10" t="inlineStr">
        <is>
          <t>meets parameters</t>
        </is>
      </c>
      <c r="M10" s="10" t="n">
        <v>3</v>
      </c>
      <c r="N10" s="10" t="inlineStr">
        <is>
          <t>Yes</t>
        </is>
      </c>
      <c r="O10" s="10" t="inlineStr">
        <is>
          <t>Revenue clears the bar well above $100M and the family-owned exemption applies for valuation; no F1 conflict found, ownership is clean (German family business, no compliance issues), business is growing (+7% overall, +10% in mobility/industry segments) not distressed, and fit is a solid 3/4.</t>
        </is>
      </c>
      <c r="P10" s="10" t="inlineStr">
        <is>
          <t>Pan-European fastening/C-parts distributor serving the mobility and industrial segments — open category, ties naturally into an automotive-supply-chain/precision-components story.</t>
        </is>
      </c>
      <c r="Q10" s="10" t="inlineStr">
        <is>
          <t>family-owned, no published valuation</t>
        </is>
      </c>
      <c r="R10" s="10" t="inlineStr">
        <is>
          <t>verified-existing</t>
        </is>
      </c>
      <c r="S10" s="10" t="inlineStr">
        <is>
          <t>2026-09-28</t>
        </is>
      </c>
    </row>
    <row r="11">
      <c r="A11" s="10" t="n">
        <v>8</v>
      </c>
      <c r="B11" s="10" t="n">
        <v>84</v>
      </c>
      <c r="C11" s="10" t="inlineStr">
        <is>
          <t>Aalco Metals</t>
        </is>
      </c>
      <c r="D11" s="10" t="inlineStr">
        <is>
          <t>aalco.co.uk</t>
        </is>
      </c>
      <c r="E11" s="10" t="inlineStr">
        <is>
          <t>UK</t>
        </is>
      </c>
      <c r="F11" s="10" t="inlineStr">
        <is>
          <t>Family-owned (Amari Family group)</t>
        </is>
      </c>
      <c r="G11" s="10" t="inlineStr">
        <is>
          <t>Metals stockholding/distribution (stainless steel, aluminium, copper alloys)</t>
        </is>
      </c>
      <c r="H11" s="10" t="inlineStr">
        <is>
          <t>201-1k</t>
        </is>
      </c>
      <c r="I11" s="10" t="inlineStr">
        <is>
          <t>£455.1M (~$580M) for FY2024 (period ending 31 Dec 2024), per Companies House filing via Endole (down 9.4% YoY)</t>
        </is>
      </c>
      <c r="J11" s="10" t="inlineStr">
        <is>
          <t>n/a - family-owned, no published valuation (passes on revenue alone)</t>
        </is>
      </c>
      <c r="K11" s="10" t="inlineStr">
        <is>
          <t>n/a - privately/family-held, no external raise on record</t>
        </is>
      </c>
      <c r="L11" s="10" t="inlineStr">
        <is>
          <t>meets parameters</t>
        </is>
      </c>
      <c r="M11" s="10" t="n">
        <v>3</v>
      </c>
      <c r="N11" s="10" t="inlineStr">
        <is>
          <t>Yes</t>
        </is>
      </c>
      <c r="O11" s="10" t="inlineStr">
        <is>
          <t>All hard filters pass: revenue £455.1M (FY2024) far exceeds the $100M bar; family-owned with no published valuation is exempted, passing on revenue alone; headcount 700-1,000 (201-1k band, above the 51 minimum); no F1 team/series/driver/Grand Prix sponsorship found for Aalco or the Amari Family group; UK private ownership with no state/sanctions/gambling/alcohol issues; fit score 3 (&gt;= 2).</t>
        </is>
      </c>
      <c r="P11" s="10" t="inlineStr">
        <is>
          <t>Open 'official metals partner' category story: precision stainless/aluminium/copper-alloy stockholding behind performance engineering, tying Aalco's materials supply into chassis/component manufacturing chains.</t>
        </is>
      </c>
      <c r="Q11" s="10" t="inlineStr">
        <is>
          <t>family-owned, no published valuation; revenue declined ~9.4% YoY in FY2024 (still far above the $100M bar)</t>
        </is>
      </c>
      <c r="R11" s="10" t="inlineStr">
        <is>
          <t>verified-existing</t>
        </is>
      </c>
      <c r="S11" s="10" t="inlineStr">
        <is>
          <t>2026-09-28</t>
        </is>
      </c>
    </row>
    <row r="12">
      <c r="A12" s="10" t="n">
        <v>9</v>
      </c>
      <c r="B12" s="10" t="n">
        <v>84</v>
      </c>
      <c r="C12" s="10" t="inlineStr">
        <is>
          <t>Amari Metals</t>
        </is>
      </c>
      <c r="D12" s="10" t="inlineStr">
        <is>
          <t>amarimetals.co.uk</t>
        </is>
      </c>
      <c r="E12" s="10" t="inlineStr">
        <is>
          <t>UK</t>
        </is>
      </c>
      <c r="F12" s="10" t="inlineStr">
        <is>
          <t>Family-owned (Amari Family, sister group to Aalco)</t>
        </is>
      </c>
      <c r="G12" s="10" t="inlineStr">
        <is>
          <t>Metals stockholding/distribution (stainless steel, aluminium, copper alloys), pan-European operations (UK, Netherlands, and other Amari Group sites)</t>
        </is>
      </c>
      <c r="H12" s="10" t="inlineStr">
        <is>
          <t>1k-5k</t>
        </is>
      </c>
      <c r="I12" s="10" t="inlineStr">
        <is>
          <t>£560.14M for FY2024 (period ending 31 Dec 2024), per Companies House filing (down 8% YoY); net assets £222.69M, cash £71.44M - healthy balance sheet</t>
        </is>
      </c>
      <c r="J12" s="10" t="inlineStr">
        <is>
          <t>n/a - family-owned, no published valuation (passes on revenue alone)</t>
        </is>
      </c>
      <c r="K12" s="10" t="inlineStr">
        <is>
          <t>n/a</t>
        </is>
      </c>
      <c r="L12" s="10" t="inlineStr">
        <is>
          <t>meets parameters</t>
        </is>
      </c>
      <c r="M12" s="10" t="n">
        <v>3</v>
      </c>
      <c r="N12" s="10" t="inlineStr">
        <is>
          <t>Yes</t>
        </is>
      </c>
      <c r="O12" s="10" t="inlineStr">
        <is>
          <t>All hard filters pass: revenue £560.14M (FY2024) far exceeds the $100M bar; family-owned (Amari Family), no published valuation, exempt on revenue alone; headcount ~1,140 (1k-5k band); no F1 sponsorship ties found for Amari Metals or the Amari Group; private UK/EU ownership with no compliance flags; fit score 3.</t>
        </is>
      </c>
      <c r="P12" s="10" t="inlineStr">
        <is>
          <t>Pan-European precision-metals supply story - positions Amari as the materials partner behind performance engineering across UK/EU manufacturing hubs feeding into F1 supplier networks.</t>
        </is>
      </c>
      <c r="Q12" s="10" t="inlineStr">
        <is>
          <t>family-owned, no published valuation; revenue declined ~8% YoY in FY2024 (still far above the $100M bar)</t>
        </is>
      </c>
      <c r="R12" s="10" t="inlineStr">
        <is>
          <t>verified-existing</t>
        </is>
      </c>
      <c r="S12" s="10" t="inlineStr">
        <is>
          <t>2026-09-28</t>
        </is>
      </c>
    </row>
    <row r="13">
      <c r="A13" s="10" t="n">
        <v>10</v>
      </c>
      <c r="B13" s="10" t="n">
        <v>84</v>
      </c>
      <c r="C13" s="10" t="inlineStr">
        <is>
          <t>Hydradyne LLC</t>
        </is>
      </c>
      <c r="D13" s="10" t="inlineStr">
        <is>
          <t>hydradyne.com</t>
        </is>
      </c>
      <c r="E13" s="10" t="inlineStr">
        <is>
          <t>USA</t>
        </is>
      </c>
      <c r="F13" s="10" t="inlineStr">
        <is>
          <t>Wholly-owned subsidiary of Applied Industrial Technologies (NYSE: AIT), a public company with no F1 ties; acquired Dec 31, 2024 for $272M. NOT an independent private company as desk triage assumed.</t>
        </is>
      </c>
      <c r="G13" s="10" t="inlineStr">
        <is>
          <t>Fluid power and motion control distribution, 33 locations across the Southeastern US</t>
        </is>
      </c>
      <c r="H13" s="10" t="inlineStr">
        <is>
          <t>201-1k</t>
        </is>
      </c>
      <c r="I13" s="10" t="inlineStr">
        <is>
          <t>~$122.2M-$260M annual revenue (sources vary: $122.2M 2026 estimate vs. $260M projected first-year contribution at acquisition) - both above the $100M bar</t>
        </is>
      </c>
      <c r="J13" s="10" t="inlineStr">
        <is>
          <t>Parent Applied Industrial Technologies (NYSE: AIT) market cap ~$13.28B as of Aug 2026 (up from ~$9.94B in Jan 2026) - clears the $1B bar via parent; standalone Hydradyne acquisition price was $272M (Dec 2024)</t>
        </is>
      </c>
      <c r="K13" s="10" t="inlineStr">
        <is>
          <t>n/a - acquired by Applied Industrial Technologies for $272M, deal closed Dec 31, 2024</t>
        </is>
      </c>
      <c r="L13" s="10" t="inlineStr">
        <is>
          <t>meets parameters</t>
        </is>
      </c>
      <c r="M13" s="10" t="n">
        <v>3</v>
      </c>
      <c r="N13" s="10" t="inlineStr">
        <is>
          <t>Yes</t>
        </is>
      </c>
      <c r="O13" s="10" t="inlineStr">
        <is>
          <t>All hard filters pass: standalone revenue clears the $100M bar; parent AIT's market cap of ~$13.3B clears the $1B valuation bar and is public/growing (not in distress); headcount 500 (201-1k band); no F1 sponsorship conflict found for Hydradyne or AIT; ownership is a public US industrial group with no compliance issues; fit score 3.</t>
        </is>
      </c>
      <c r="P13" s="10" t="inlineStr">
        <is>
          <t>Fluid power/motion control as the literal mechanics of performance and control - a 'precision under pressure' story tied to AIT's growing public-company profile and its position as the top Parker Hannifin distributor.</t>
        </is>
      </c>
      <c r="Q13" s="10" t="inlineStr">
        <is>
          <t>parent: Applied Industrial Technologies (NYSE: AIT) - public, no F1 ties, growing market cap</t>
        </is>
      </c>
      <c r="R13" s="10" t="inlineStr">
        <is>
          <t>verified-existing</t>
        </is>
      </c>
      <c r="S13" s="10" t="inlineStr">
        <is>
          <t>2026-09-28</t>
        </is>
      </c>
    </row>
    <row r="14">
      <c r="A14" s="11" t="n">
        <v>11</v>
      </c>
      <c r="B14" s="11" t="n">
        <v>64</v>
      </c>
      <c r="C14" s="11" t="inlineStr">
        <is>
          <t>NCH Corporation</t>
        </is>
      </c>
      <c r="D14" s="11" t="inlineStr">
        <is>
          <t>nch.com</t>
        </is>
      </c>
      <c r="E14" s="11" t="inlineStr">
        <is>
          <t>USA</t>
        </is>
      </c>
      <c r="F14" s="11" t="inlineStr">
        <is>
          <t>As of Nov 3, 2025, wholly-owned subsidiary of Solenis (Platinum Equity portfolio company; Bain Capital and the Levy family hold minority stakes in Solenis post-deal) — corrects triage's claim of standalone Levy-family ownership, which ended with this acquisition</t>
        </is>
      </c>
      <c r="G14" s="11" t="inlineStr">
        <is>
          <t>MRO/maintenance chemicals, water treatment and hygiene solutions, global</t>
        </is>
      </c>
      <c r="H14" s="11" t="inlineStr">
        <is>
          <t>5k-10k</t>
        </is>
      </c>
      <c r="I14" s="11" t="inlineStr">
        <is>
          <t>NCH estimated revenue &gt;$2B (2025, PR Newswire/Yahoo Finance coverage of Solenis acquisition, Nov 2025); combined Solenis+NCH estimated revenue ~$7.6B — clears &gt;$100M bar by a wide margin</t>
        </is>
      </c>
      <c r="J14" s="11" t="inlineStr">
        <is>
          <t>Not disclosed for the NCH deal or current combined Solenis entity. Solenis itself was previously reported exploring an IPO (ION Analytics/Mergermarket) and was acquired by Platinum Equity in 2021; combined group now operates in 160+ countries with ~23,000 employees post-NCH deal — plausibly well above $1B (est) but no current confirmed figure</t>
        </is>
      </c>
      <c r="K14" s="11" t="inlineStr">
        <is>
          <t>Acquired by Solenis (Platinum Equity), closed Nov 3, 2025 (deal value undisclosed)</t>
        </is>
      </c>
      <c r="L14" s="11" t="inlineStr">
        <is>
          <t>meets parameters</t>
        </is>
      </c>
      <c r="M14" s="11" t="n">
        <v>4</v>
      </c>
      <c r="N14" s="11" t="inlineStr">
        <is>
          <t>Stretch</t>
        </is>
      </c>
      <c r="O14" s="11" t="inlineStr">
        <is>
          <t>Hard filters pass via the Solenis parent (revenue ~$7.6B combined, 160+ countries, no F1 conflict, not distressed — actively expanding/considering IPO) and fit is a strong 4/4, but the underlying entity was only absorbed into Solenis one year ago (Nov 2025) and its current valuation is unconfirmed, so budget authority and deal timing are real open questions.</t>
        </is>
      </c>
      <c r="P14" s="11" t="inlineStr">
        <is>
          <t>Global water-treatment and hygiene technology leader operating in 160+ countries (via Solenis) — global-ambition/sustainability-tech narrative, open category, though the recent acquisition means the outreach conversation should go through Solenis corporate.</t>
        </is>
      </c>
      <c r="Q14" s="11" t="inlineStr">
        <is>
          <t>parent: Solenis (Platinum Equity portfolio, PE-owned since 2021 — 4+ years); no F1 ties found for Solenis or Platinum Equity; NCH's standalone identity ended with the Nov 2025 acquisition — sponsorship decision authority now sits with Solenis corporate parent; valuation for the current combined entity is unconfirmed</t>
        </is>
      </c>
      <c r="R14" s="11" t="inlineStr">
        <is>
          <t>verified-existing</t>
        </is>
      </c>
      <c r="S14" s="11" t="inlineStr">
        <is>
          <t>2026-09-28</t>
        </is>
      </c>
    </row>
    <row r="15">
      <c r="A15" s="11" t="n">
        <v>12</v>
      </c>
      <c r="B15" s="11" t="n">
        <v>64</v>
      </c>
      <c r="C15" s="11" t="inlineStr">
        <is>
          <t>IEWC</t>
        </is>
      </c>
      <c r="D15" s="11" t="inlineStr">
        <is>
          <t>iewc.com</t>
        </is>
      </c>
      <c r="E15" s="11" t="inlineStr">
        <is>
          <t>USA</t>
        </is>
      </c>
      <c r="F15" s="11" t="inlineStr">
        <is>
          <t>Employee-owned (ESOP)</t>
        </is>
      </c>
      <c r="G15" s="11" t="inlineStr">
        <is>
          <t>Wire &amp; cable / wire-management distribution, ~30 locations across 11 countries, customers in 96 countries</t>
        </is>
      </c>
      <c r="H15" s="11" t="inlineStr">
        <is>
          <t>201-1k</t>
        </is>
      </c>
      <c r="I15" s="11" t="inlineStr">
        <is>
          <t>~$248.6M (recent estimate) up to $500M+ (2021 peak year, per BizTimes) - both above the $100M bar</t>
        </is>
      </c>
      <c r="J15" s="11" t="inlineStr">
        <is>
          <t>n/a - employee-owned (ESOP), no published valuation</t>
        </is>
      </c>
      <c r="K15" s="11" t="inlineStr">
        <is>
          <t>n/a - no external financing; grown via bolt-on acquisitions (Simcona, Bevco Engineering), funded internally</t>
        </is>
      </c>
      <c r="L15" s="11" t="inlineStr">
        <is>
          <t>meets parameters</t>
        </is>
      </c>
      <c r="M15" s="11" t="n">
        <v>4</v>
      </c>
      <c r="N15" s="11" t="inlineStr">
        <is>
          <t>Stretch</t>
        </is>
      </c>
      <c r="O15" s="11" t="inlineStr">
        <is>
          <t>Hard filters otherwise pass strongly: revenue clears the $100M bar, the company has a broad 96-country customer base, no F1 sponsorship conflict was found, and ESOP ownership carries no compliance issues (fit score 4). Per the Track A rule, employee-owned firms with no published valuation are capped at Stretch even when otherwise strong - flagged 'no published valuation (employee-owned).'</t>
        </is>
      </c>
      <c r="P15" s="11" t="inlineStr">
        <is>
          <t>Global wire &amp; cable backbone for EV/automotive and aerospace-grade applications - positions IEWC as the connectivity infrastructure behind electrified, high-precision performance systems, leveraging its 96-country reach.</t>
        </is>
      </c>
      <c r="Q15" s="11" t="inlineStr">
        <is>
          <t>no published valuation (employee-owned)</t>
        </is>
      </c>
      <c r="R15" s="11" t="inlineStr">
        <is>
          <t>verified-existing</t>
        </is>
      </c>
      <c r="S15" s="11" t="inlineStr">
        <is>
          <t>2026-09-28</t>
        </is>
      </c>
    </row>
    <row r="16">
      <c r="A16" s="11" t="n">
        <v>13</v>
      </c>
      <c r="B16" s="11" t="n">
        <v>64</v>
      </c>
      <c r="C16" s="11" t="inlineStr">
        <is>
          <t>TRUSCO Nakayama</t>
        </is>
      </c>
      <c r="D16" s="11" t="inlineStr">
        <is>
          <t>trusco.co.jp</t>
        </is>
      </c>
      <c r="E16" s="11" t="inlineStr">
        <is>
          <t>Japan</t>
        </is>
      </c>
      <c r="F16" s="11" t="inlineStr">
        <is>
          <t>Publicly listed (Tokyo Stock Exchange: 9830); no controlling state or family majority stake identified</t>
        </is>
      </c>
      <c r="G16" s="11" t="inlineStr">
        <is>
          <t>MRO distribution/manufacturing (work, measuring and cutting tools, wholesale in Japan and internationally)</t>
        </is>
      </c>
      <c r="H16" s="11" t="inlineStr">
        <is>
          <t>1k-5k</t>
        </is>
      </c>
      <c r="I16" s="11" t="inlineStr">
        <is>
          <t>¥295.02bn (~$2.0B) in FY2024, +10.0% YoY (stockanalysis.com/TipRanks, Sep 2026 search)</t>
        </is>
      </c>
      <c r="J16" s="11" t="inlineStr">
        <is>
          <t>Market cap ~¥159.65-159.78bn (~$1.05-1.1B, FX-sensitive est) as of Aug 2026, per TipRanks/Bitget/Google Finance (Sep 2026 search) - right at/just above the $1B threshold</t>
        </is>
      </c>
      <c r="K16" s="11" t="inlineStr">
        <is>
          <t>n/a - public company, no recent capital raise identified</t>
        </is>
      </c>
      <c r="L16" s="11" t="inlineStr">
        <is>
          <t>meets parameters</t>
        </is>
      </c>
      <c r="M16" s="11" t="n">
        <v>4</v>
      </c>
      <c r="N16" s="11" t="inlineStr">
        <is>
          <t>Stretch</t>
        </is>
      </c>
      <c r="O16" s="11" t="inlineStr">
        <is>
          <t>Passes hard filters (revenue ~$2.0B FY2024, no F1 conflicts found, clean public ownership) but has a real reservation: market cap (~$1.05-1.1B depending on FX/source) sits right at the $1B valuation threshold, making the pass thin-margin rather than clear-cut.</t>
        </is>
      </c>
      <c r="P16" s="11" t="inlineStr">
        <is>
          <t>Precision tools/MRO distribution positioned as 'engineering precision at scale' - Japan's tool-supply backbone with growing international reach - into an open category on the grid; reconfirm current market cap before committing to budget-tier messaging given the thin valuation margin.</t>
        </is>
      </c>
      <c r="Q16" s="11" t="inlineStr">
        <is>
          <t>valuation is a thin-margin pass on the $1B bar (~$1.05-1.1B, sensitive to JPY/USD rate and source)</t>
        </is>
      </c>
      <c r="R16" s="11" t="inlineStr">
        <is>
          <t>verified-existing</t>
        </is>
      </c>
      <c r="S16" s="11" t="inlineStr">
        <is>
          <t>2026-09-28</t>
        </is>
      </c>
    </row>
    <row r="17">
      <c r="A17" s="11" t="n">
        <v>14</v>
      </c>
      <c r="B17" s="11" t="n">
        <v>64</v>
      </c>
      <c r="C17" s="11" t="inlineStr">
        <is>
          <t>IPH SA</t>
        </is>
      </c>
      <c r="D17" s="11" t="inlineStr">
        <is>
          <t>iph.be</t>
        </is>
      </c>
      <c r="E17" s="11" t="inlineStr">
        <is>
          <t>Belgium (entity); parent Rubix Group HQ Solihull, UK</t>
        </is>
      </c>
      <c r="F17" s="11" t="inlineStr">
        <is>
          <t>PE-owned via parent Rubix Group (Advent International, since the 2017/2018 merger of IPH and Brammer) - not publicly listed, contrary to triage assumption</t>
        </is>
      </c>
      <c r="G17" s="11" t="inlineStr">
        <is>
          <t>Technical products trading / MRO distribution (Orexad, Anfidis brands, now under the Rubix Group network)</t>
        </is>
      </c>
      <c r="H17" s="11" t="inlineStr">
        <is>
          <t>201-1k</t>
        </is>
      </c>
      <c r="I17" s="11" t="inlineStr">
        <is>
          <t>Parent Rubix Group revenue EUR3.05B (~$3.3B) FY2024 (source: Rubix Limited FY24 Group financial statements); IPH standalone figures are no longer separately published since the 2017/2018 merger.</t>
        </is>
      </c>
      <c r="J17" s="11" t="inlineStr">
        <is>
          <t>Parent Rubix Group reported valued at GBP2.5B+ (~$3.2B+) per 2024/2025 IPO-preparation reporting (Financial Times, via PitchBook newsletter); Advent International is majority owner.</t>
        </is>
      </c>
      <c r="K17" s="11" t="inlineStr">
        <is>
          <t>Jan 2024: Rubix Group refinanced/redeemed GBP295.8m (EUR343.4m) of preference shares; IPO process reportedly underway with Goldman Sachs/Morgan Stanley (2024-2025 reporting).</t>
        </is>
      </c>
      <c r="L17" s="11" t="inlineStr">
        <is>
          <t>exceeds - mega-brand</t>
        </is>
      </c>
      <c r="M17" s="11" t="n">
        <v>4</v>
      </c>
      <c r="N17" s="11" t="inlineStr">
        <is>
          <t>Stretch</t>
        </is>
      </c>
      <c r="O17" s="11" t="inlineStr">
        <is>
          <t>Passes all hard bars via parent Rubix Group (revenue EUR3.05B FY24; valuation GBP2.5B+ per 2024 IPO reporting; no F1 conflicts found for IPH, Rubix, or Advent International; network serves thousands of industrial customers across Europe), but IPH SA itself has been fully absorbed into the Rubix brand and is PE-owned 8+ years - Stretch.</t>
        </is>
      </c>
      <c r="P17" s="11" t="inlineStr">
        <is>
          <t>Position Rubix/IPH as the pan-European 'keeps the pit lane and the factory floor running' precision-parts and technical-distribution story, timed around Rubix's rumored IPO process for maximum brand visibility.</t>
        </is>
      </c>
      <c r="Q17" s="11" t="inlineStr">
        <is>
          <t>parent: Rubix Group (PE-owned, Advent International, since 2017 - PE-owned 8+ years); entity fully merged into the Rubix brand; standalone IPH SA financials not separately published; ownership/listing status differs from triage assumption - not a public small-cap Euronext Brussels company</t>
        </is>
      </c>
      <c r="R17" s="11" t="inlineStr">
        <is>
          <t>verified-existing</t>
        </is>
      </c>
      <c r="S17" s="11" t="inlineStr">
        <is>
          <t>2026-09-28</t>
        </is>
      </c>
    </row>
    <row r="18">
      <c r="A18" s="11" t="n">
        <v>15</v>
      </c>
      <c r="B18" s="11" t="n">
        <v>58</v>
      </c>
      <c r="C18" s="11" t="inlineStr">
        <is>
          <t>Descours &amp; Cabaud</t>
        </is>
      </c>
      <c r="D18" s="11" t="inlineStr">
        <is>
          <t>descours-cabaud.com</t>
        </is>
      </c>
      <c r="E18" s="11" t="inlineStr">
        <is>
          <t>France (Lyon)</t>
        </is>
      </c>
      <c r="F18" s="11" t="inlineStr">
        <is>
          <t>Family-owned (Descours/Cabaud families, since 1908); no state or sovereign stake</t>
        </is>
      </c>
      <c r="G18" s="11" t="inlineStr">
        <is>
          <t>Broadline MRO/industrial/construction distribution; ~40% of revenue international (UK, Spain, Netherlands, Italy, Belgium, North America)</t>
        </is>
      </c>
      <c r="H18" s="11" t="inlineStr">
        <is>
          <t>10k+</t>
        </is>
      </c>
      <c r="I18" s="11" t="inlineStr">
        <is>
          <t>€4.7B FY2024, down from €4.9B FY2023; net income €151M (source: Le Moniteur/Zepros reporting on company DPEF 2024 report, mid-2025); 2025 outlook described by the company as flat with no near-term recovery expected</t>
        </is>
      </c>
      <c r="J18" s="11" t="inlineStr">
        <is>
          <t>n/a - private, family-owned, no published valuation</t>
        </is>
      </c>
      <c r="K18" s="11" t="inlineStr">
        <is>
          <t>N/A (private, family-owned)</t>
        </is>
      </c>
      <c r="L18" s="11" t="inlineStr">
        <is>
          <t>meets parameters</t>
        </is>
      </c>
      <c r="M18" s="11" t="n">
        <v>3</v>
      </c>
      <c r="N18" s="11" t="inlineStr">
        <is>
          <t>Stretch</t>
        </is>
      </c>
      <c r="O18" s="11" t="inlineStr">
        <is>
          <t>Revenue (€4.7B) clears the hard bar by far, and family-owned status exempts it on valuation; no F1 sponsorship conflicts found; no state/compliance issues; ~14,900-15,000 group employees (10k+ band). But 2 straight years of revenue decline and a stated pessimistic 2025 outlook are a real reservation on spending capacity, despite continued profitability (€151M net income).</t>
        </is>
      </c>
      <c r="P18" s="11" t="inlineStr">
        <is>
          <t>Pan-European footprint (France/UK/Spain/Italy/Netherlands/Belgium) maps directly onto F1's European calendar — an industrial-supply-chain-reliability story ('keeping builders and industry running') tied to multiple European GPs.</t>
        </is>
      </c>
      <c r="Q18" s="11" t="inlineStr">
        <is>
          <t>family-owned, no published valuation; revenue declined 2 consecutive years (€4.9B→€4.7B) with company signaling no near-term market recovery as of 2025</t>
        </is>
      </c>
      <c r="R18" s="11" t="inlineStr">
        <is>
          <t>verified-existing</t>
        </is>
      </c>
      <c r="S18" s="11" t="inlineStr">
        <is>
          <t>2026-09-28</t>
        </is>
      </c>
    </row>
    <row r="19">
      <c r="A19" s="11" t="n">
        <v>16</v>
      </c>
      <c r="B19" s="11" t="n">
        <v>58</v>
      </c>
      <c r="C19" s="11" t="inlineStr">
        <is>
          <t>IndiaMART InterMESH</t>
        </is>
      </c>
      <c r="D19" s="11" t="inlineStr">
        <is>
          <t>indiamart.com</t>
        </is>
      </c>
      <c r="E19" s="11" t="inlineStr">
        <is>
          <t>India</t>
        </is>
      </c>
      <c r="F19" s="11" t="inlineStr">
        <is>
          <t>Public (NSE/BSE: INDIAMART), no state ownership</t>
        </is>
      </c>
      <c r="G19" s="11" t="inlineStr">
        <is>
          <t>B2B industrial/MRO online marketplace, India-focused</t>
        </is>
      </c>
      <c r="H19" s="11" t="inlineStr">
        <is>
          <t>1k-5k</t>
        </is>
      </c>
      <c r="I19" s="11" t="inlineStr">
        <is>
          <t>~$178M trailing-twelve-months (₹13.88B TTM, as of FY2025/stockanalysis.com, reported mid-2026) — clears &gt;$100M bar</t>
        </is>
      </c>
      <c r="J19" s="11" t="inlineStr">
        <is>
          <t>Market cap ~$1.21B as of July 2026 (stockanalysis.com) — clears &gt;$1B bar but only ~21% above threshold</t>
        </is>
      </c>
      <c r="K19" s="11" t="inlineStr">
        <is>
          <t>N/A (public; IPO 2019)</t>
        </is>
      </c>
      <c r="L19" s="11" t="inlineStr">
        <is>
          <t>meets parameters</t>
        </is>
      </c>
      <c r="M19" s="11" t="n">
        <v>3</v>
      </c>
      <c r="N19" s="11" t="inlineStr">
        <is>
          <t>Stretch</t>
        </is>
      </c>
      <c r="O19" s="11" t="inlineStr">
        <is>
          <t>Revenue and valuation hard bars both pass but valuation clears by a thin margin (~$1.21B vs $1B bar) and the business is almost entirely India-domestic, limiting the multi-market fit criterion despite a decent tech/growth narrative (3/4 fit).</t>
        </is>
      </c>
      <c r="P19" s="11" t="inlineStr">
        <is>
          <t>Market-timing angle tied to F1's growing footprint and fandom in India — India's leading B2B digital marketplace backing India's F1 moment; open category.</t>
        </is>
      </c>
      <c r="Q19" s="11" t="inlineStr">
        <is>
          <t>thin margin over $1B valuation bar</t>
        </is>
      </c>
      <c r="R19" s="11" t="inlineStr">
        <is>
          <t>verified-existing</t>
        </is>
      </c>
      <c r="S19" s="11" t="inlineStr">
        <is>
          <t>2026-09-28</t>
        </is>
      </c>
    </row>
    <row r="20">
      <c r="A20" s="11" t="n">
        <v>17</v>
      </c>
      <c r="B20" s="11" t="n">
        <v>58</v>
      </c>
      <c r="C20" s="11" t="inlineStr">
        <is>
          <t>Vallen Distribution</t>
        </is>
      </c>
      <c r="D20" s="11" t="inlineStr">
        <is>
          <t>vallen.com</t>
        </is>
      </c>
      <c r="E20" s="11" t="inlineStr">
        <is>
          <t>USA</t>
        </is>
      </c>
      <c r="F20" s="11" t="inlineStr">
        <is>
          <t>PE-owned by Nautic Partners in partnership with management, acquired from Sonepar Group, closed March 2022 (corrects triage's claim of H.I.G. Capital ownership — Vallen North America was actually carved out of Sonepar by Nautic Partners; Vallen Asia was separately divested to its own leadership via MBO)</t>
        </is>
      </c>
      <c r="G20" s="11" t="inlineStr">
        <is>
          <t>Safety/PPE/industrial MRO distribution (aerospace, automotive, marine, petrochemical, transportation), US/Canada/Mexico</t>
        </is>
      </c>
      <c r="H20" s="11" t="inlineStr">
        <is>
          <t>1k-5k</t>
        </is>
      </c>
      <c r="I20" s="11" t="inlineStr">
        <is>
          <t>No single confirmed figure; ranked #7 on MDM's 2024 MRO Industrial Distributors list, and acquired Wesco Integrated Supply in Feb 2024 (adding ~$784M in annual sales) — company scale plausibly $1.5-2B (est); comfortably clears &gt;$100M bar regardless of exact figure</t>
        </is>
      </c>
      <c r="J20" s="11" t="inlineStr">
        <is>
          <t>Not disclosed. Nautic Partners' 2022 acquisition terms were never made public, and no subsequent valuation estimate could be found — &gt;$1B hard bar is unconfirmed (not a family/employee-owned exemption case since it's PE-owned)</t>
        </is>
      </c>
      <c r="K20" s="11" t="inlineStr">
        <is>
          <t>Acquired by Nautic Partners from Sonepar, closed March 2022 (terms undisclosed); acquired Wesco Integrated Supply for $350M, Feb 2024</t>
        </is>
      </c>
      <c r="L20" s="11" t="inlineStr">
        <is>
          <t>meets parameters</t>
        </is>
      </c>
      <c r="M20" s="11" t="n">
        <v>3</v>
      </c>
      <c r="N20" s="11" t="inlineStr">
        <is>
          <t>Stretch</t>
        </is>
      </c>
      <c r="O20" s="11" t="inlineStr">
        <is>
          <t>Revenue clears the bar comfortably on scale/ranking evidence, and no F1 conflict was found, but the valuation hard bar (&gt;$1B) cannot be confirmed — the 2022 PE deal value was never disclosed and no reliable estimate exists — so this is a genuine uncertain-figure case rather than a confirmed pass.</t>
        </is>
      </c>
      <c r="P20" s="11" t="inlineStr">
        <is>
          <t>Precision aerospace/automotive/marine MRO supply story, but capped by an unconfirmed valuation and NA-only footprint — needs harder financial verification before a full pitch.</t>
        </is>
      </c>
      <c r="Q20" s="11" t="inlineStr">
        <is>
          <t>ownership corrected from triage: Nautic Partners (PE), not H.I.G. Capital; PE-owned 4+ years (since March 2022); valuation entirely unconfirmed</t>
        </is>
      </c>
      <c r="R20" s="11" t="inlineStr">
        <is>
          <t>verified-existing</t>
        </is>
      </c>
      <c r="S20" s="11" t="inlineStr">
        <is>
          <t>2026-09-28</t>
        </is>
      </c>
    </row>
    <row r="21">
      <c r="A21" s="11" t="n">
        <v>18</v>
      </c>
      <c r="B21" s="11" t="n">
        <v>58</v>
      </c>
      <c r="C21" s="11" t="inlineStr">
        <is>
          <t>MCR Safety</t>
        </is>
      </c>
      <c r="D21" s="11" t="inlineStr">
        <is>
          <t>mcrsafety.com</t>
        </is>
      </c>
      <c r="E21" s="11" t="inlineStr">
        <is>
          <t>USA</t>
        </is>
      </c>
      <c r="F21" s="11" t="inlineStr">
        <is>
          <t>Wholly-owned subsidiary of Bunzl plc (acquired Aug 2020); Bunzl (LSE-listed) has no identified F1 sponsorship ties (searched Sep 2026)</t>
        </is>
      </c>
      <c r="G21" s="11" t="inlineStr">
        <is>
          <t>PPE manufacturing/distribution (gloves, glasses, garments, FR clothing, face protection)</t>
        </is>
      </c>
      <c r="H21" s="11" t="inlineStr">
        <is>
          <t>201-1k (est - sources conflict, from ~266 at one site to the input's 500-1,000 across 7 countries)</t>
        </is>
      </c>
      <c r="I21" s="11" t="inlineStr">
        <is>
          <t>$248M aggregate revenue (2019, disclosed by Bunzl at time of acquisition, Aug 2020); ~£255M annualised in 2020 post-acquisition, per Bunzl press materials/MDM (Sep 2026 search)</t>
        </is>
      </c>
      <c r="J21" s="11" t="inlineStr">
        <is>
          <t>No standalone valuation (wholly-owned subsidiary); parent Bunzl plc is LSE-listed with FY2025 group revenue £11.8B and a market cap well over $1B (Sep 2026 search)</t>
        </is>
      </c>
      <c r="K21" s="11" t="inlineStr">
        <is>
          <t>n/a - acquired by Bunzl plc, Aug 2020 (price undisclosed)</t>
        </is>
      </c>
      <c r="L21" s="11" t="inlineStr">
        <is>
          <t>meets parameters</t>
        </is>
      </c>
      <c r="M21" s="11" t="n">
        <v>3</v>
      </c>
      <c r="N21" s="11" t="inlineStr">
        <is>
          <t>Stretch</t>
        </is>
      </c>
      <c r="O21" s="11" t="inlineStr">
        <is>
          <t>Passes hard filters (revenue $248M+ at 2019/2020, clean ownership via a non-F1-tied public parent, no F1 conflicts found) but has a real reservation: it is a wholly-owned subsidiary of a large distribution conglomerate, so standalone sponsorship budget authority and headcount are uncertain.</t>
        </is>
      </c>
      <c r="P21" s="11" t="inlineStr">
        <is>
          <t>Protective-gear performance story (durability under extreme conditions) leveraging genuine 7-country reach, pitched as part of Bunzl's broader safety-products platform, into an open PPE category on the grid.</t>
        </is>
      </c>
      <c r="Q21" s="11" t="inlineStr">
        <is>
          <t>parent: Bunzl plc (large public group, no F1 ties); wholly-owned subsidiary - $3.5M/yr spend authority likely sits with parent, not MCR Safety directly; conflicting headcount figures across sources (est)</t>
        </is>
      </c>
      <c r="R21" s="11" t="inlineStr">
        <is>
          <t>verified-existing</t>
        </is>
      </c>
      <c r="S21" s="11" t="inlineStr">
        <is>
          <t>2026-09-28</t>
        </is>
      </c>
    </row>
    <row r="22">
      <c r="A22" s="11" t="n">
        <v>19</v>
      </c>
      <c r="B22" s="11" t="n">
        <v>58</v>
      </c>
      <c r="C22" s="11" t="inlineStr">
        <is>
          <t>Airline Hydraulics</t>
        </is>
      </c>
      <c r="D22" s="11" t="inlineStr">
        <is>
          <t>airlinehyd.com</t>
        </is>
      </c>
      <c r="E22" s="11" t="inlineStr">
        <is>
          <t>USA (Bensalem, PA)</t>
        </is>
      </c>
      <c r="F22" s="11" t="inlineStr">
        <is>
          <t>Employee-owned (ESOP since 2005)</t>
        </is>
      </c>
      <c r="G22" s="11" t="inlineStr">
        <is>
          <t>Fluid power (hydraulic/pneumatic/automation) distribution</t>
        </is>
      </c>
      <c r="H22" s="11" t="inlineStr">
        <is>
          <t>201-1k (250-500 est; 6 branch offices, Mid-Atlantic/New England)</t>
        </is>
      </c>
      <c r="I22" s="11" t="inlineStr">
        <is>
          <t>$222.2M (2026 est, company-data aggregator) - passes &gt;$100M hard bar</t>
        </is>
      </c>
      <c r="J22" s="11" t="inlineStr">
        <is>
          <t>No published valuation (employee-owned/ESOP, no external equity market)</t>
        </is>
      </c>
      <c r="K22" s="11" t="inlineStr">
        <is>
          <t>n/a - employee-owned, no external funding rounds</t>
        </is>
      </c>
      <c r="L22" s="11" t="inlineStr">
        <is>
          <t>meets parameters</t>
        </is>
      </c>
      <c r="M22" s="11" t="n">
        <v>3</v>
      </c>
      <c r="N22" s="11" t="inlineStr">
        <is>
          <t>Stretch</t>
        </is>
      </c>
      <c r="O22" s="11" t="inlineStr">
        <is>
          <t>Hard filters pass: revenue $222.2M clears the &gt;$100M bar; employee-owned with no published valuation passes on revenue alone per the employee-owned rule (but caps verdict at Stretch); headcount 250-500 clears the 51 floor; no F1/team/series conflict found; no ownership or compliance issues. Capped at Stretch solely because it is employee-owned with no published valuation, per protocol.</t>
        </is>
      </c>
      <c r="P22" s="11" t="inlineStr">
        <is>
          <t>Fluid-power/hydraulics precision-engineering story tied to F1 pit-stop hydraulic jacks and pneumatic wheel-gun systems - open category, no fluid-power distributor currently on the grid.</t>
        </is>
      </c>
      <c r="Q22" s="11" t="inlineStr">
        <is>
          <t>no published valuation (employee-owned)</t>
        </is>
      </c>
      <c r="R22" s="11" t="inlineStr">
        <is>
          <t>verified-existing</t>
        </is>
      </c>
      <c r="S22" s="11" t="inlineStr">
        <is>
          <t>2026-09-28</t>
        </is>
      </c>
    </row>
    <row r="23">
      <c r="A23" s="11" t="n">
        <v>20</v>
      </c>
      <c r="B23" s="11" t="n">
        <v>58</v>
      </c>
      <c r="C23" s="11" t="inlineStr">
        <is>
          <t>Field Fastener</t>
        </is>
      </c>
      <c r="D23" s="11" t="inlineStr">
        <is>
          <t>fieldfastener.com</t>
        </is>
      </c>
      <c r="E23" s="11" t="inlineStr">
        <is>
          <t>USA (Rockford, IL)</t>
        </is>
      </c>
      <c r="F23" s="11" t="inlineStr">
        <is>
          <t>Family-owned (Derry family, third generation), no private equity in cap structure</t>
        </is>
      </c>
      <c r="G23" s="11" t="inlineStr">
        <is>
          <t>Fasteners/C-parts distribution</t>
        </is>
      </c>
      <c r="H23" s="11" t="inlineStr">
        <is>
          <t>201-1k (250-500 est per input)</t>
        </is>
      </c>
      <c r="I23" s="11" t="inlineStr">
        <is>
          <t>~$160M (company estimate, FY2023, most recent public figure) - passes &gt;$100M hard bar if current level holds; company does not disclose current-year revenue (not reported in MDM's 2026 Top Distributors list)</t>
        </is>
      </c>
      <c r="J23" s="11" t="inlineStr">
        <is>
          <t>No published valuation; family-owned/no PE - passes on revenue alone per family-owned rule</t>
        </is>
      </c>
      <c r="K23" s="11" t="inlineStr">
        <is>
          <t>n/a - family-owned, no external funding, explicitly '35 years without a private equity dollar'</t>
        </is>
      </c>
      <c r="L23" s="11" t="inlineStr">
        <is>
          <t>meets parameters</t>
        </is>
      </c>
      <c r="M23" s="11" t="n">
        <v>3</v>
      </c>
      <c r="N23" s="11" t="inlineStr">
        <is>
          <t>Stretch</t>
        </is>
      </c>
      <c r="O23" s="11" t="inlineStr">
        <is>
          <t>Hard filters plausibly pass: family-owned (no PE, 3rd generation) passes valuation bar on revenue alone; last public revenue estimate ~$160M (FY2023) clears &gt;$100M, and the company has historically compounded ~19-20%/yr; headcount 250-500 clears the floor; no F1/team/series conflict found. Capped at Stretch due to a real reservation: no current-year revenue is disclosed (MDM's 2026 list shows it as 'not reported'), so the &gt;$100M figure rests on a ~3-year-old estimate.</t>
        </is>
      </c>
      <c r="P23" s="11" t="inlineStr">
        <is>
          <t>Precision-fastening/engineering-integrity story tied to F1's zero-failure-tolerance hardware (wheel fasteners, chassis bolts) - open category, credible engineering narrative given 'on-demand engineers' positioning.</t>
        </is>
      </c>
      <c r="Q23" s="11" t="inlineStr">
        <is>
          <t>revenue figure is a stale FY2023 company estimate (~$160M); no current-year figure publicly disclosed</t>
        </is>
      </c>
      <c r="R23" s="11" t="inlineStr">
        <is>
          <t>verified-existing</t>
        </is>
      </c>
      <c r="S23" s="11" t="inlineStr">
        <is>
          <t>2026-09-28</t>
        </is>
      </c>
    </row>
    <row r="24">
      <c r="A24" s="11" t="n">
        <v>21</v>
      </c>
      <c r="B24" s="11" t="n">
        <v>52</v>
      </c>
      <c r="C24" s="11" t="inlineStr">
        <is>
          <t>Hajoca Corporation</t>
        </is>
      </c>
      <c r="D24" s="11" t="inlineStr">
        <is>
          <t>hajoca.com</t>
        </is>
      </c>
      <c r="E24" s="11" t="inlineStr">
        <is>
          <t>USA (Lafayette Hill, PA)</t>
        </is>
      </c>
      <c r="F24" s="11" t="inlineStr">
        <is>
          <t>Employee-owned (management/employee ownership model, ESOP-style); no state or sovereign stake; no published valuation</t>
        </is>
      </c>
      <c r="G24" s="11" t="inlineStr">
        <is>
          <t>Plumbing/HVAC/industrial wholesale distribution, USA (450+ locally-managed locations)</t>
        </is>
      </c>
      <c r="H24" s="11" t="inlineStr">
        <is>
          <t>5k-10k (est)</t>
        </is>
      </c>
      <c r="I24" s="11" t="inlineStr">
        <is>
          <t>Multi-billion $ (est) - ranked #4 nationally in plumbing distribution and #35 in industrial supply on Modern Distribution Management's 2025 Top Distributors report (June 2025); described as the largest privately-held plumbing/HVAC distributor in the US; exact figure undisclosed by the company</t>
        </is>
      </c>
      <c r="J24" s="11" t="inlineStr">
        <is>
          <t>n/a - private, employee-owned, no published valuation</t>
        </is>
      </c>
      <c r="K24" s="11" t="inlineStr">
        <is>
          <t>N/A (private, employee-owned)</t>
        </is>
      </c>
      <c r="L24" s="11" t="inlineStr">
        <is>
          <t>meets parameters</t>
        </is>
      </c>
      <c r="M24" s="11" t="n">
        <v>2</v>
      </c>
      <c r="N24" s="11" t="inlineStr">
        <is>
          <t>Stretch</t>
        </is>
      </c>
      <c r="O24" s="11" t="inlineStr">
        <is>
          <t>Revenue clears the hard bar by a wide margin (multi-billion, #4 national plumbing distributor) and no F1 conflicts found, but per protocol employee-owned firms with no published valuation are capped at Stretch; fit==2 with a weak brand-story angle reinforces the cap.</t>
        </is>
      </c>
      <c r="P24" s="11" t="inlineStr">
        <is>
          <t>US market growth story (three US GPs) framed around Hajoca's 450-branch 'owner-operator' network reliability - a functional rather than performance-driven fit, so this is a longer-shot outreach.</t>
        </is>
      </c>
      <c r="Q24" s="11" t="inlineStr">
        <is>
          <t>no published valuation (employee-owned); exact revenue and headcount figures not publicly disclosed - estimated from industry ranking and branch count, not a hard company-reported number</t>
        </is>
      </c>
      <c r="R24" s="11" t="inlineStr">
        <is>
          <t>verified-existing</t>
        </is>
      </c>
      <c r="S24" s="11" t="inlineStr">
        <is>
          <t>2026-09-28</t>
        </is>
      </c>
    </row>
    <row r="25">
      <c r="A25" s="11" t="n">
        <v>22</v>
      </c>
      <c r="B25" s="11" t="n">
        <v>52</v>
      </c>
      <c r="C25" s="11" t="inlineStr">
        <is>
          <t>Imperial Dade</t>
        </is>
      </c>
      <c r="D25" s="11" t="inlineStr">
        <is>
          <t>imperialdade.com</t>
        </is>
      </c>
      <c r="E25" s="11" t="inlineStr">
        <is>
          <t>USA</t>
        </is>
      </c>
      <c r="F25" s="11" t="inlineStr">
        <is>
          <t>PE-owned (Bain Capital since 2019; Advent International joined 2022, joint board governance)</t>
        </is>
      </c>
      <c r="G25" s="11" t="inlineStr">
        <is>
          <t>Foodservice packaging / jan-san distribution, North America</t>
        </is>
      </c>
      <c r="H25" s="11" t="inlineStr">
        <is>
          <t>10k+</t>
        </is>
      </c>
      <c r="I25" s="11" t="inlineStr">
        <is>
          <t>~$10B combined annual revenue after completed merger with BradyPLUS (closed March 2026, forming 'Imperial Brady'; MDM/BusinessWire, May 2026) — clears &gt;$100M bar by a wide margin; pre-merger Imperial Dade alone had grown from $2B to $5B since 2019 (AltAssets, 2022)</t>
        </is>
      </c>
      <c r="J25" s="11" t="inlineStr">
        <is>
          <t>Not publicly disclosed; PE deal values undisclosed both in 2019 and 2022 transactions. Implied EV plausibly well above $1B given $10B combined revenue scale and a $2.8B first-lien term loan B raised late 2025 to refinance a $2.5B facility (Modern Distribution Management, 2025) (est)</t>
        </is>
      </c>
      <c r="K25" s="11" t="inlineStr">
        <is>
          <t>Merger completed with BradyPLUS, March 2026 (all-equity combination, terms undisclosed); $2.8B term loan B refinancing, late 2025</t>
        </is>
      </c>
      <c r="L25" s="11" t="inlineStr">
        <is>
          <t>exceeds - mega-brand</t>
        </is>
      </c>
      <c r="M25" s="11" t="n">
        <v>2</v>
      </c>
      <c r="N25" s="11" t="inlineStr">
        <is>
          <t>Stretch</t>
        </is>
      </c>
      <c r="O25" s="11" t="inlineStr">
        <is>
          <t>Hard filters pass comfortably (revenue ~$10B, scale implies valuation well above $1B, no F1 conflict, headcount 13,000+, active/expanding not distressed) but fit is only 2/4 with weak angles — NA-only reach, no real performance narrative, plus fresh post-merger integration and long PE hold.</t>
        </is>
      </c>
      <c r="P25" s="11" t="inlineStr">
        <is>
          <t>Newly formed $10B North American distribution giant ('Imperial Brady') — market-timing/rebrand-launch angle, open category, though narrative is scale-and-logistics rather than performance.</t>
        </is>
      </c>
      <c r="Q25" s="11" t="inlineStr">
        <is>
          <t>PE-owned 7 years (Bain Capital since 2019); mid-integration: merged with BradyPLUS into 'Imperial Brady' as of March 2026, may affect near-term sponsorship decision authority</t>
        </is>
      </c>
      <c r="R25" s="11" t="inlineStr">
        <is>
          <t>verified-existing</t>
        </is>
      </c>
      <c r="S25" s="11" t="inlineStr">
        <is>
          <t>2026-09-28</t>
        </is>
      </c>
    </row>
    <row r="26">
      <c r="A26" s="11" t="n">
        <v>23</v>
      </c>
      <c r="B26" s="11" t="n">
        <v>52</v>
      </c>
      <c r="C26" s="11" t="inlineStr">
        <is>
          <t>Onninen</t>
        </is>
      </c>
      <c r="D26" s="11" t="inlineStr">
        <is>
          <t>onninen.com</t>
        </is>
      </c>
      <c r="E26" s="11" t="inlineStr">
        <is>
          <t>Finland</t>
        </is>
      </c>
      <c r="F26" s="11" t="inlineStr">
        <is>
          <t>Wholly-owned subsidiary of Kesko Corporation (public, Nasdaq Helsinki: KESKOB); parent has no F1 ties</t>
        </is>
      </c>
      <c r="G26" s="11" t="inlineStr">
        <is>
          <t>Electrical/HVAC/plumbing technical wholesale, Nordics/Baltics/Poland</t>
        </is>
      </c>
      <c r="H26" s="11" t="inlineStr">
        <is>
          <t>1k-5k</t>
        </is>
      </c>
      <c r="I26" s="11" t="inlineStr">
        <is>
          <t>Parent Kesko 2025 net sales €12.47B; Building &amp; Technical Trade division (incl. Onninen) net sales €4,685.8M in 2025, growing despite weak construction cycle (Kesko financial statements release, Feb 2026) — clears &gt;$100M bar via parent/division</t>
        </is>
      </c>
      <c r="J26" s="11" t="inlineStr">
        <is>
          <t>Parent Kesko market cap ~€8.69B (~$9.4B) as of Sept 14, 2026 (stockanalysis.com) — clears &gt;$1B bar via parent</t>
        </is>
      </c>
      <c r="K26" s="11" t="inlineStr">
        <is>
          <t>N/A (subsidiary; acquired by Kesko in 2016)</t>
        </is>
      </c>
      <c r="L26" s="11" t="inlineStr">
        <is>
          <t>meets parameters</t>
        </is>
      </c>
      <c r="M26" s="11" t="n">
        <v>2</v>
      </c>
      <c r="N26" s="11" t="inlineStr">
        <is>
          <t>Stretch</t>
        </is>
      </c>
      <c r="O26" s="11" t="inlineStr">
        <is>
          <t>Hard filters pass via parent Kesko (revenue and market cap both well above bars, no F1 conflict, no distress) but fit is only 2/4 with weak angles — narrow Nordic/Baltic footprint, no performance narrative, and it is a subsidiary rather than an independent sponsor decision-maker.</t>
        </is>
      </c>
      <c r="P26" s="11" t="inlineStr">
        <is>
          <t>Weak — category-open angle only (technical wholesale distribution); no strong performance or global-ambition story to hang an F1 pitch on.</t>
        </is>
      </c>
      <c r="Q26" s="11" t="inlineStr">
        <is>
          <t>parent: Kesko Corporation (large public retail/wholesale group, no F1 ties); subsidiary — sponsorship decision authority sits with Kesko corporate, not Onninen</t>
        </is>
      </c>
      <c r="R26" s="11" t="inlineStr">
        <is>
          <t>verified-existing</t>
        </is>
      </c>
      <c r="S26" s="11" t="inlineStr">
        <is>
          <t>2026-09-28</t>
        </is>
      </c>
    </row>
    <row r="27">
      <c r="A27" s="11" t="n">
        <v>24</v>
      </c>
      <c r="B27" s="11" t="n">
        <v>52</v>
      </c>
      <c r="C27" s="11" t="inlineStr">
        <is>
          <t>Brady Industries (BradyIFS)</t>
        </is>
      </c>
      <c r="D27" s="11" t="inlineStr">
        <is>
          <t>bradyifs.com</t>
        </is>
      </c>
      <c r="E27" s="11" t="inlineStr">
        <is>
          <t>USA</t>
        </is>
      </c>
      <c r="F27" s="11" t="inlineStr">
        <is>
          <t>PE-owned - Kelso &amp; Company and Warburg Pincus control the BradyPLUS platform (post-2023/24 Envoy Solutions merger); FEMSA holds an ~37% minority stake. NOT family-owned as desk triage assumed.</t>
        </is>
      </c>
      <c r="G27" s="11" t="inlineStr">
        <is>
          <t>Jan-san/foodservice distribution (BradyPLUS platform)</t>
        </is>
      </c>
      <c r="H27" s="11" t="inlineStr">
        <is>
          <t>5k-10k</t>
        </is>
      </c>
      <c r="I27" s="11" t="inlineStr">
        <is>
          <t>BradyIFS unit ~$372.7M (2026 est.); combined BradyPLUS platform ~$5B post-Envoy Solutions merger (2023-24), scaling further via a 2025 Imperial Dade merger</t>
        </is>
      </c>
      <c r="J27" s="11" t="inlineStr">
        <is>
          <t>BradyIFS + Envoy Solutions merger valued at north of $5B (announced Oct 2023, closed early 2024) per industry press - clears the $1B bar directly</t>
        </is>
      </c>
      <c r="K27" s="11" t="inlineStr">
        <is>
          <t>Kelso &amp; Warburg Pincus injected fresh capital in the 2023-24 Envoy Solutions merger forming BradyPLUS; further merger with Imperial Dade announced/closing 2025-26 (terms undisclosed)</t>
        </is>
      </c>
      <c r="L27" s="11" t="inlineStr">
        <is>
          <t>meets parameters</t>
        </is>
      </c>
      <c r="M27" s="11" t="n">
        <v>2</v>
      </c>
      <c r="N27" s="11" t="inlineStr">
        <is>
          <t>Stretch</t>
        </is>
      </c>
      <c r="O27" s="11" t="inlineStr">
        <is>
          <t>Hard filters pass on paper: revenue and valuation clear (parent BradyPLUS platform valued north of $5B in the 2023-24 merger, well above the $1B bar); no F1 team/series/driver/GP conflict found (only a NASCAR-affiliate ARCA sponsorship). Real reservations: PE-owned 4+ years, and fit score is only 2 with a weak brand-story angle for jan-san distribution - flagged Stretch rather than Yes.</t>
        </is>
      </c>
      <c r="P27" s="11" t="inlineStr">
        <is>
          <t>Operational-excellence/logistics story - the 180+ location, thousands-of-SKU supply network keeping venues and facilities running, framed around reliability under pressure (paddock/venue-operations angle) rather than a performance/tech narrative.</t>
        </is>
      </c>
      <c r="Q27" s="11" t="inlineStr">
        <is>
          <t>PE-owned since 2019/2020 (Kelso) - 4-6+ years under continuous PE control (Kelso/Warburg Pincus/FEMSA); desk triage ownership label ("family-owned") is incorrect - verified as PE-owned; fit score is exactly 2 with a weak brand-story angle</t>
        </is>
      </c>
      <c r="R27" s="11" t="inlineStr">
        <is>
          <t>verified-existing</t>
        </is>
      </c>
      <c r="S27" s="11" t="inlineStr">
        <is>
          <t>2026-09-28</t>
        </is>
      </c>
    </row>
    <row r="28">
      <c r="A28" s="11" t="n">
        <v>25</v>
      </c>
      <c r="B28" s="11" t="n">
        <v>52</v>
      </c>
      <c r="C28" s="11" t="inlineStr">
        <is>
          <t>Elliott Electric Supply</t>
        </is>
      </c>
      <c r="D28" s="11" t="inlineStr">
        <is>
          <t>elliottelectric.com</t>
        </is>
      </c>
      <c r="E28" s="11" t="inlineStr">
        <is>
          <t>USA</t>
        </is>
      </c>
      <c r="F28" s="11" t="inlineStr">
        <is>
          <t>Family-owned (founded 1972 by Bill and Mickey Elliott)</t>
        </is>
      </c>
      <c r="G28" s="11" t="inlineStr">
        <is>
          <t>Electrical distribution, 200+ stores/30 regional hubs across 13 US states</t>
        </is>
      </c>
      <c r="H28" s="11" t="inlineStr">
        <is>
          <t>1k-5k</t>
        </is>
      </c>
      <c r="I28" s="11" t="inlineStr">
        <is>
          <t>Estimates vary widely by source: ~$591M (Zippia), ~$980M (2024 peak, one estimate), and one outlier estimate of ~$5B (2026) - all well above the $100M bar even at the low end</t>
        </is>
      </c>
      <c r="J28" s="11" t="inlineStr">
        <is>
          <t>n/a - family-owned, no published valuation (passes on revenue alone)</t>
        </is>
      </c>
      <c r="K28" s="11" t="inlineStr">
        <is>
          <t>n/a</t>
        </is>
      </c>
      <c r="L28" s="11" t="inlineStr">
        <is>
          <t>meets parameters</t>
        </is>
      </c>
      <c r="M28" s="11" t="n">
        <v>2</v>
      </c>
      <c r="N28" s="11" t="inlineStr">
        <is>
          <t>Stretch</t>
        </is>
      </c>
      <c r="O28" s="11" t="inlineStr">
        <is>
          <t>Hard filters pass: revenue clears the $100M bar even at the lowest cited estimate; family-owned with no published valuation is exempted; headcount well above the 51 minimum; no F1 sponsorship conflict found; ownership is a straightforward US family business with no compliance issues. Real reservations: the revenue figure is uncertain (wide spread across sources) and fit score is exactly 2 with a domestic-only footprint and weak brand-story angle - flagged Stretch.</t>
        </is>
      </c>
      <c r="P28" s="11" t="inlineStr">
        <is>
          <t>Growth-story angle - a 50+ year family business now the 8th-largest US electrical distributor, riding grid/EV-infrastructure buildout demand, tying into F1's hybrid/electrification narrative.</t>
        </is>
      </c>
      <c r="Q28" s="11" t="inlineStr">
        <is>
          <t>family-owned, no published valuation; revenue estimates are inconsistent across sources ($591M to $5B) - genuine uncertainty on the exact figure</t>
        </is>
      </c>
      <c r="R28" s="11" t="inlineStr">
        <is>
          <t>verified-existing</t>
        </is>
      </c>
      <c r="S28" s="11" t="inlineStr">
        <is>
          <t>2026-09-28</t>
        </is>
      </c>
    </row>
    <row r="29">
      <c r="A29" s="11" t="n">
        <v>26</v>
      </c>
      <c r="B29" s="11" t="n">
        <v>52</v>
      </c>
      <c r="C29" s="11" t="inlineStr">
        <is>
          <t>Kimball Midwest</t>
        </is>
      </c>
      <c r="D29" s="11" t="inlineStr">
        <is>
          <t>kimballmidwest.com</t>
        </is>
      </c>
      <c r="E29" s="11" t="inlineStr">
        <is>
          <t>USA</t>
        </is>
      </c>
      <c r="F29" s="11" t="inlineStr">
        <is>
          <t>Family-owned (since 1923; formed via 1984 merger)</t>
        </is>
      </c>
      <c r="G29" s="11" t="inlineStr">
        <is>
          <t>MRO products/fasteners, van-sales distribution model</t>
        </is>
      </c>
      <c r="H29" s="11" t="inlineStr">
        <is>
          <t>1k-5k</t>
        </is>
      </c>
      <c r="I29" s="11" t="inlineStr">
        <is>
          <t>~$400M+ by 2022, ~$422.2M more recent estimate, per industry/Growjo sources</t>
        </is>
      </c>
      <c r="J29" s="11" t="inlineStr">
        <is>
          <t>n/a - family-owned, no published valuation (passes on revenue alone)</t>
        </is>
      </c>
      <c r="K29" s="11" t="inlineStr">
        <is>
          <t>n/a</t>
        </is>
      </c>
      <c r="L29" s="11" t="inlineStr">
        <is>
          <t>meets parameters</t>
        </is>
      </c>
      <c r="M29" s="11" t="n">
        <v>2</v>
      </c>
      <c r="N29" s="11" t="inlineStr">
        <is>
          <t>Stretch</t>
        </is>
      </c>
      <c r="O29" s="11" t="inlineStr">
        <is>
          <t>Hard filters pass: revenue clears the $100M bar comfortably; family-owned with no published valuation is exempted, passing on revenue alone; headcount 2,090 (1k-5k band); no F1 sponsorship conflict found; straightforward US family ownership with no compliance issues. Real reservation: fit score is exactly 2 with a domestic-only, weak brand-story angle - flagged Stretch.</t>
        </is>
      </c>
      <c r="P29" s="11" t="inlineStr">
        <is>
          <t>US-wide van-sales network story - 'always-on' MRO supply reliability for fleets and shops, tying into F1's pit-stop-speed/logistics-precision themes.</t>
        </is>
      </c>
      <c r="Q29" s="11" t="inlineStr">
        <is>
          <t>family-owned, no published valuation</t>
        </is>
      </c>
      <c r="R29" s="11" t="inlineStr">
        <is>
          <t>verified-existing</t>
        </is>
      </c>
      <c r="S29" s="11" t="inlineStr">
        <is>
          <t>2026-09-28</t>
        </is>
      </c>
    </row>
    <row r="30">
      <c r="A30" s="11" t="n">
        <v>27</v>
      </c>
      <c r="B30" s="11" t="n">
        <v>52</v>
      </c>
      <c r="C30" s="11" t="inlineStr">
        <is>
          <t>North Coast Electric</t>
        </is>
      </c>
      <c r="D30" s="11" t="inlineStr">
        <is>
          <t>northcoastelectric.com</t>
        </is>
      </c>
      <c r="E30" s="11" t="inlineStr">
        <is>
          <t>USA</t>
        </is>
      </c>
      <c r="F30" s="11" t="inlineStr">
        <is>
          <t>Wholly-owned subsidiary of Sonepar USA / Sonepar Group (family-owned by the Coisne and Lambert families) since Jan 2019; Sonepar has no identified F1 sponsorship ties (searched Sep 2026)</t>
        </is>
      </c>
      <c r="G30" s="11" t="inlineStr">
        <is>
          <t>Electrical distribution (regional, US Pacific Northwest)</t>
        </is>
      </c>
      <c r="H30" s="11" t="inlineStr">
        <is>
          <t>201-1k</t>
        </is>
      </c>
      <c r="I30" s="11" t="inlineStr">
        <is>
          <t>$510M (2017, ranked #17 on MDM's Largest Electrical Distributors list); parent Sonepar Group reported €33.6B group sales in 2025 (Wikipedia/Sonepar, Sep 2026 search)</t>
        </is>
      </c>
      <c r="J30" s="11" t="inlineStr">
        <is>
          <t>No published valuation for North Coast Electric standalone; parent Sonepar Group is privately held and family-owned (Coisne/Lambert families) with no published valuation - qualifies for the family-owned no-valuation exemption given the parent's ownership and massive revenue base</t>
        </is>
      </c>
      <c r="K30" s="11" t="inlineStr">
        <is>
          <t>n/a - acquired by Sonepar USA, Jan 2019 (price undisclosed)</t>
        </is>
      </c>
      <c r="L30" s="11" t="inlineStr">
        <is>
          <t>meets parameters</t>
        </is>
      </c>
      <c r="M30" s="11" t="n">
        <v>2</v>
      </c>
      <c r="N30" s="11" t="inlineStr">
        <is>
          <t>Stretch</t>
        </is>
      </c>
      <c r="O30" s="11" t="inlineStr">
        <is>
          <t>Passes hard filters via the parent (Sonepar Group - family-owned, no published valuation, massive revenue, no F1 ties) but has a real reservation: North Coast itself is a regional US-only distributor, fit score is a borderline 2 with a weak brand-to-motorsport story, and sponsorship spend authority likely sits at Sonepar corporate rather than this regional subsidiary.</t>
        </is>
      </c>
      <c r="P30" s="11" t="inlineStr">
        <is>
          <t>Anchor on Sonepar's global family-owned scale story while using North Coast's Pacific Northwest growth market and electrification/EV-infrastructure timing as the local hook.</t>
        </is>
      </c>
      <c r="Q30" s="11" t="inlineStr">
        <is>
          <t>parent: Sonepar Group (family-owned, no F1 ties); regional-only footprint despite a large global parent</t>
        </is>
      </c>
      <c r="R30" s="11" t="inlineStr">
        <is>
          <t>verified-existing</t>
        </is>
      </c>
      <c r="S30" s="11" t="inlineStr">
        <is>
          <t>2026-09-28</t>
        </is>
      </c>
    </row>
    <row r="31">
      <c r="A31" s="11" t="n">
        <v>28</v>
      </c>
      <c r="B31" s="11" t="n">
        <v>52</v>
      </c>
      <c r="C31" s="11" t="inlineStr">
        <is>
          <t>RS Hughes</t>
        </is>
      </c>
      <c r="D31" s="11" t="inlineStr">
        <is>
          <t>rshughes.com</t>
        </is>
      </c>
      <c r="E31" s="11" t="inlineStr">
        <is>
          <t>USA</t>
        </is>
      </c>
      <c r="F31" s="11" t="inlineStr">
        <is>
          <t>Wholly-owned subsidiary of Bunzl plc (acquired 2018); Bunzl (LSE-listed) has no identified F1 sponsorship ties (searched Sep 2026)</t>
        </is>
      </c>
      <c r="G31" s="11" t="inlineStr">
        <is>
          <t>Industrial/safety products distribution (tapes, adhesives, abrasives, paints, power tools, shipping supplies)</t>
        </is>
      </c>
      <c r="H31" s="11" t="inlineStr">
        <is>
          <t>201-1k</t>
        </is>
      </c>
      <c r="I31" s="11" t="inlineStr">
        <is>
          <t>$527M (2024, per company profile data, Sep 2026 search); 45 locations, US-national footprint</t>
        </is>
      </c>
      <c r="J31" s="11" t="inlineStr">
        <is>
          <t>No standalone valuation (wholly-owned subsidiary); parent Bunzl plc is LSE-listed with FY2025 group revenue £11.8B and a market cap well over $1B (Sep 2026 search)</t>
        </is>
      </c>
      <c r="K31" s="11" t="inlineStr">
        <is>
          <t>n/a - acquired by Bunzl plc, 2018 (price undisclosed)</t>
        </is>
      </c>
      <c r="L31" s="11" t="inlineStr">
        <is>
          <t>meets parameters</t>
        </is>
      </c>
      <c r="M31" s="11" t="n">
        <v>2</v>
      </c>
      <c r="N31" s="11" t="inlineStr">
        <is>
          <t>Stretch</t>
        </is>
      </c>
      <c r="O31" s="11" t="inlineStr">
        <is>
          <t>Passes hard filters (revenue $527M in 2024, clean ownership via a non-F1-tied public parent, no F1 conflicts) but has a real reservation: fit score is a borderline 2 (US-only footprint, weak brand-to-performance story), and as a wholly-owned subsidiary its standalone $3.5M/yr sponsorship authority is uncertain.</t>
        </is>
      </c>
      <c r="P31" s="11" t="inlineStr">
        <is>
          <t>Industrial-supply reliability/precision angle (adhesives, tapes, abrasives used in high-performance manufacturing) into an open category, best pursued as part of a coordinated Bunzl-group pitch rather than standalone.</t>
        </is>
      </c>
      <c r="Q31" s="11" t="inlineStr">
        <is>
          <t>parent: Bunzl plc (large public group, no F1 ties); same ultimate parent (Bunzl) as MCR Safety in this batch - risk of internal competition for outreach; US-only footprint despite Bunzl's global reach</t>
        </is>
      </c>
      <c r="R31" s="11" t="inlineStr">
        <is>
          <t>verified-existing</t>
        </is>
      </c>
      <c r="S31" s="11" t="inlineStr">
        <is>
          <t>2026-09-28</t>
        </is>
      </c>
    </row>
    <row r="32">
      <c r="A32" s="11" t="n">
        <v>29</v>
      </c>
      <c r="B32" s="11" t="n">
        <v>52</v>
      </c>
      <c r="C32" s="11" t="inlineStr">
        <is>
          <t>Van Meter Inc</t>
        </is>
      </c>
      <c r="D32" s="11" t="inlineStr">
        <is>
          <t>vanmeterinc.com</t>
        </is>
      </c>
      <c r="E32" s="11" t="inlineStr">
        <is>
          <t>Cedar Rapids, Iowa, USA</t>
        </is>
      </c>
      <c r="F32" s="11" t="inlineStr">
        <is>
          <t>100% employee-owned (ESOP since 2005)</t>
        </is>
      </c>
      <c r="G32" s="11" t="inlineStr">
        <is>
          <t>Electrical, automation &amp; solar distribution (800+ brands, 25 locations across 7 Midwest US states)</t>
        </is>
      </c>
      <c r="H32" s="11" t="inlineStr">
        <is>
          <t>201-1k</t>
        </is>
      </c>
      <c r="I32" s="11" t="inlineStr">
        <is>
          <t>$592.5M annual revenue (Corridor Business Journal / MDM Top Distributors list, 2026) (est - private company reporting)</t>
        </is>
      </c>
      <c r="J32" s="11" t="inlineStr">
        <is>
          <t>No published valuation (100% ESOP, no market listing) - employee-owned exemption applied</t>
        </is>
      </c>
      <c r="K32" s="11" t="inlineStr">
        <is>
          <t>n/a (ESOP-owned, no external funding)</t>
        </is>
      </c>
      <c r="L32" s="11" t="inlineStr">
        <is>
          <t>meets parameters</t>
        </is>
      </c>
      <c r="M32" s="11" t="n">
        <v>2</v>
      </c>
      <c r="N32" s="11" t="inlineStr">
        <is>
          <t>Stretch</t>
        </is>
      </c>
      <c r="O32" s="11" t="inlineStr">
        <is>
          <t>Revenue ~$592.5M clears the $100M bar; employee-owned exemption covers the valuation bar but per Track A specifics this caps the verdict at Stretch; headcount 825 (201-1k band); no F1 conflicts found (searched directly); no state/sanctions ownership issues; broad distributor customer base, not concentrated. fit_score=2 with weak angles (regional-only reach, no strong global/performance brand story) reinforces the Stretch cap.</t>
        </is>
      </c>
      <c r="P32" s="11" t="inlineStr">
        <is>
          <t>Made-in-America precision electrical/automation infrastructure story for a mid-grid team activation, using its ESOP employee-ownership narrative as a differentiated workforce-pride angle - best suited to a US market-timing activation rather than a global campaign.</t>
        </is>
      </c>
      <c r="Q32" s="11" t="inlineStr">
        <is>
          <t>employee-owned, no published valuation (employee-owned exemption applied per brief, verdict capped at Stretch); regional-only footprint (Midwest US)</t>
        </is>
      </c>
      <c r="R32" s="11" t="inlineStr">
        <is>
          <t>verified-existing</t>
        </is>
      </c>
      <c r="S32" s="11" t="inlineStr">
        <is>
          <t>2026-09-28</t>
        </is>
      </c>
    </row>
    <row r="33">
      <c r="A33" s="11" t="n">
        <v>30</v>
      </c>
      <c r="B33" s="11" t="n">
        <v>52</v>
      </c>
      <c r="C33" s="11" t="inlineStr">
        <is>
          <t>Werner Electric Supply</t>
        </is>
      </c>
      <c r="D33" s="11" t="inlineStr">
        <is>
          <t>werner-electric.com</t>
        </is>
      </c>
      <c r="E33" s="11" t="inlineStr">
        <is>
          <t>Appleton, Wisconsin, USA</t>
        </is>
      </c>
      <c r="F33" s="11" t="inlineStr">
        <is>
          <t>Family-owned (founded 1948 by Walter Werner; grown from a family-owned operation, still family-controlled)</t>
        </is>
      </c>
      <c r="G33" s="11" t="inlineStr">
        <is>
          <t>Electrical, industrial automation &amp; data-communications distribution (11 locations across Wisconsin and Michigan's Upper Peninsula)</t>
        </is>
      </c>
      <c r="H33" s="11" t="inlineStr">
        <is>
          <t>201-1k</t>
        </is>
      </c>
      <c r="I33" s="11" t="inlineStr">
        <is>
          <t>$400M annual revenue (2026, Craft.co / D&amp;B company profile) (est - private company reporting)</t>
        </is>
      </c>
      <c r="J33" s="11" t="inlineStr">
        <is>
          <t>No published valuation (private, family-owned) - family-owned exemption applied</t>
        </is>
      </c>
      <c r="K33" s="11" t="inlineStr">
        <is>
          <t>n/a (privately/family financed)</t>
        </is>
      </c>
      <c r="L33" s="11" t="inlineStr">
        <is>
          <t>meets parameters</t>
        </is>
      </c>
      <c r="M33" s="11" t="n">
        <v>2</v>
      </c>
      <c r="N33" s="11" t="inlineStr">
        <is>
          <t>Stretch</t>
        </is>
      </c>
      <c r="O33" s="11" t="inlineStr">
        <is>
          <t>Revenue $400M clears the $100M bar; family-owned exemption covers valuation; ~500 employees (201-1k band); no F1 conflicts found; no ownership/compliance issues; broad contractor/industrial customer base, not concentrated. fit_score=2 with weak angles (regional-only reach) caps this at Stretch.</t>
        </is>
      </c>
      <c r="P33" s="11" t="inlineStr">
        <is>
          <t>Regional 'engineering the grid behind the grid' industrial-automation story tied to its 2016 flagship distribution-center investment - a market-timing/local-activation angle rather than a marquee global buy.</t>
        </is>
      </c>
      <c r="Q33" s="11" t="inlineStr">
        <is>
          <t>family-owned, no published valuation; regional-only footprint (WI/MI); note: unrelated to the separate 'Werner Electric' of Cottage Grove, MN that Van Meter Inc. acquired - confirmed this is the Appleton, WI entity</t>
        </is>
      </c>
      <c r="R33" s="11" t="inlineStr">
        <is>
          <t>verified-existing</t>
        </is>
      </c>
      <c r="S33" s="11" t="inlineStr">
        <is>
          <t>2026-09-28</t>
        </is>
      </c>
    </row>
    <row r="34">
      <c r="A34" s="11" t="n">
        <v>31</v>
      </c>
      <c r="B34" s="11" t="n">
        <v>52</v>
      </c>
      <c r="C34" s="11" t="inlineStr">
        <is>
          <t>Zoro Tools</t>
        </is>
      </c>
      <c r="D34" s="11" t="inlineStr">
        <is>
          <t>zoro.com</t>
        </is>
      </c>
      <c r="E34" s="11" t="inlineStr">
        <is>
          <t>USA (Illinois region, per parent W.W. Grainger)</t>
        </is>
      </c>
      <c r="F34" s="11" t="inlineStr">
        <is>
          <t>Wholly-owned subsidiary of W.W. Grainger, Inc. (NYSE: GWW, public parent)</t>
        </is>
      </c>
      <c r="G34" s="11" t="inlineStr">
        <is>
          <t>Online MRO/industrial marketplace (11M+ SKUs, web-only transactional model for US small/mid-sized businesses)</t>
        </is>
      </c>
      <c r="H34" s="11" t="inlineStr">
        <is>
          <t>201-1k</t>
        </is>
      </c>
      <c r="I34" s="11" t="inlineStr">
        <is>
          <t>$1B+ in annual sales (Zoro.com, reported 2022-2023, Industrial Distribution / MarketScreener)</t>
        </is>
      </c>
      <c r="J34" s="11" t="inlineStr">
        <is>
          <t>Via parent: W.W. Grainger (NYSE: GWW) market cap approx. $59.8B-$62.2B as of mid-to-late September 2026 (stockanalysis.com, marketcap.company, tradingeconomics)</t>
        </is>
      </c>
      <c r="K34" s="11" t="inlineStr">
        <is>
          <t>n/a (public parent, no VC funding)</t>
        </is>
      </c>
      <c r="L34" s="11" t="inlineStr">
        <is>
          <t>exceeds - mega-brand</t>
        </is>
      </c>
      <c r="M34" s="11" t="n">
        <v>2</v>
      </c>
      <c r="N34" s="11" t="inlineStr">
        <is>
          <t>Stretch</t>
        </is>
      </c>
      <c r="O34" s="11" t="inlineStr">
        <is>
          <t>Zoro's own revenue ($1B+) clears the $100M bar; parent Grainger's market cap (~$60B) clears the valuation bar; Grainger is a large profitable public group with no F1 ties (checked directly), so kept rather than excluded; 600+ employees (201-1k band); no F1 conflicts found; no ownership/compliance issues; broad small-business customer base. fit_score=2 with weak angles (US-only footprint, weak brand-story fit) caps this at Stretch.</t>
        </is>
      </c>
      <c r="P34" s="11" t="inlineStr">
        <is>
          <t>Pair Grainger's balance sheet with Zoro's small-business-facing brand for a 'keeping the shop floor running' MRO-parts storyline in the open industrial-distribution category - best paired with a Grainger corporate-level buy given Zoro's US-only footprint.</t>
        </is>
      </c>
      <c r="Q34" s="11" t="inlineStr">
        <is>
          <t>parent: W.W. Grainger (large public group, no F1 ties found - kept per brief's parent rule); Zoro entity itself is US-only; global reach exists only at the parent/sibling-brand level</t>
        </is>
      </c>
      <c r="R34" s="11" t="inlineStr">
        <is>
          <t>verified-existing</t>
        </is>
      </c>
      <c r="S34" s="11" t="inlineStr">
        <is>
          <t>2026-09-28</t>
        </is>
      </c>
    </row>
    <row r="35">
      <c r="A35" s="11" t="n">
        <v>32</v>
      </c>
      <c r="B35" s="11" t="n">
        <v>52</v>
      </c>
      <c r="C35" s="11" t="inlineStr">
        <is>
          <t>Central Steel &amp; Wire Co</t>
        </is>
      </c>
      <c r="D35" s="11" t="inlineStr">
        <is>
          <t>centralsteel.com</t>
        </is>
      </c>
      <c r="E35" s="11" t="inlineStr">
        <is>
          <t>USA (Chicago, IL)</t>
        </is>
      </c>
      <c r="F35" s="11" t="inlineStr">
        <is>
          <t>Wholly-owned subsidiary of Ryerson Holding Corp (merged with Olympic Steel Feb 2026; now trades as RYZ, NYSE)</t>
        </is>
      </c>
      <c r="G35" s="11" t="inlineStr">
        <is>
          <t>Metals service center distribution (ferrous/nonferrous: bars, coils, plates, sheets, tubing, wire)</t>
        </is>
      </c>
      <c r="H35" s="11" t="inlineStr">
        <is>
          <t>1k-5k (per company-data aggregator, 6 locations)</t>
        </is>
      </c>
      <c r="I35" s="11" t="inlineStr">
        <is>
          <t>$359.9M (2026 est, company-data aggregator) - passes &gt;$100M hard bar</t>
        </is>
      </c>
      <c r="J35" s="11" t="inlineStr">
        <is>
          <t>Parent Ryerson/RYZ market cap ~$1.37B (Jul 10 2026, post-merger, MacroTrends); was ~$907M pre-merger (Feb 23 2026) - passes &gt;$1B bar but only recently/narrowly</t>
        </is>
      </c>
      <c r="K35" s="11" t="inlineStr">
        <is>
          <t>n/a - public parent, no recent equity raise; grew via Feb 2026 Olympic Steel merger</t>
        </is>
      </c>
      <c r="L35" s="11" t="inlineStr">
        <is>
          <t>meets parameters</t>
        </is>
      </c>
      <c r="M35" s="11" t="n">
        <v>2</v>
      </c>
      <c r="N35" s="11" t="inlineStr">
        <is>
          <t>Stretch</t>
        </is>
      </c>
      <c r="O35" s="11" t="inlineStr">
        <is>
          <t>Hard filters pass on paper: unit revenue $359.9M clears &gt;$100M; parent Ryerson/RYZ market cap ~$1.37B clears &gt;$1B; headcount 1k-5k clears the floor; no F1/team/series conflict found for Central Steel &amp; Wire or parent. Capped at Stretch because the parent's market-cap crossing of $1B is recent and thin (post-Feb-2026 merger, was ~$907M shortly before), fit is a marginal 2, and reach is largely US-regional.</t>
        </is>
      </c>
      <c r="P35" s="11" t="inlineStr">
        <is>
          <t>Metals/materials-science precision story tied to F1 chassis and component materials engineering - open category, thin sponsorship history among metals distributors.</t>
        </is>
      </c>
      <c r="Q35" s="11" t="inlineStr">
        <is>
          <t>parent: Ryerson Holding Corp / RYZ (large public group, no F1 ties found); parent market cap only recently crossed $1B threshold following Feb 2026 Olympic Steel merger - thin margin, was sub-$1B months earlier</t>
        </is>
      </c>
      <c r="R35" s="11" t="inlineStr">
        <is>
          <t>verified-existing</t>
        </is>
      </c>
      <c r="S35" s="11" t="inlineStr">
        <is>
          <t>2026-09-28</t>
        </is>
      </c>
    </row>
    <row r="36">
      <c r="A36" s="11" t="n">
        <v>33</v>
      </c>
      <c r="B36" s="11" t="n">
        <v>52</v>
      </c>
      <c r="C36" s="11" t="inlineStr">
        <is>
          <t>Crawford Electric Supply</t>
        </is>
      </c>
      <c r="D36" s="11" t="inlineStr">
        <is>
          <t>crawfordelectric.com</t>
        </is>
      </c>
      <c r="E36" s="11" t="inlineStr">
        <is>
          <t>USA (Houston, TX)</t>
        </is>
      </c>
      <c r="F36" s="11" t="inlineStr">
        <is>
          <t>Family-owned; operates under Sonepar North America / Sonepar Group (world's largest privately-held electrical distributor)</t>
        </is>
      </c>
      <c r="G36" s="11" t="inlineStr">
        <is>
          <t>Electrical distribution</t>
        </is>
      </c>
      <c r="H36" s="11" t="inlineStr">
        <is>
          <t>201-1k (~966 employees, 81 branches across TX/LA)</t>
        </is>
      </c>
      <c r="I36" s="11" t="inlineStr">
        <is>
          <t>$177M-$569M range across data-aggregator estimates (2025/2026) - passes &gt;$100M hard bar</t>
        </is>
      </c>
      <c r="J36" s="11" t="inlineStr">
        <is>
          <t>No published valuation; family-owned (Sonepar Group) - passes on revenue alone per family-owned rule</t>
        </is>
      </c>
      <c r="K36" s="11" t="inlineStr">
        <is>
          <t>n/a - family-owned, no external funding rounds</t>
        </is>
      </c>
      <c r="L36" s="11" t="inlineStr">
        <is>
          <t>meets parameters</t>
        </is>
      </c>
      <c r="M36" s="11" t="n">
        <v>2</v>
      </c>
      <c r="N36" s="11" t="inlineStr">
        <is>
          <t>Stretch</t>
        </is>
      </c>
      <c r="O36" s="11" t="inlineStr">
        <is>
          <t>Hard filters pass: revenue clears $100M; family-owned (Sonepar) passes the valuation bar on revenue alone; headcount ~966 clears the floor; no F1/team/series conflict found for Crawford or parent Sonepar. Capped at Stretch because fit is exactly 2 with weak angles (regional-only footprint, generic brand story), per protocol.</t>
        </is>
      </c>
      <c r="P36" s="11" t="inlineStr">
        <is>
          <t>Electrical-infrastructure reliability story tied to F1's high-voltage energy-recovery systems (ERS/battery) - open category, though a stronger global story would need to route through parent Sonepar.</t>
        </is>
      </c>
      <c r="Q36" s="11" t="inlineStr">
        <is>
          <t>family-owned, no published valuation; parent: Sonepar Group (large family-owned global group, no F1 ties found)</t>
        </is>
      </c>
      <c r="R36" s="11" t="inlineStr">
        <is>
          <t>verified-existing</t>
        </is>
      </c>
      <c r="S36" s="11" t="inlineStr">
        <is>
          <t>2026-09-28</t>
        </is>
      </c>
    </row>
    <row r="37">
      <c r="A37" s="11" t="n">
        <v>34</v>
      </c>
      <c r="B37" s="11" t="n">
        <v>52</v>
      </c>
      <c r="C37" s="11" t="inlineStr">
        <is>
          <t>Industrial Distribution Group (IDG)</t>
        </is>
      </c>
      <c r="D37" s="11" t="inlineStr">
        <is>
          <t>idgonline.com</t>
        </is>
      </c>
      <c r="E37" s="11" t="inlineStr">
        <is>
          <t>USA (Belmont, NC); parent Sonepar Group HQ Paris, France</t>
        </is>
      </c>
      <c r="F37" s="11" t="inlineStr">
        <is>
          <t>Wholly-owned subsidiary of Sonepar Group (privately held, family-owned by the Coisne and Lambert families) since Sept 2014 acquisition</t>
        </is>
      </c>
      <c r="G37" s="11" t="inlineStr">
        <is>
          <t>Broadline MRO buying network / industrial distribution</t>
        </is>
      </c>
      <c r="H37" s="11" t="inlineStr">
        <is>
          <t>201-1k</t>
        </is>
      </c>
      <c r="I37" s="11" t="inlineStr">
        <is>
          <t>~$750M-$1B (est) - last separately reported standalone IDG revenue was ~$750M around the time of the 2014 Sonepar acquisition; no separate financials published since (Sonepar Group total revenue is tens of billions) (est)</t>
        </is>
      </c>
      <c r="J37" s="11" t="inlineStr">
        <is>
          <t>No separately published valuation for IDG; parent Sonepar is privately held/family-owned with no published market valuation (2025-2026, multiple industry sources)</t>
        </is>
      </c>
      <c r="K37" s="11" t="inlineStr">
        <is>
          <t>N/A - acquired by Sonepar Group, announced Sept 18, 2014 (undisclosed terms)</t>
        </is>
      </c>
      <c r="L37" s="11" t="inlineStr">
        <is>
          <t>meets parameters</t>
        </is>
      </c>
      <c r="M37" s="11" t="n">
        <v>2</v>
      </c>
      <c r="N37" s="11" t="inlineStr">
        <is>
          <t>Stretch</t>
        </is>
      </c>
      <c r="O37" s="11" t="inlineStr">
        <is>
          <t>Passes hard bars on best available evidence (est. revenue ~$750M+, family-owned parent with no published valuation, headcount 201-1k, no F1/team conflicts found for IDG or Sonepar), but the revenue figure is dated (pre-2014) and fit score is borderline (2) - Stretch.</t>
        </is>
      </c>
      <c r="P37" s="11" t="inlineStr">
        <is>
          <t>Position IDG/Sonepar as the precision MRO supply chain keeping industrial operations running - a 'parts behind the parts' angle, in an open category with no MRO distributor currently on the grid.</t>
        </is>
      </c>
      <c r="Q37" s="11" t="inlineStr">
        <is>
          <t>parent: Sonepar (family-owned, private, France); family-owned, no published valuation; revenue estimate dated/uncertain - no separate IDG financials published since the 2014 acquisition</t>
        </is>
      </c>
      <c r="R37" s="11" t="inlineStr">
        <is>
          <t>verified-existing</t>
        </is>
      </c>
      <c r="S37" s="11" t="inlineStr">
        <is>
          <t>2026-09-28</t>
        </is>
      </c>
    </row>
    <row r="38">
      <c r="A38" s="11" t="n">
        <v>35</v>
      </c>
      <c r="B38" s="11" t="n">
        <v>46</v>
      </c>
      <c r="C38" s="11" t="inlineStr">
        <is>
          <t>Hillman Solutions</t>
        </is>
      </c>
      <c r="D38" s="11" t="inlineStr">
        <is>
          <t>hillmangroup.com</t>
        </is>
      </c>
      <c r="E38" s="11" t="inlineStr">
        <is>
          <t>USA</t>
        </is>
      </c>
      <c r="F38" s="11" t="inlineStr">
        <is>
          <t>Public (Nasdaq: HLMN), no state/compliance ties</t>
        </is>
      </c>
      <c r="G38" s="11" t="inlineStr">
        <is>
          <t>Fasteners/hardware distribution (largely North America retail channel)</t>
        </is>
      </c>
      <c r="H38" s="11" t="inlineStr">
        <is>
          <t>1k-5k</t>
        </is>
      </c>
      <c r="I38" s="11" t="inlineStr">
        <is>
          <t>$1.56B TTM as of Q3 2025 (net sales +8.0% YoY to $424.9M in Q3; SEC 8-K/stockanalysis.com, reported Oct 2025) — clears &gt;$100M bar</t>
        </is>
      </c>
      <c r="J38" s="11" t="inlineStr">
        <is>
          <t>Market cap ~$1.5-1.7B as of Sept 2026 (macrotrends.net/stockanalysis.com) — clears &gt;$1B bar</t>
        </is>
      </c>
      <c r="K38" s="11" t="inlineStr">
        <is>
          <t>N/A (public; listed via SPAC merger 2021)</t>
        </is>
      </c>
      <c r="L38" s="11" t="inlineStr">
        <is>
          <t>meets parameters</t>
        </is>
      </c>
      <c r="M38" s="11" t="n">
        <v>1</v>
      </c>
      <c r="N38" s="11" t="inlineStr">
        <is>
          <t>Stretch</t>
        </is>
      </c>
      <c r="O38" s="11" t="inlineStr">
        <is>
          <t>All hard filters pass (revenue, valuation, headcount 4,000+, public/profitable, no F1 conflict found) but fit is weak (1/4) — no multi-market or performance narrative, plus two-customer retail concentration risk.</t>
        </is>
      </c>
      <c r="P38" s="11" t="inlineStr">
        <is>
          <t>Open category (fasteners/hardware has no F1 presence); angle would have to be built around US hardware-retail brand visibility rather than a performance story — weak fit overall.</t>
        </is>
      </c>
      <c r="Q38" s="11" t="inlineStr">
        <is>
          <t>customer concentration: Lowe's + Home Depot = 40.9% of net sales, FY2024 10-K (SEC, filed 2025)</t>
        </is>
      </c>
      <c r="R38" s="11" t="inlineStr">
        <is>
          <t>verified-existing</t>
        </is>
      </c>
      <c r="S38" s="11" t="inlineStr">
        <is>
          <t>2026-09-28</t>
        </is>
      </c>
    </row>
  </sheetData>
  <autoFilter ref="A3:S3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S27"/>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Intralogistics &amp; Warehouse A — existing New-Sectors book, now verified — 24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"14 Intralogistics &amp; Warehouse A".</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0" t="n">
        <v>1</v>
      </c>
      <c r="B4" s="10" t="n">
        <v>92</v>
      </c>
      <c r="C4" s="10" t="inlineStr">
        <is>
          <t>Doosan Industrial Vehicle (Doosan Bobcat)</t>
        </is>
      </c>
      <c r="D4" s="10" t="inlineStr">
        <is>
          <t>doosanmh.com</t>
        </is>
      </c>
      <c r="E4" s="10" t="inlineStr">
        <is>
          <t>South Korea</t>
        </is>
      </c>
      <c r="F4" s="10" t="inlineStr">
        <is>
          <t>Public (KRX: 241560), part of Doosan Group (Korean conglomerate); no state/sovereign ownership found</t>
        </is>
      </c>
      <c r="G4" s="10" t="inlineStr">
        <is>
          <t>Forklifts, material handling &amp; industrial vehicles (Doosan Bobcat Material Handling segment)</t>
        </is>
      </c>
      <c r="H4" s="10" t="inlineStr">
        <is>
          <t>10k+</t>
        </is>
      </c>
      <c r="I4" s="10" t="inlineStr">
        <is>
          <t>Doosan Bobcat TTM revenue $6.33B as of March 31, 2026 (companiesmarketcap.com); Q1 2026 revenue $1,534M, up 6.2% YoY, net income $90M (ivtinternational.com)</t>
        </is>
      </c>
      <c r="J4" s="10" t="inlineStr">
        <is>
          <t>Doosan Bobcat market cap approx. $4.3B as of August 6, 2026 (stockanalysis.com)</t>
        </is>
      </c>
      <c r="K4" s="10" t="inlineStr">
        <is>
          <t>n/a (public company)</t>
        </is>
      </c>
      <c r="L4" s="10" t="inlineStr">
        <is>
          <t>exceeds - mega-brand</t>
        </is>
      </c>
      <c r="M4" s="10" t="n">
        <v>4</v>
      </c>
      <c r="N4" s="10" t="inlineStr">
        <is>
          <t>Yes</t>
        </is>
      </c>
      <c r="O4" s="10" t="inlineStr">
        <is>
          <t>All hard filters pass: revenue $6.33B TTM and market cap $4.3B both clear their bars comfortably; profitable and growing (net income $90M, revenue +6.2% YoY in Q1 2026) shows clear capacity to spend; over 10,000 employees group-wide; no F1 sponsorship conflicts found for Doosan Bobcat, Doosan Group, or Doosan Industrial Vehicle (Doosan sponsors a Porsche Mobil 1 Supercup team, not F1); public ownership, no state/sanctions issues; broad global dealer/construction customer base, not concentrated. fit_score=4.</t>
        </is>
      </c>
      <c r="P4" s="10" t="inlineStr">
        <is>
          <t>Open category - no forklift/material-handling OEM currently on the 2026 F1 grid; pair Doosan Bobcat's North America growth momentum (Q1 2026 sales +6.2% YoY) with a performance-engineering storyline timed to its material-handling segment expansion.</t>
        </is>
      </c>
      <c r="Q4" s="10" t="n"/>
      <c r="R4" s="10" t="inlineStr">
        <is>
          <t>verified-existing</t>
        </is>
      </c>
      <c r="S4" s="10" t="inlineStr">
        <is>
          <t>2026-09-28</t>
        </is>
      </c>
    </row>
    <row r="5">
      <c r="A5" s="10" t="n">
        <v>2</v>
      </c>
      <c r="B5" s="10" t="n">
        <v>92</v>
      </c>
      <c r="C5" s="10" t="inlineStr">
        <is>
          <t>HD Hyundai XiteSolution</t>
        </is>
      </c>
      <c r="D5" s="10" t="inlineStr">
        <is>
          <t>hd-hyundaicm.com</t>
        </is>
      </c>
      <c r="E5" s="10" t="inlineStr">
        <is>
          <t>Seongnam, Gyeonggi, South Korea</t>
        </is>
      </c>
      <c r="F5" s="10" t="inlineStr">
        <is>
          <t>Intermediate holding company within HD Hyundai Group (KRX: 267250, public); HD Hyundai has been a separate corporate group from Hyundai Motor Group since the early-2000s split; no state/sovereign ownership found</t>
        </is>
      </c>
      <c r="G5" s="10" t="inlineStr">
        <is>
          <t>Construction &amp; material-handling equipment components (MCVs, transmissions, cylinders, hydraulic parts) under the HD Hyundai Construction Equipment/Infracore umbrella</t>
        </is>
      </c>
      <c r="H5" s="10" t="inlineStr">
        <is>
          <t>1k-5k (est)</t>
        </is>
      </c>
      <c r="I5" s="10" t="inlineStr">
        <is>
          <t>Segment-level revenue not separately disclosed; parent HD Hyundai TTM revenue $49.4B (stockanalysis.com, 2026)</t>
        </is>
      </c>
      <c r="J5" s="10" t="inlineStr">
        <is>
          <t>Parent HD Hyundai (KRX: 267250) market cap approx. $9.26B as of June 2026 (stockanalysis.com)</t>
        </is>
      </c>
      <c r="K5" s="10" t="inlineStr">
        <is>
          <t>n/a (public company)</t>
        </is>
      </c>
      <c r="L5" s="10" t="inlineStr">
        <is>
          <t>exceeds - mega-brand</t>
        </is>
      </c>
      <c r="M5" s="10" t="n">
        <v>4</v>
      </c>
      <c r="N5" s="10" t="inlineStr">
        <is>
          <t>Yes</t>
        </is>
      </c>
      <c r="O5" s="10" t="inlineStr">
        <is>
          <t>Hard filters pass via parent: HD Hyundai TTM revenue $49.4B and market cap ~$9.26B both clear their bars; the group is a large diversified industrial conglomerate consolidating into 'HD Construction Equipment' with a KRW14.8T sales target by 2030 - no distress signals; no F1 conflicts found (HD Hyundai is unrelated to Hyundai Motor Group's WRC rally program, and neither ties to F1); public ownership, no state/sanctions issues; broad global dealer/construction customer base. fit_score=4.</t>
        </is>
      </c>
      <c r="P5" s="10" t="inlineStr">
        <is>
          <t>Open category - no construction/heavy-equipment OEM on the 2026 grid; time entry to the newly consolidated 'HD Construction Equipment' brand launch and its KRW14.8T-by-2030 growth target for a market-timing hook.</t>
        </is>
      </c>
      <c r="Q5" s="10" t="inlineStr">
        <is>
          <t>segment-level financials not separately disclosed following the 2025-2026 HD Hyundai Construction Equipment/Infracore merger (est)</t>
        </is>
      </c>
      <c r="R5" s="10" t="inlineStr">
        <is>
          <t>verified-existing</t>
        </is>
      </c>
      <c r="S5" s="10" t="inlineStr">
        <is>
          <t>2026-09-28</t>
        </is>
      </c>
    </row>
    <row r="6">
      <c r="A6" s="10" t="n">
        <v>3</v>
      </c>
      <c r="B6" s="10" t="n">
        <v>92</v>
      </c>
      <c r="C6" s="10" t="inlineStr">
        <is>
          <t>Kito Crosby</t>
        </is>
      </c>
      <c r="D6" s="10" t="inlineStr">
        <is>
          <t>kitocrosby.com</t>
        </is>
      </c>
      <c r="E6" s="10" t="inlineStr">
        <is>
          <t>USA (historically dual US/Japan HQ; now under Columbus McKinnon, Charlotte, NC)</t>
        </is>
      </c>
      <c r="F6" s="10" t="inlineStr">
        <is>
          <t>Subsidiary of Columbus McKinnon Corporation (NASDAQ: CMCO, public), acquisition completed February 4, 2026; formerly KKR-backed for 12 years (2013-2026), KKR has since fully exited</t>
        </is>
      </c>
      <c r="G6" s="10" t="inlineStr">
        <is>
          <t>Lifting, rigging &amp; hoisting solutions (multiple manufacturing plants, serving 50+ countries)</t>
        </is>
      </c>
      <c r="H6" s="10" t="inlineStr">
        <is>
          <t>1k-5k</t>
        </is>
      </c>
      <c r="I6" s="10" t="inlineStr">
        <is>
          <t>$1B+ revenue in the last fiscal year pre-merger (Kirkland &amp; Ellis / Business North Carolina reporting, 2025-2026)</t>
        </is>
      </c>
      <c r="J6" s="10" t="inlineStr">
        <is>
          <t>$2.7B all-cash acquisition value paid by Columbus McKinnon, completed February 4, 2026 (Kirkland &amp; Ellis, Alternatives Watch)</t>
        </is>
      </c>
      <c r="K6" s="10" t="inlineStr">
        <is>
          <t>n/a - this was an M&amp;A exit (KKR sold Kito Crosby to Columbus McKinnon for $2.7B, completed Feb 4, 2026), not a capital raise</t>
        </is>
      </c>
      <c r="L6" s="10" t="inlineStr">
        <is>
          <t>exceeds - mega-brand</t>
        </is>
      </c>
      <c r="M6" s="10" t="n">
        <v>4</v>
      </c>
      <c r="N6" s="10" t="inlineStr">
        <is>
          <t>Yes</t>
        </is>
      </c>
      <c r="O6" s="10" t="inlineStr">
        <is>
          <t>$1B+ revenue and the $2.7B deal valuation both clear their bars decisively; now owned by a profitable public industrial group (Columbus McKinnon) rather than a 4+ year PE hold, so the prior PE-tenure soft flag no longer applies; ~3,500-4,000 employees (1k-5k band); no F1 conflicts found for Kito Crosby, Columbus McKinnon, or KKR; no ownership/compliance issues; broad global customer base across 50+ countries. fit_score=4.</t>
        </is>
      </c>
      <c r="P6" s="10" t="inlineStr">
        <is>
          <t>Newly public-parented, freshly combined ($2.7B, Feb 2026) global lifting-solutions brand - 'engineered to hold under maximum load' precision/safety story for the open lifting-and-rigging category, timed to the Columbus McKinnon-Kito Crosby integration announcement.</t>
        </is>
      </c>
      <c r="Q6" s="10" t="inlineStr">
        <is>
          <t>ownership changed since desk triage: KKR fully exited after a 12-year hold (2013-2026); now a subsidiary of public Columbus McKinnon (NASDAQ: CMCO) - flag updated from 'parent already in master list: KKR' to 'parent: Columbus McKinnon (public, no F1 ties found)'; recently completed major M&amp;A integration (Feb 2026) - some near-term integration/spend uncertainty (est)</t>
        </is>
      </c>
      <c r="R6" s="10" t="inlineStr">
        <is>
          <t>verified-existing</t>
        </is>
      </c>
      <c r="S6" s="10" t="inlineStr">
        <is>
          <t>2026-09-28</t>
        </is>
      </c>
    </row>
    <row r="7">
      <c r="A7" s="10" t="n">
        <v>4</v>
      </c>
      <c r="B7" s="10" t="n">
        <v>92</v>
      </c>
      <c r="C7" s="10" t="inlineStr">
        <is>
          <t>Mecalux</t>
        </is>
      </c>
      <c r="D7" s="10" t="inlineStr">
        <is>
          <t>mecalux.com</t>
        </is>
      </c>
      <c r="E7" s="10" t="inlineStr">
        <is>
          <t>Sant Just Desvern (Barcelona), Spain</t>
        </is>
      </c>
      <c r="F7" s="10" t="inlineStr">
        <is>
          <t>Majority family-controlled (Carrillo family, founder José Luis Carrillo; family recovered approx. 90% ownership via 2019-2020 buybacks of Artá Capital/Corporación Financiera Alba stakes); formerly BME-listed but excluded from trading since March 2018; a planned 2022 re-IPO (targeting an approx. EUR2-3B valuation) was postponed amid market volatility and does not appear to have completed</t>
        </is>
      </c>
      <c r="G7" s="10" t="inlineStr">
        <is>
          <t>Warehouse racking, AS/RS &amp; intralogistics automation systems and software (Interlake Mecalux brand in the Americas)</t>
        </is>
      </c>
      <c r="H7" s="10" t="inlineStr">
        <is>
          <t>1k-5k</t>
        </is>
      </c>
      <c r="I7" s="10" t="inlineStr">
        <is>
          <t>~$1.7B (2025, IBISWorld ProcurementIQ estimate) (est)</t>
        </is>
      </c>
      <c r="J7" s="10" t="inlineStr">
        <is>
          <t>No current public market cap (delisted since 2018); indicative EUR2-3B (~$2.2-3.3B) valuation from its postponed 2022 IPO attempt (Reuters/Cinco Dias via Nasdaq, Arab News) - family-controlled ownership means the revenue-alone exemption also applies regardless</t>
        </is>
      </c>
      <c r="K7" s="10" t="inlineStr">
        <is>
          <t>n/a (family-financed; a 2019 Tikehau Capital financing of EUR134.5M supported the Carrillo family's stake increase, not a growth raise)</t>
        </is>
      </c>
      <c r="L7" s="10" t="inlineStr">
        <is>
          <t>exceeds - mega-brand</t>
        </is>
      </c>
      <c r="M7" s="10" t="n">
        <v>4</v>
      </c>
      <c r="N7" s="10" t="inlineStr">
        <is>
          <t>Yes</t>
        </is>
      </c>
      <c r="O7" s="10" t="inlineStr">
        <is>
          <t>Revenue ~$1.7B clears the $100M bar decisively; family-controlled ownership (Carrillo family, ~90%) covers the valuation bar via the family-owned exemption regardless of the murky public-listing status, and the indicative 2022 IPO valuation (EUR2-3B) would clear $1B anyway; 3,400-5,500 employees depending on source (1k-5k band); no F1 conflicts found; no ownership/compliance issues; broad global warehouse-automation customer base. fit_score=4.</t>
        </is>
      </c>
      <c r="P7" s="10" t="inlineStr">
        <is>
          <t>Warehouse-automation/robotics precision-engineering story with genuine global-ambition credentials (5-continent footprint, prior IPO ambitions) - open category, well matched to F1's growing industrial-technology/data-partner narrative.</t>
        </is>
      </c>
      <c r="Q7" s="10" t="inlineStr">
        <is>
          <t>conflicting public-listing status across sources (delisted 2018 vs. a planned-but-postponed 2022 IPO) - treated as family-controlled/private for valuation-exemption purposes; no published current valuation (family-owned exemption applied)</t>
        </is>
      </c>
      <c r="R7" s="10" t="inlineStr">
        <is>
          <t>verified-existing</t>
        </is>
      </c>
      <c r="S7" s="10" t="inlineStr">
        <is>
          <t>2026-09-28</t>
        </is>
      </c>
    </row>
    <row r="8">
      <c r="A8" s="10" t="n">
        <v>5</v>
      </c>
      <c r="B8" s="10" t="n">
        <v>92</v>
      </c>
      <c r="C8" s="10" t="inlineStr">
        <is>
          <t>Rite-Hite Corporation</t>
        </is>
      </c>
      <c r="D8" s="10" t="inlineStr">
        <is>
          <t>ritehite.com</t>
        </is>
      </c>
      <c r="E8" s="10" t="inlineStr">
        <is>
          <t>Milwaukee, Wisconsin, USA</t>
        </is>
      </c>
      <c r="F8" s="10" t="inlineStr">
        <is>
          <t>Family-owned (founded 1965 by Arthur K. White; chaired by Michael White) - note: input's 'Hite family' label appears to be a misread of the company name; the founding/controlling family is White</t>
        </is>
      </c>
      <c r="G8" s="10" t="inlineStr">
        <is>
          <t>Loading dock equipment, industrial doors, safety barriers &amp; industrial fans (100+ locations worldwide)</t>
        </is>
      </c>
      <c r="H8" s="10" t="inlineStr">
        <is>
          <t>1k-5k</t>
        </is>
      </c>
      <c r="I8" s="10" t="inlineStr">
        <is>
          <t>$597.5M annual revenue (2026, company-data aggregation) (est - private company reporting)</t>
        </is>
      </c>
      <c r="J8" s="10" t="inlineStr">
        <is>
          <t>No published valuation (private, family-owned) - family-owned exemption applied</t>
        </is>
      </c>
      <c r="K8" s="10" t="inlineStr">
        <is>
          <t>n/a (privately/family financed)</t>
        </is>
      </c>
      <c r="L8" s="10" t="inlineStr">
        <is>
          <t>meets parameters</t>
        </is>
      </c>
      <c r="M8" s="10" t="n">
        <v>4</v>
      </c>
      <c r="N8" s="10" t="inlineStr">
        <is>
          <t>Yes</t>
        </is>
      </c>
      <c r="O8" s="10" t="inlineStr">
        <is>
          <t>Revenue $597.5M clears the $100M bar comfortably; family-owned exemption covers the valuation bar; ~1,792-2,200 employees depending on source (1k-5k band); no F1 conflicts found; no state/sanctions ownership issues; broad global industrial/facilities customer base across 100+ locations. fit_score=4.</t>
        </is>
      </c>
      <c r="P8" s="10" t="inlineStr">
        <is>
          <t>Industrial safety-and-efficiency engineering story ('protecting people and product at the loading dock') for the open dock/door-equipment category, leveraging its 100-country footprint for a global-ambition angle.</t>
        </is>
      </c>
      <c r="Q8" s="10" t="inlineStr">
        <is>
          <t>family-owned, no published valuation; input's founding-family name ('Hite') corrected to White family per verification</t>
        </is>
      </c>
      <c r="R8" s="10" t="inlineStr">
        <is>
          <t>verified-existing</t>
        </is>
      </c>
      <c r="S8" s="10" t="inlineStr">
        <is>
          <t>2026-09-28</t>
        </is>
      </c>
    </row>
    <row r="9">
      <c r="A9" s="10" t="n">
        <v>6</v>
      </c>
      <c r="B9" s="10" t="n">
        <v>92</v>
      </c>
      <c r="C9" s="10" t="inlineStr">
        <is>
          <t>Skyjack</t>
        </is>
      </c>
      <c r="D9" s="10" t="inlineStr">
        <is>
          <t>skyjack.com</t>
        </is>
      </c>
      <c r="E9" s="10" t="inlineStr">
        <is>
          <t>Guelph, Ontario, Canada</t>
        </is>
      </c>
      <c r="F9" s="10" t="inlineStr">
        <is>
          <t>Wholly-owned subsidiary of Linamar Corporation (TSX: LNR, public parent)</t>
        </is>
      </c>
      <c r="G9" s="10" t="inlineStr">
        <is>
          <t>Aerial work platforms - scissor lifts, boom lifts &amp; telehandlers (roughly 1 in 3 scissor lifts sold worldwide)</t>
        </is>
      </c>
      <c r="H9" s="10" t="inlineStr">
        <is>
          <t>1k-5k</t>
        </is>
      </c>
      <c r="I9" s="10" t="inlineStr">
        <is>
          <t>$678.1M (Skyjack Inc., 2026, company-data aggregation); parent Linamar TTM revenue approx. CAD10.64B (~$7.8B USD)</t>
        </is>
      </c>
      <c r="J9" s="10" t="inlineStr">
        <is>
          <t>Parent Linamar Corporation market cap approx. CAD5.93-6.10B (~$4.3-4.5B USD) as of June 2026 (stockanalysis.com)</t>
        </is>
      </c>
      <c r="K9" s="10" t="inlineStr">
        <is>
          <t>n/a (public parent, no VC funding)</t>
        </is>
      </c>
      <c r="L9" s="10" t="inlineStr">
        <is>
          <t>exceeds - mega-brand</t>
        </is>
      </c>
      <c r="M9" s="10" t="n">
        <v>4</v>
      </c>
      <c r="N9" s="10" t="inlineStr">
        <is>
          <t>Yes</t>
        </is>
      </c>
      <c r="O9" s="10" t="inlineStr">
        <is>
          <t>Skyjack's own revenue ($678.1M) already clears the $100M bar; parent Linamar's market cap (~$4.3-4.5B) clears the valuation bar; both profitable and growing (Linamar headcount +12.5% YoY); 1,272 employees (1k-5k band); no F1 conflicts found for Skyjack or Linamar (the same-named 'McLaren Engineering' unit is unrelated to McLaren Racing, confirmed); no ownership/compliance issues; broad global rental/construction customer base. fit_score=4.</t>
        </is>
      </c>
      <c r="P9" s="10" t="inlineStr">
        <is>
          <t>Global height-and-load engineering-performance story (1 in 3 scissor lifts worldwide) for the open aerial-work-platform category - pair with Linamar's broader industrial-technology positioning, while proactively clarifying the unrelated 'McLaren Engineering' naming coincidence in any outreach brief.</t>
        </is>
      </c>
      <c r="Q9" s="10" t="inlineStr">
        <is>
          <t>parent: Linamar Corporation (public, no F1 ties found); Linamar also owns an unrelated 'McLaren Engineering' powertrain-engineering division (Detroit-based, acquired 2003) sharing a name with the McLaren F1 team purely by historical coincidence - confirmed via Linamar/Honda Marine materials this traces to Bruce McLaren's 1969 North American Can-Am/Indy operation, split from McLaren Racing decades ago, with no current relationship to McLaren Racing or F1; not treated as a conflict, but worth a compliance double-check before outreach</t>
        </is>
      </c>
      <c r="R9" s="10" t="inlineStr">
        <is>
          <t>verified-existing</t>
        </is>
      </c>
      <c r="S9" s="10" t="inlineStr">
        <is>
          <t>2026-09-28</t>
        </is>
      </c>
    </row>
    <row r="10">
      <c r="A10" s="10" t="n">
        <v>7</v>
      </c>
      <c r="B10" s="10" t="n">
        <v>92</v>
      </c>
      <c r="C10" s="10" t="inlineStr">
        <is>
          <t>Modula (System Logistics)</t>
        </is>
      </c>
      <c r="D10" s="10" t="inlineStr">
        <is>
          <t>modula.eu</t>
        </is>
      </c>
      <c r="E10" s="10" t="inlineStr">
        <is>
          <t>Italy</t>
        </is>
      </c>
      <c r="F10" s="10" t="inlineStr">
        <is>
          <t>Subsidiary of Krones AG (Frankfurt-listed, public; no state ownership), part of the System Logistics Group acquired by Krones in 2015.</t>
        </is>
      </c>
      <c r="G10" s="10" t="inlineStr">
        <is>
          <t>Vertical storage AS/RS</t>
        </is>
      </c>
      <c r="H10" s="10" t="inlineStr">
        <is>
          <t>201-1k</t>
        </is>
      </c>
      <c r="I10" s="10" t="inlineStr">
        <is>
          <t>System Logistics (Krones Group) annual revenue ≈$300M as of July 2025 (company-reported estimate); clears the $100M hard bar.</t>
        </is>
      </c>
      <c r="J10" s="10" t="inlineStr">
        <is>
          <t>Parent Krones AG market cap ≈€3.5-3.9B (~$3.8-4.2B) as of Sept 2026 (stockanalysis.com / ad-hoc-news.de).</t>
        </is>
      </c>
      <c r="K10" s="10" t="inlineStr">
        <is>
          <t>N/A - subsidiary of publicly listed parent (acquired by Krones AG, 2015).</t>
        </is>
      </c>
      <c r="L10" s="10" t="inlineStr">
        <is>
          <t>meets parameters</t>
        </is>
      </c>
      <c r="M10" s="10" t="n">
        <v>4</v>
      </c>
      <c r="N10" s="10" t="inlineStr">
        <is>
          <t>Yes</t>
        </is>
      </c>
      <c r="O10" s="10" t="inlineStr">
        <is>
          <t>All hard filters pass: revenue ~$300M and parent market cap ~$3.8-4.2B both clear thresholds; parent Krones AG is growing and profitable (H1 2026 revenue +11.2% YoY, margins improving per ad-hoc-news.de); no F1 conflict found; no adverse ownership; fit score 4.</t>
        </is>
      </c>
      <c r="P10" s="10" t="inlineStr">
        <is>
          <t>Modula's vertical-storage automation for food &amp; beverage and industrial clients supports a 'precision engineering, zero downtime' angle - an open storage-automation category, reinforced by parent Krones' own growth-momentum story.</t>
        </is>
      </c>
      <c r="Q10" s="10" t="inlineStr">
        <is>
          <t>parent already in master list: Krones</t>
        </is>
      </c>
      <c r="R10" s="10" t="inlineStr">
        <is>
          <t>verified-existing</t>
        </is>
      </c>
      <c r="S10" s="10" t="inlineStr">
        <is>
          <t>2026-09-28</t>
        </is>
      </c>
    </row>
    <row r="11">
      <c r="A11" s="10" t="n">
        <v>8</v>
      </c>
      <c r="B11" s="10" t="n">
        <v>84</v>
      </c>
      <c r="C11" s="10" t="inlineStr">
        <is>
          <t>ASSA ABLOY Entrance Systems</t>
        </is>
      </c>
      <c r="D11" s="10" t="inlineStr">
        <is>
          <t>assaabloyentrance.com</t>
        </is>
      </c>
      <c r="E11" s="10" t="inlineStr">
        <is>
          <t>Sweden</t>
        </is>
      </c>
      <c r="F11" s="10" t="inlineStr">
        <is>
          <t>Division of ASSA ABLOY AB (public, Nasdaq Stockholm-listed; no state ownership)</t>
        </is>
      </c>
      <c r="G11" s="10" t="inlineStr">
        <is>
          <t>Dock doors &amp; entrance automation</t>
        </is>
      </c>
      <c r="H11" s="10" t="inlineStr">
        <is>
          <t>5k-10k</t>
        </is>
      </c>
      <c r="I11" s="10" t="inlineStr">
        <is>
          <t>Division of ASSA ABLOY AB; parent group revenue SEK 152.41B (~$14.4B) FY2025, record results (ASSA ABLOY Annual Report 2025, reported Feb 2026). Division-level revenue not separately broken out but Entrance Systems is a major multi-billion-dollar division (est).</t>
        </is>
      </c>
      <c r="J11" s="10" t="inlineStr">
        <is>
          <t>Parent ASSA ABLOY AB market cap ~$42.8B as of Aug 2026 (companiesmarketcap.com / stockanalysis.com).</t>
        </is>
      </c>
      <c r="K11" s="10" t="inlineStr">
        <is>
          <t>N/A - division of publicly listed parent; no independent funding events.</t>
        </is>
      </c>
      <c r="L11" s="10" t="inlineStr">
        <is>
          <t>exceeds - mega-brand</t>
        </is>
      </c>
      <c r="M11" s="10" t="n">
        <v>3</v>
      </c>
      <c r="N11" s="10" t="inlineStr">
        <is>
          <t>Yes</t>
        </is>
      </c>
      <c r="O11" s="10" t="inlineStr">
        <is>
          <t>All hard filters pass: parent revenue (~$14.4B FY2025) and market cap (~$42.8B) far exceed thresholds, no F1 conflicts found (direct or via parent), no adverse ownership, profitable/growing parent, broad B2B industrial customer base; fit score 3.</t>
        </is>
      </c>
      <c r="P11" s="10" t="inlineStr">
        <is>
          <t>Position ASSA ABLOY Entrance Systems' automated, high-speed entry technology as a 'precision at speed' story tied to paddock/logistics operational efficiency - an open access-automation category on the 2026 grid.</t>
        </is>
      </c>
      <c r="Q11" s="10" t="inlineStr">
        <is>
          <t>parent: ASSA ABLOY AB (public, no F1 ties found)</t>
        </is>
      </c>
      <c r="R11" s="10" t="inlineStr">
        <is>
          <t>verified-existing</t>
        </is>
      </c>
      <c r="S11" s="10" t="inlineStr">
        <is>
          <t>2026-09-28</t>
        </is>
      </c>
    </row>
    <row r="12">
      <c r="A12" s="10" t="n">
        <v>9</v>
      </c>
      <c r="B12" s="10" t="n">
        <v>84</v>
      </c>
      <c r="C12" s="10" t="inlineStr">
        <is>
          <t>Frazier Industrial Company</t>
        </is>
      </c>
      <c r="D12" s="10" t="inlineStr">
        <is>
          <t>frazier.com</t>
        </is>
      </c>
      <c r="E12" s="10" t="inlineStr">
        <is>
          <t>USA</t>
        </is>
      </c>
      <c r="F12" s="10" t="inlineStr">
        <is>
          <t>Private, founder/family-owned (Long Valley, NJ; est. 1949), no published valuation</t>
        </is>
      </c>
      <c r="G12" s="10" t="inlineStr">
        <is>
          <t>Structural steel pallet rack &amp; industrial storage systems</t>
        </is>
      </c>
      <c r="H12" s="10" t="inlineStr">
        <is>
          <t>201-1k (540 employees per Zippia, accessed Sept 2026)</t>
        </is>
      </c>
      <c r="I12" s="10" t="inlineStr">
        <is>
          <t>$276.8M (est, Zippia, accessed Sept 2026 — private-company estimate, not audited) — clears the &gt;$100M bar with margin</t>
        </is>
      </c>
      <c r="J12" s="10" t="inlineStr">
        <is>
          <t>N/A — family-owned, no published valuation; passes on revenue alone per protocol</t>
        </is>
      </c>
      <c r="K12" s="10" t="inlineStr">
        <is>
          <t>N/A — privately held, no external funding/raise found</t>
        </is>
      </c>
      <c r="L12" s="10" t="inlineStr">
        <is>
          <t>meets parameters</t>
        </is>
      </c>
      <c r="M12" s="10" t="n">
        <v>3</v>
      </c>
      <c r="N12" s="10" t="inlineStr">
        <is>
          <t>Yes</t>
        </is>
      </c>
      <c r="O12" s="10" t="inlineStr">
        <is>
          <t>All hard filters pass: revenue (~$277M est) comfortably clears $100M; family-owned with no published valuation passes on revenue alone; headcount (540) is well above the 51 floor; privately profitable, diversified industrial customer base (not concentrated); no F1 conflicts found; no ownership/compliance issues. Fit score 3.</t>
        </is>
      </c>
      <c r="P12" s="10" t="inlineStr">
        <is>
          <t>'Engineered for load, built for precision' — structural racking/engineering story pairs naturally with F1 chassis/engineering narratives; open category with no current racking/warehouse sponsor on the grid.</t>
        </is>
      </c>
      <c r="Q12" s="10" t="inlineStr">
        <is>
          <t>family/founder-owned, no published valuation — passes on revenue alone per protocol; revenue figure is a third-party estimate (Zippia), not company-disclosed</t>
        </is>
      </c>
      <c r="R12" s="10" t="inlineStr">
        <is>
          <t>verified-existing</t>
        </is>
      </c>
      <c r="S12" s="10" t="inlineStr">
        <is>
          <t>2026-09-28</t>
        </is>
      </c>
    </row>
    <row r="13">
      <c r="A13" s="10" t="n">
        <v>10</v>
      </c>
      <c r="B13" s="10" t="n">
        <v>84</v>
      </c>
      <c r="C13" s="10" t="inlineStr">
        <is>
          <t>Lonking Holdings</t>
        </is>
      </c>
      <c r="D13" s="10" t="inlineStr">
        <is>
          <t>lonking.com.hk</t>
        </is>
      </c>
      <c r="E13" s="10" t="inlineStr">
        <is>
          <t>China</t>
        </is>
      </c>
      <c r="F13" s="10" t="inlineStr">
        <is>
          <t>Public (HKEX: 3339); founder-led (Wang Baofu family lineage), no confirmed state ownership found</t>
        </is>
      </c>
      <c r="G13" s="10" t="inlineStr">
        <is>
          <t>Forklifts &amp; construction equipment</t>
        </is>
      </c>
      <c r="H13" s="10" t="inlineStr">
        <is>
          <t>5k-10k</t>
        </is>
      </c>
      <c r="I13" s="10" t="inlineStr">
        <is>
          <t>FY2025 revenue ~CNY 11.2B (~US$1.5-1.6B est.), up 9.8% YoY; 1H2026 revenue CNY 6.66B, up 19% YoY (Simply Wall St, data as of Aug 2026) — clears &gt;$100M hard bar</t>
        </is>
      </c>
      <c r="J13" s="10" t="inlineStr">
        <is>
          <t>Market cap ~HKD 12.5-13.8B (~US$1.6-1.77B est.) as of Sept 2026 (Investing.com / TipRanks / CNBC quotes for 3339.HK) — clears &gt;$1B hard bar</t>
        </is>
      </c>
      <c r="K13" s="10" t="inlineStr">
        <is>
          <t>N/A — established public company, no recent capital raise identified</t>
        </is>
      </c>
      <c r="L13" s="10" t="inlineStr">
        <is>
          <t>meets parameters</t>
        </is>
      </c>
      <c r="M13" s="10" t="n">
        <v>3</v>
      </c>
      <c r="N13" s="10" t="inlineStr">
        <is>
          <t>Yes</t>
        </is>
      </c>
      <c r="O13" s="10" t="inlineStr">
        <is>
          <t>All hard filters pass: revenue ~$1.5B+ (&gt;$100M), market cap ~$1.6-1.8B (&gt;$1B), no F1 conflict found (direct or via parent), no majority state/sovereign ownership identified, headcount ~6,000+ (5k-10k band), broad dealer/export customer base (no concentration on ~20 buyers), profitable and growing 19% YoY (H1 2026) satisfying spend capacity. Fit score 3/4.</t>
        </is>
      </c>
      <c r="P13" s="10" t="inlineStr">
        <is>
          <t>Open category (construction/material-handling equipment not currently sponsored on the grid); pair Lonking's global export push (Asia/Africa/LatAm, expanding into developed markets) with F1's global-stage timing story.</t>
        </is>
      </c>
      <c r="Q13" s="10" t="n"/>
      <c r="R13" s="10" t="inlineStr">
        <is>
          <t>verified-existing</t>
        </is>
      </c>
      <c r="S13" s="10" t="inlineStr">
        <is>
          <t>2026-09-28</t>
        </is>
      </c>
    </row>
    <row r="14">
      <c r="A14" s="10" t="n">
        <v>11</v>
      </c>
      <c r="B14" s="10" t="n">
        <v>84</v>
      </c>
      <c r="C14" s="10" t="inlineStr">
        <is>
          <t>EP Equipment</t>
        </is>
      </c>
      <c r="D14" s="10" t="inlineStr">
        <is>
          <t>epforklift.com</t>
        </is>
      </c>
      <c r="E14" s="10" t="inlineStr">
        <is>
          <t>China</t>
        </is>
      </c>
      <c r="F14" s="10" t="inlineStr">
        <is>
          <t>Public (Shanghai Stock Exchange, listed Dec 2024); investor base includes KION Group (minority stake); no state ownership identified</t>
        </is>
      </c>
      <c r="G14" s="10" t="inlineStr">
        <is>
          <t>Electric forklifts</t>
        </is>
      </c>
      <c r="H14" s="10" t="inlineStr">
        <is>
          <t>1k-5k</t>
        </is>
      </c>
      <c r="I14" s="10" t="inlineStr">
        <is>
          <t>TTM revenue ~US$966M as of 30-Sep-2025 (CB Insights) — clears &gt;$100M hard bar</t>
        </is>
      </c>
      <c r="J14" s="10" t="inlineStr">
        <is>
          <t>Market cap ~US$2-2.54B (post-IPO share price up ~83% by Feb 2025 reaching ~$2B; CB Insights figure of $2.54B/401M shares, data dated mid/late 2025) — clears &gt;$1B hard bar</t>
        </is>
      </c>
      <c r="K14" s="10" t="inlineStr">
        <is>
          <t>IPO on Shanghai Stock Exchange, Dec 2024 (preceded by a CNY 30M pre-IPO round in 2024)</t>
        </is>
      </c>
      <c r="L14" s="10" t="inlineStr">
        <is>
          <t>meets parameters</t>
        </is>
      </c>
      <c r="M14" s="10" t="n">
        <v>3</v>
      </c>
      <c r="N14" s="10" t="inlineStr">
        <is>
          <t>Yes</t>
        </is>
      </c>
      <c r="O14" s="10" t="inlineStr">
        <is>
          <t>All hard filters pass: TTM revenue ~$966M (&gt;$100M), market cap ~$2B+ (&gt;$1B), no F1 conflict found, no state/sanctioned ownership, headcount ~1,500+ (1k-5k band), broad market-share customer base (no concentration), newly public and clearly growing (post-IPO run-up) satisfying spend capacity. Fit score 3/4.</t>
        </is>
      </c>
      <c r="P14" s="10" t="inlineStr">
        <is>
          <t>Electrification/technology-leadership story (China's largest lithium-ion forklift maker) timed to its 2024 Shanghai IPO and expansion into US/Europe manufacturing — open category on the grid.</t>
        </is>
      </c>
      <c r="Q14" s="10" t="inlineStr">
        <is>
          <t>stock up ~83% within ~2 months of its Dec-2024 IPO — volatile, newly public company</t>
        </is>
      </c>
      <c r="R14" s="10" t="inlineStr">
        <is>
          <t>verified-existing</t>
        </is>
      </c>
      <c r="S14" s="10" t="inlineStr">
        <is>
          <t>2026-09-28</t>
        </is>
      </c>
    </row>
    <row r="15">
      <c r="A15" s="11" t="n">
        <v>12</v>
      </c>
      <c r="B15" s="11" t="n">
        <v>64</v>
      </c>
      <c r="C15" s="11" t="inlineStr">
        <is>
          <t>Stow Group</t>
        </is>
      </c>
      <c r="D15" s="11" t="inlineStr">
        <is>
          <t>stow-group.com</t>
        </is>
      </c>
      <c r="E15" s="11" t="inlineStr">
        <is>
          <t>Belgium</t>
        </is>
      </c>
      <c r="F15" s="11" t="inlineStr">
        <is>
          <t>PE-owned (Investindustrial holds majority stake since 2021); formerly family-owned</t>
        </is>
      </c>
      <c r="G15" s="11" t="inlineStr">
        <is>
          <t>Racking &amp; automated storage systems (stow Racking, Movu Robotics)</t>
        </is>
      </c>
      <c r="H15" s="11" t="inlineStr">
        <is>
          <t>1k-5k (1,700+ employees per input company data)</t>
        </is>
      </c>
      <c r="I15" s="11" t="inlineStr">
        <is>
          <t>Reported &gt;€1B annual revenue (stow-group.com corporate profile, accessed Sept 2026) — clears the &gt;$100M bar by a wide margin</t>
        </is>
      </c>
      <c r="J15" s="11" t="inlineStr">
        <is>
          <t>&gt;$1B (est) — no disclosed deal value or market cap found for the 2021 Investindustrial transaction despite multiple searches; estimate based on &gt;€1B revenue scale at typical industrial-equipment multiples (1-2x revenue)</t>
        </is>
      </c>
      <c r="K15" s="11" t="inlineStr">
        <is>
          <t>Investindustrial majority-stake investment, 2021 (deal value undisclosed)</t>
        </is>
      </c>
      <c r="L15" s="11" t="inlineStr">
        <is>
          <t>exceeds - mega-brand</t>
        </is>
      </c>
      <c r="M15" s="11" t="n">
        <v>4</v>
      </c>
      <c r="N15" s="11" t="inlineStr">
        <is>
          <t>Stretch</t>
        </is>
      </c>
      <c r="O15" s="11" t="inlineStr">
        <is>
          <t>Passes hard filters on an estimated basis (revenue clearly &gt;$100M; valuation plausibly &gt;$1B given &gt;€1B revenue scale) but with real reservations: no confirmed valuation figure was found (estimate only), and the company has been PE-owned for 4+ years (Investindustrial since 2021). No F1 conflicts found.</t>
        </is>
      </c>
      <c r="P15" s="11" t="inlineStr">
        <is>
          <t>Warehouse automation / robotics (Movu Robotics) as an open-category 'precision engineering at scale' story tied to global supply-chain modernization.</t>
        </is>
      </c>
      <c r="Q15" s="11" t="inlineStr">
        <is>
          <t>PE-owned 4+ years (Investindustrial, since 2021); valuation not publicly disclosed — figure is an estimate, not a confirmed source</t>
        </is>
      </c>
      <c r="R15" s="11" t="inlineStr">
        <is>
          <t>verified-existing</t>
        </is>
      </c>
      <c r="S15" s="11" t="inlineStr">
        <is>
          <t>2026-09-28</t>
        </is>
      </c>
    </row>
    <row r="16">
      <c r="A16" s="11" t="n">
        <v>13</v>
      </c>
      <c r="B16" s="11" t="n">
        <v>64</v>
      </c>
      <c r="C16" s="11" t="inlineStr">
        <is>
          <t>LGMG (Lingong Machinery)</t>
        </is>
      </c>
      <c r="D16" s="11" t="inlineStr">
        <is>
          <t>lgmgglobal.com</t>
        </is>
      </c>
      <c r="E16" s="11" t="inlineStr">
        <is>
          <t>China</t>
        </is>
      </c>
      <c r="F16" s="11" t="inlineStr">
        <is>
          <t>Private; wholly-owned subsidiary of LGMG/Lingong Group, which has raised ~US$274M from investors including several state-linked funds (Shandong Hi-Speed Group, China Aerospace Investment Holdings/CASIC, CMG SDIC Fund, CCB International, CICC Capital) — minority state-linked investor stakes, not confirmed majority state control</t>
        </is>
      </c>
      <c r="G16" s="11" t="inlineStr">
        <is>
          <t>Aerial work platforms</t>
        </is>
      </c>
      <c r="H16" s="11" t="inlineStr">
        <is>
          <t>1k-5k</t>
        </is>
      </c>
      <c r="I16" s="11" t="inlineStr">
        <is>
          <t>Parent Lingong Group (all divisions) reported ~US$5.7B revenue in 2024 (Global Highways); standalone LGMG/aerial-platform revenue not separately disclosed but plausibly &gt;$100M given its position as a top-5 Chinese AWP maker</t>
        </is>
      </c>
      <c r="J16" s="11" t="inlineStr">
        <is>
          <t>No standalone published valuation; parent has raised ~US$274M across funding rounds (dates unconfirmed) from the investors above</t>
        </is>
      </c>
      <c r="K16" s="11" t="inlineStr">
        <is>
          <t>~US$274M raised (rounds/dates unconfirmed) from CCB International, China Aerospace Investment Holdings, CICC Capital, CMG SDIC Fund, Shandong Hi-Speed Group</t>
        </is>
      </c>
      <c r="L16" s="11" t="inlineStr">
        <is>
          <t>meets parameters</t>
        </is>
      </c>
      <c r="M16" s="11" t="n">
        <v>4</v>
      </c>
      <c r="N16" s="11" t="inlineStr">
        <is>
          <t>Stretch</t>
        </is>
      </c>
      <c r="O16" s="11" t="inlineStr">
        <is>
          <t>No F1 conflict found and no confirmed majority-state control, but the investor base includes multiple state-linked Chinese funds (Shandong Hi-Speed Group, CASIC, SDIC) — a real ownership/compliance reservation. Revenue plausibly clears $100M (parent group ~$5.7B) but the standalone figure is unconfirmed. Fit score 4/4 otherwise strong, capped at Stretch for the ownership flag.</t>
        </is>
      </c>
      <c r="P16" s="11" t="inlineStr">
        <is>
          <t>Global-ambition/technology-leadership story (600+ patents, expansion into US/Europe/Australia aerial-platform markets) — open category on the grid, pending compliance clearance on the state-linked investor base.</t>
        </is>
      </c>
      <c r="Q16" s="11" t="inlineStr">
        <is>
          <t>minority state-linked investor stakes (Shandong Hi-Speed Group, China Aerospace Investment Holdings/CASIC, CMG SDIC Fund) — compliance review warranted; standalone LGMG revenue/valuation not separately disclosed from the parent group</t>
        </is>
      </c>
      <c r="R16" s="11" t="inlineStr">
        <is>
          <t>verified-existing</t>
        </is>
      </c>
      <c r="S16" s="11" t="inlineStr">
        <is>
          <t>2026-09-28</t>
        </is>
      </c>
    </row>
    <row r="17">
      <c r="A17" s="11" t="n">
        <v>14</v>
      </c>
      <c r="B17" s="11" t="n">
        <v>64</v>
      </c>
      <c r="C17" s="11" t="inlineStr">
        <is>
          <t>Zowell Technology</t>
        </is>
      </c>
      <c r="D17" s="11" t="inlineStr">
        <is>
          <t>zowell.com</t>
        </is>
      </c>
      <c r="E17" s="11" t="inlineStr">
        <is>
          <t>China</t>
        </is>
      </c>
      <c r="F17" s="11" t="inlineStr">
        <is>
          <t>Private (China) — Suzhou Pioneer Material Handling Equipment &amp; Technology Co., Ltd.</t>
        </is>
      </c>
      <c r="G17" s="11" t="inlineStr">
        <is>
          <t>Electric forklifts (VNA, reach trucks, counterbalanced) &amp; AMR/AGV unmanned forklifts</t>
        </is>
      </c>
      <c r="H17" s="11" t="inlineStr">
        <is>
          <t>1k-5k (1,000+ est, per input)</t>
        </is>
      </c>
      <c r="I17" s="11" t="inlineStr">
        <is>
          <t>Unconfirmed; input estimate $100-200M (est). No audited figures found despite Chinese- and English-language searches. Company holds a Jiangsu Province 'Small Giant' (专精特新) SME designation (2024) and states it has been China's largest VNA forklift exporter for 20 consecutive years; received EU CE certification for three-way forklifts in 2024</t>
        </is>
      </c>
      <c r="J17" s="11" t="inlineStr">
        <is>
          <t>Unknown / not disclosed</t>
        </is>
      </c>
      <c r="K17" s="11" t="inlineStr">
        <is>
          <t>Unknown — no funding history found (appears self-funded/bootstrapped)</t>
        </is>
      </c>
      <c r="L17" s="11" t="inlineStr">
        <is>
          <t>meets parameters</t>
        </is>
      </c>
      <c r="M17" s="11" t="n">
        <v>4</v>
      </c>
      <c r="N17" s="11" t="inlineStr">
        <is>
          <t>Stretch</t>
        </is>
      </c>
      <c r="O17" s="11" t="inlineStr">
        <is>
          <t>Hard bars plausibly cleared (20-year export leadership, national 'Small Giant' SME designation, 2024 CE-certification expansion) but the exact revenue figure could not be confirmed via public search — Stretch on an uncertain figure rather than a confirmed pass.</t>
        </is>
      </c>
      <c r="P17" s="11" t="inlineStr">
        <is>
          <t>Electric forklift/AMR + EV-powertrain story maps well to F1's electrification narrative; established export base spans 3+ markets.</t>
        </is>
      </c>
      <c r="Q17" s="11" t="inlineStr">
        <is>
          <t>revenue figure unconfirmed (est. $100-200M per triage, not independently verified)</t>
        </is>
      </c>
      <c r="R17" s="11" t="inlineStr">
        <is>
          <t>verified-existing</t>
        </is>
      </c>
      <c r="S17" s="11" t="inlineStr">
        <is>
          <t>2026-09-28</t>
        </is>
      </c>
    </row>
    <row r="18">
      <c r="A18" s="11" t="n">
        <v>15</v>
      </c>
      <c r="B18" s="11" t="n">
        <v>64</v>
      </c>
      <c r="C18" s="11" t="inlineStr">
        <is>
          <t>Cimcorp Group</t>
        </is>
      </c>
      <c r="D18" s="11" t="inlineStr">
        <is>
          <t>cimcorp.com</t>
        </is>
      </c>
      <c r="E18" s="11" t="inlineStr">
        <is>
          <t>Finland</t>
        </is>
      </c>
      <c r="F18" s="11" t="inlineStr">
        <is>
          <t>Subsidiary of Fives Group (private industrial group, France) — parent confirmed to have no F1 ties</t>
        </is>
      </c>
      <c r="G18" s="11" t="inlineStr">
        <is>
          <t>Robotic AS/RS (tire &amp; grocery automation)</t>
        </is>
      </c>
      <c r="H18" s="11" t="inlineStr">
        <is>
          <t>201-1k</t>
        </is>
      </c>
      <c r="I18" s="11" t="inlineStr">
        <is>
          <t>~$500M-1B (est, July 2026, Reveliolabs) — passes &gt;$100M hard bar; 484 employees Dec 2025 (+14.3% YoY)</t>
        </is>
      </c>
      <c r="J18" s="11" t="inlineStr">
        <is>
          <t>No published standalone valuation; private subsidiary of Fives Group (2025 group sales €2,281M) — treated as pass-on-revenue-alone given no published figure exists</t>
        </is>
      </c>
      <c r="K18" s="11" t="inlineStr">
        <is>
          <t>N/A (established subsidiary of private industrial group; no funding-round data found)</t>
        </is>
      </c>
      <c r="L18" s="11" t="inlineStr">
        <is>
          <t>meets parameters</t>
        </is>
      </c>
      <c r="M18" s="11" t="n">
        <v>4</v>
      </c>
      <c r="N18" s="11" t="inlineStr">
        <is>
          <t>Stretch</t>
        </is>
      </c>
      <c r="O18" s="11" t="inlineStr">
        <is>
          <t>Passes hard bars (revenue ~$500M-1B est clears $100M bar; no F1 conflicts direct or via parent; ownership clean) but real reservations: no published standalone valuation and potential customer concentration in a narrow set of large industrial accounts.</t>
        </is>
      </c>
      <c r="P18" s="11" t="inlineStr">
        <is>
          <t>Global supply-chain robotics/automation precision story — open 'intralogistics &amp; robotics' category on the 2026 grid, tied to tire and grocery-retail supply-chain modernization.</t>
        </is>
      </c>
      <c r="Q18" s="11" t="inlineStr">
        <is>
          <t>parent: Fives Group (private, France) — confirmed no F1 ties; no published valuation (subsidiary of private group); possible customer concentration risk (tire &amp; grocery automation clients, as flagged in input)</t>
        </is>
      </c>
      <c r="R18" s="11" t="inlineStr">
        <is>
          <t>verified-existing</t>
        </is>
      </c>
      <c r="S18" s="11" t="inlineStr">
        <is>
          <t>2026-09-28</t>
        </is>
      </c>
    </row>
    <row r="19">
      <c r="A19" s="11" t="n">
        <v>16</v>
      </c>
      <c r="B19" s="11" t="n">
        <v>58</v>
      </c>
      <c r="C19" s="11" t="inlineStr">
        <is>
          <t>Almajdouie Logistics</t>
        </is>
      </c>
      <c r="D19" s="11" t="inlineStr">
        <is>
          <t>almajdouie.com</t>
        </is>
      </c>
      <c r="E19" s="11" t="inlineStr">
        <is>
          <t>Dammam, Saudi Arabia</t>
        </is>
      </c>
      <c r="F19" s="11" t="inlineStr">
        <is>
          <t>Family-owned (Al Majdouie family, founded 1965 by Ali Ibrahim Almajdouie; third generation now entering leadership); no state/sovereign stake found</t>
        </is>
      </c>
      <c r="G19" s="11" t="inlineStr">
        <is>
          <t>Heavy lift, project logistics &amp; transport services (broader Almajdouie Group also spans automotive, steel, real estate)</t>
        </is>
      </c>
      <c r="H19" s="11" t="inlineStr">
        <is>
          <t>1k-5k</t>
        </is>
      </c>
      <c r="I19" s="11" t="inlineStr">
        <is>
          <t>~$803M (Almajdouie Logistics, per ZoomInfo/company-data aggregation, 2026) (est)</t>
        </is>
      </c>
      <c r="J19" s="11" t="inlineStr">
        <is>
          <t>No published valuation (private, family-owned) - family-owned exemption applied</t>
        </is>
      </c>
      <c r="K19" s="11" t="inlineStr">
        <is>
          <t>n/a (family-financed; equity contribution to the CEVA Almajdouie Logistics joint venture is undisclosed)</t>
        </is>
      </c>
      <c r="L19" s="11" t="inlineStr">
        <is>
          <t>meets parameters</t>
        </is>
      </c>
      <c r="M19" s="11" t="n">
        <v>3</v>
      </c>
      <c r="N19" s="11" t="inlineStr">
        <is>
          <t>Stretch</t>
        </is>
      </c>
      <c r="O19" s="11" t="inlineStr">
        <is>
          <t>Hard filters pass on paper: revenue ~$803M clears the $100M bar; family-owned exemption covers valuation; ~4,000-5,000 employees (1k-5k band); no direct F1 sponsorship by Almajdouie itself found; no state ownership or compliance issues found. Real reservation: Almajdouie's own logistics joint-venture partner, CEVA Logistics, is a named Ferrari F1 team/premium partner - a conflict-adjacent relationship the brief's parent-tie rule doesn't technically capture but that outreach should weigh - combined with regional-only reach, this caps the verdict at Stretch rather than Yes.</t>
        </is>
      </c>
      <c r="P19" s="11" t="inlineStr">
        <is>
          <t>Saudi Vision 2030 growth and heavy-lift engineering-under-pressure narrative, timed to the kingdom's continued F1 hosting (Jeddah) - though the CEVA joint-venture/Ferrari overlap should be cleared with the prospect before outreach.</t>
        </is>
      </c>
      <c r="Q19" s="11" t="inlineStr">
        <is>
          <t>family-owned, no published valuation; JV partner CEVA Logistics (Almajdouie's contract-logistics joint venture, branded 'CEVA Almajdouie Logistics' / mlc.sa) is a confirmed Premium/Team Partner of Scuderia Ferrari in F1 - not a direct or parent tie to Almajdouie itself, but a real commercial-conflict/optics risk to clear before outreach; regional-only footprint (Saudi/GCC)</t>
        </is>
      </c>
      <c r="R19" s="11" t="inlineStr">
        <is>
          <t>verified-existing</t>
        </is>
      </c>
      <c r="S19" s="11" t="inlineStr">
        <is>
          <t>2026-09-28</t>
        </is>
      </c>
    </row>
    <row r="20">
      <c r="A20" s="11" t="n">
        <v>17</v>
      </c>
      <c r="B20" s="11" t="n">
        <v>58</v>
      </c>
      <c r="C20" s="11" t="inlineStr">
        <is>
          <t>Forbo Movement Systems</t>
        </is>
      </c>
      <c r="D20" s="11" t="inlineStr">
        <is>
          <t>forbo.com</t>
        </is>
      </c>
      <c r="E20" s="11" t="inlineStr">
        <is>
          <t>Switzerland</t>
        </is>
      </c>
      <c r="F20" s="11" t="inlineStr">
        <is>
          <t>Division of Forbo Holding AG (public, SIX Swiss Exchange-listed; no state ownership)</t>
        </is>
      </c>
      <c r="G20" s="11" t="inlineStr">
        <is>
          <t>Conveyor belting systems</t>
        </is>
      </c>
      <c r="H20" s="11" t="inlineStr">
        <is>
          <t>5k-10k</t>
        </is>
      </c>
      <c r="I20" s="11" t="inlineStr">
        <is>
          <t>Forbo Holding AG group revenue CHF 1,085.4M FY2025, down 3.26% YoY (alphaspread.com/tradingview.com, reported early 2026); Movement Systems division est. ≈ CHF 347.2M (~$390M) FY2025 (group total minus reported Flooring Systems segment of CHF 738.2M) (est split).</t>
        </is>
      </c>
      <c r="J20" s="11" t="inlineStr">
        <is>
          <t>Parent Forbo Holding AG market cap ≈ CHF 1.34B (~$1.5B) as of 2026 (stockanalysis.com).</t>
        </is>
      </c>
      <c r="K20" s="11" t="inlineStr">
        <is>
          <t>N/A - division of publicly listed parent.</t>
        </is>
      </c>
      <c r="L20" s="11" t="inlineStr">
        <is>
          <t>meets parameters</t>
        </is>
      </c>
      <c r="M20" s="11" t="n">
        <v>3</v>
      </c>
      <c r="N20" s="11" t="inlineStr">
        <is>
          <t>Stretch</t>
        </is>
      </c>
      <c r="O20" s="11" t="inlineStr">
        <is>
          <t>Hard filters pass (division revenue ~$390M est. clears $100M bar, parent market cap ~$1.5B clears $1B bar, no F1 conflicts, no adverse ownership) but real reservations: valuation is only ~50% above the $1B bar, group revenue slightly declined YoY, and the division-level revenue figure is an estimate rather than a directly reported number.</t>
        </is>
      </c>
      <c r="P20" s="11" t="inlineStr">
        <is>
          <t>Frame Forbo Movement Systems as the 'engineered to keep the world moving' partner - a supply-chain/manufacturing-continuity angle echoing F1 logistics precision; open category (movement/conveyor tech).</t>
        </is>
      </c>
      <c r="Q20" s="11" t="inlineStr">
        <is>
          <t>parent: Forbo Holding AG (public, no F1 ties found); group revenue declined -3.26% YoY FY2025 (mild, not distress); division-level revenue is an estimated split of the group total, not separately reported</t>
        </is>
      </c>
      <c r="R20" s="11" t="inlineStr">
        <is>
          <t>verified-existing</t>
        </is>
      </c>
      <c r="S20" s="11" t="inlineStr">
        <is>
          <t>2026-09-28</t>
        </is>
      </c>
    </row>
    <row r="21">
      <c r="A21" s="11" t="n">
        <v>18</v>
      </c>
      <c r="B21" s="11" t="n">
        <v>58</v>
      </c>
      <c r="C21" s="11" t="inlineStr">
        <is>
          <t>Linde Material Handling</t>
        </is>
      </c>
      <c r="D21" s="11" t="inlineStr">
        <is>
          <t>linde-mh.com</t>
        </is>
      </c>
      <c r="E21" s="11" t="inlineStr">
        <is>
          <t>Germany</t>
        </is>
      </c>
      <c r="F21" s="11" t="inlineStr">
        <is>
          <t>Subsidiary of KION GROUP AG (Frankfurt-listed, public). KION's largest shareholder is Weichai Power Co. (~45%), itself linked to Shandong Heavy Industry Group, a Chinese state-owned enterprise - minority state-linked ownership at the parent level.</t>
        </is>
      </c>
      <c r="G21" s="11" t="inlineStr">
        <is>
          <t>Forklifts &amp; warehouse trucks</t>
        </is>
      </c>
      <c r="H21" s="11" t="inlineStr">
        <is>
          <t>5k-10k</t>
        </is>
      </c>
      <c r="I21" s="11" t="inlineStr">
        <is>
          <t>Parent KION Group revenue €11.5B FY2025, adjusted EBIT €917M (kiongroup.com Annual Report, reported early 2026). Linde MH divisional revenue not separately broken out (est. multi-billion-euro; one of KION's two flagship truck brands alongside STILL).</t>
        </is>
      </c>
      <c r="J21" s="11" t="inlineStr">
        <is>
          <t>Parent KION Group market cap ≈€5.32B (~$5.7B) as of Sept 2026 (companiesmarketcap.com).</t>
        </is>
      </c>
      <c r="K21" s="11" t="inlineStr">
        <is>
          <t>N/A - subsidiary of publicly listed parent (part of KION Group since 2006).</t>
        </is>
      </c>
      <c r="L21" s="11" t="inlineStr">
        <is>
          <t>exceeds - mega-brand</t>
        </is>
      </c>
      <c r="M21" s="11" t="n">
        <v>3</v>
      </c>
      <c r="N21" s="11" t="inlineStr">
        <is>
          <t>Stretch</t>
        </is>
      </c>
      <c r="O21" s="11" t="inlineStr">
        <is>
          <t>Hard filters pass (parent revenue/valuation well above thresholds, no current F1 conflict identified, profitable parent), but real reservations: minority Chinese state-linked ownership in the parent (Weichai/Shandong Heavy Industry), a lapsed-but-notable past F1 equipment-supply tie to Renault Sport F1 (now Alpine, on-grid) that should be re-confirmed as fully ended before outreach, and sharing a parent (KION) with STILL GmbH also on this list.</t>
        </is>
      </c>
      <c r="P21" s="11" t="inlineStr">
        <is>
          <t>Lead with Linde's 'precision handling at speed' engineering story for paddock/logistics operations, reintroducing a forklift/logistics-equipment supplier role that has been vacant since the Renault-era relationship lapsed roughly a decade ago.</t>
        </is>
      </c>
      <c r="Q21" s="11" t="inlineStr">
        <is>
          <t>parent already in master list: KION; minority Chinese state-linked ownership via Weichai Power (~45% of parent KION); historical (not current) forklift/logistics-equipment supply relationship with the Renault Sport F1 team, ~2011-2015 (linde-mh.co.uk archive pages); no evidence found of any current F1 relationship - team itself is now BWT Alpine, already on the 2026 grid; same parent (KION) as STILL GmbH, also in this list</t>
        </is>
      </c>
      <c r="R21" s="11" t="inlineStr">
        <is>
          <t>verified-existing</t>
        </is>
      </c>
      <c r="S21" s="11" t="inlineStr">
        <is>
          <t>2026-09-28</t>
        </is>
      </c>
    </row>
    <row r="22">
      <c r="A22" s="11" t="n">
        <v>19</v>
      </c>
      <c r="B22" s="11" t="n">
        <v>58</v>
      </c>
      <c r="C22" s="11" t="inlineStr">
        <is>
          <t>STILL GmbH</t>
        </is>
      </c>
      <c r="D22" s="11" t="inlineStr">
        <is>
          <t>still.de</t>
        </is>
      </c>
      <c r="E22" s="11" t="inlineStr">
        <is>
          <t>Germany</t>
        </is>
      </c>
      <c r="F22" s="11" t="inlineStr">
        <is>
          <t>Subsidiary of KION GROUP AG (public); same Weichai Power (~45%) minority state-linked ownership at the parent level as Linde Material Handling.</t>
        </is>
      </c>
      <c r="G22" s="11" t="inlineStr">
        <is>
          <t>Forklifts &amp; warehouse trucks</t>
        </is>
      </c>
      <c r="H22" s="11" t="inlineStr">
        <is>
          <t>5k-10k</t>
        </is>
      </c>
      <c r="I22" s="11" t="inlineStr">
        <is>
          <t>Parent KION Group revenue €11.5B FY2025 (kiongroup.com). Sources conflict on STILL's own scale: one estimate (Oct 2025, unverified aggregator) cites ~2,900 employees and ~$5B revenue for STILL specifically, not corroborated by KION's own segment reporting (est, low confidence).</t>
        </is>
      </c>
      <c r="J22" s="11" t="inlineStr">
        <is>
          <t>Parent KION Group market cap ≈€5.32B (~$5.7B) as of Sept 2026 (companiesmarketcap.com).</t>
        </is>
      </c>
      <c r="K22" s="11" t="inlineStr">
        <is>
          <t>N/A - subsidiary of publicly listed parent.</t>
        </is>
      </c>
      <c r="L22" s="11" t="inlineStr">
        <is>
          <t>exceeds - mega-brand</t>
        </is>
      </c>
      <c r="M22" s="11" t="n">
        <v>3</v>
      </c>
      <c r="N22" s="11" t="inlineStr">
        <is>
          <t>Stretch</t>
        </is>
      </c>
      <c r="O22" s="11" t="inlineStr">
        <is>
          <t>Hard filters plausibly pass via parent scale and no F1 conflict found, but real reservations: minority Chinese state-linked ownership in the parent, conflicting employee-count data, no reliably sourced standalone revenue figure for STILL specifically, and portfolio duplication with Linde Material Handling (same parent) in this same list.</t>
        </is>
      </c>
      <c r="P22" s="11" t="inlineStr">
        <is>
          <t>Position STILL's smart-warehouse automation line as a 'precision logistics' angle distinct from Linde's forklift story - but pursue only one KION brand, not both, to avoid an internal conflict.</t>
        </is>
      </c>
      <c r="Q22" s="11" t="inlineStr">
        <is>
          <t>parent already in master list: KION; minority Chinese state-linked ownership via Weichai Power (~45% of parent KION); same parent (KION) as Linde Material Handling, also in this list; employee-count sources conflict materially (~2,900 per one Oct 2025 source vs. ~7,000-8,000 per input/older references)</t>
        </is>
      </c>
      <c r="R22" s="11" t="inlineStr">
        <is>
          <t>verified-existing</t>
        </is>
      </c>
      <c r="S22" s="11" t="inlineStr">
        <is>
          <t>2026-09-28</t>
        </is>
      </c>
    </row>
    <row r="23">
      <c r="A23" s="11" t="n">
        <v>20</v>
      </c>
      <c r="B23" s="11" t="n">
        <v>58</v>
      </c>
      <c r="C23" s="11" t="inlineStr">
        <is>
          <t>Bito Storage Systems</t>
        </is>
      </c>
      <c r="D23" s="11" t="inlineStr">
        <is>
          <t>bito.com</t>
        </is>
      </c>
      <c r="E23" s="11" t="inlineStr">
        <is>
          <t>Germany</t>
        </is>
      </c>
      <c r="F23" s="11" t="inlineStr">
        <is>
          <t>Family-owned (Bittmann family; BITO-Lagertechnik Bittmann GmbH)</t>
        </is>
      </c>
      <c r="G23" s="11" t="inlineStr">
        <is>
          <t>Storage &amp; AS/RS components</t>
        </is>
      </c>
      <c r="H23" s="11" t="inlineStr">
        <is>
          <t>1k-5k</t>
        </is>
      </c>
      <c r="I23" s="11" t="inlineStr">
        <is>
          <t>~$250M annual revenue (ZoomInfo-sourced estimate, cited 2026); clears the $100M hard bar. Company states 70,000+ customers internationally (bito.com).</t>
        </is>
      </c>
      <c r="J23" s="11" t="inlineStr">
        <is>
          <t>N/A - private, family-owned; no published valuation found.</t>
        </is>
      </c>
      <c r="K23" s="11" t="inlineStr">
        <is>
          <t>N/A - private, family-owned; no funding events found.</t>
        </is>
      </c>
      <c r="L23" s="11" t="inlineStr">
        <is>
          <t>meets parameters</t>
        </is>
      </c>
      <c r="M23" s="11" t="n">
        <v>3</v>
      </c>
      <c r="N23" s="11" t="inlineStr">
        <is>
          <t>Stretch</t>
        </is>
      </c>
      <c r="O23" s="11" t="inlineStr">
        <is>
          <t>Hard filters plausibly pass (revenue ~$250M est. clears the bar, family-owned so the valuation bar is waived, 70,000+ customers so no concentration risk, no F1 conflict, no adverse ownership) but the revenue figure itself is a single low-confidence third-party estimate rather than a reported/audited number.</t>
        </is>
      </c>
      <c r="P23" s="11" t="inlineStr">
        <is>
          <t>Position BITO's precision AS/RS and shelving systems as an 'engineered storage for speed of operations' story for a fast-growing, family-run German engineering brand, in a genuinely open category on the grid.</t>
        </is>
      </c>
      <c r="Q23" s="11" t="inlineStr">
        <is>
          <t>family-owned, no published valuation (est); revenue figure sourced only from ZoomInfo (low-confidence estimate); employee-count sources conflict (~890 per one profile vs. 1,300+ per input)</t>
        </is>
      </c>
      <c r="R23" s="11" t="inlineStr">
        <is>
          <t>verified-existing</t>
        </is>
      </c>
      <c r="S23" s="11" t="inlineStr">
        <is>
          <t>2026-09-28</t>
        </is>
      </c>
    </row>
    <row r="24">
      <c r="A24" s="11" t="n">
        <v>21</v>
      </c>
      <c r="B24" s="11" t="n">
        <v>58</v>
      </c>
      <c r="C24" s="11" t="inlineStr">
        <is>
          <t>Godrej Material Handling</t>
        </is>
      </c>
      <c r="D24" s="11" t="inlineStr">
        <is>
          <t>godrejmh.com</t>
        </is>
      </c>
      <c r="E24" s="11" t="inlineStr">
        <is>
          <t>India</t>
        </is>
      </c>
      <c r="F24" s="11" t="inlineStr">
        <is>
          <t>Division of Godrej &amp; Boyce Manufacturing Co. Ltd. (private, family-owned - Godrej Group); no published standalone valuation.</t>
        </is>
      </c>
      <c r="G24" s="11" t="inlineStr">
        <is>
          <t>Forklifts</t>
        </is>
      </c>
      <c r="H24" s="11" t="inlineStr">
        <is>
          <t>1k-5k</t>
        </is>
      </c>
      <c r="I24" s="11" t="inlineStr">
        <is>
          <t>Material handling business turnover ≈₹1,000 crore (~$120M est. at ~₹83/$1) as of 2025-2026, with plans to scale to ₹1,500-2,000 crore over the next two years (godrejenterprises.com newsroom, 2025/2026); clears the $100M hard bar.</t>
        </is>
      </c>
      <c r="J24" s="11" t="inlineStr">
        <is>
          <t>N/A - private, family-owned Godrej Group; no published valuation for this division or for Godrej &amp; Boyce.</t>
        </is>
      </c>
      <c r="K24" s="11" t="inlineStr">
        <is>
          <t>N/A - self-funded family conglomerate; company announced a ₹350 crore (~$42M) capex investment in a new Khalapur manufacturing plant (godrejenterprises.com, 2025/2026) as evidence of expansion capacity.</t>
        </is>
      </c>
      <c r="L24" s="11" t="inlineStr">
        <is>
          <t>meets parameters</t>
        </is>
      </c>
      <c r="M24" s="11" t="n">
        <v>3</v>
      </c>
      <c r="N24" s="11" t="inlineStr">
        <is>
          <t>Stretch</t>
        </is>
      </c>
      <c r="O24" s="11" t="inlineStr">
        <is>
          <t>Hard filters plausibly pass (revenue ~$120M est. clears the $100M bar, family-owned so the valuation bar is waived, actively expanding capacity/capex, no F1 conflict found) but real reservations: the revenue figure is an approximate trade-press estimate not far above the threshold, and employee-count sources conflict materially.</t>
        </is>
      </c>
      <c r="P24" s="11" t="inlineStr">
        <is>
          <t>Godrej Material Handling's rapid capacity expansion (new Khalapur plant, quick-commerce/e-commerce demand boom) supports a market-timing angle: 'India's largest lift-truck maker scaling for the logistics boom,' tied to F1's growing presence in Asian markets.</t>
        </is>
      </c>
      <c r="Q24" s="11" t="inlineStr">
        <is>
          <t>family-owned, no published valuation; employee-count sources conflict (one company listing shows only 68 vs. 1,500+ per input and Godrej &amp; Boyce's broader scale); revenue figure (₹1,000cr) is an approximate/rounded figure from a single trade-press source and is FX-sensitive</t>
        </is>
      </c>
      <c r="R24" s="11" t="inlineStr">
        <is>
          <t>verified-existing</t>
        </is>
      </c>
      <c r="S24" s="11" t="inlineStr">
        <is>
          <t>2026-09-28</t>
        </is>
      </c>
    </row>
    <row r="25">
      <c r="A25" s="11" t="n">
        <v>22</v>
      </c>
      <c r="B25" s="11" t="n">
        <v>58</v>
      </c>
      <c r="C25" s="11" t="inlineStr">
        <is>
          <t>Constructor Group</t>
        </is>
      </c>
      <c r="D25" s="11" t="inlineStr">
        <is>
          <t>constructor.com</t>
        </is>
      </c>
      <c r="E25" s="11" t="inlineStr">
        <is>
          <t>Norway</t>
        </is>
      </c>
      <c r="F25" s="11" t="inlineStr">
        <is>
          <t>Private; wholly-owned subsidiary of Gonvarri Corporación Financiera (Spain, part of the Riberas family's Gestamp/Acek industrial group) since Oct 2017; no F1 ties found for parent (Gonvarri/Gestamp)</t>
        </is>
      </c>
      <c r="G25" s="11" t="inlineStr">
        <is>
          <t>Storage &amp; shelving systems</t>
        </is>
      </c>
      <c r="H25" s="11" t="inlineStr">
        <is>
          <t>201-1k</t>
        </is>
      </c>
      <c r="I25" s="11" t="inlineStr">
        <is>
          <t>Disclosed ~€221M in 2014 (Mergr/Wikipedia); no current published figure located despite search — dated data</t>
        </is>
      </c>
      <c r="J25" s="11" t="inlineStr">
        <is>
          <t>No independently published valuation; privately held subsidiary of Gonvarri group</t>
        </is>
      </c>
      <c r="K25" s="11" t="inlineStr">
        <is>
          <t>N/A — acquired by Gonvarri Corporación Financiera, Oct 2017, price undisclosed</t>
        </is>
      </c>
      <c r="L25" s="11" t="inlineStr">
        <is>
          <t>meets parameters</t>
        </is>
      </c>
      <c r="M25" s="11" t="n">
        <v>3</v>
      </c>
      <c r="N25" s="11" t="inlineStr">
        <is>
          <t>Stretch</t>
        </is>
      </c>
      <c r="O25" s="11" t="inlineStr">
        <is>
          <t>No F1 conflict and no disqualifying ownership (parent Gonvarri is a large private industrial group with no F1 ties). Real reservation: the only revenue figure found is from 2014 with nothing more recent published, and no valuation exists for this privately-held subsidiary — genuine data-currency uncertainty caps this at Stretch rather than Yes.</t>
        </is>
      </c>
      <c r="P25" s="11" t="inlineStr">
        <is>
          <t>Precision-engineered storage infrastructure supporting global logistics/e-commerce growth; open category (storage/shelving) on the grid; lean on Gonvarri group's broader industrial-engineering pedigree.</t>
        </is>
      </c>
      <c r="Q25" s="11" t="inlineStr">
        <is>
          <t>parent: Gonvarri Corporación Financiera; revenue figure is dated (2014, ~€221M); no current financials published</t>
        </is>
      </c>
      <c r="R25" s="11" t="inlineStr">
        <is>
          <t>verified-existing</t>
        </is>
      </c>
      <c r="S25" s="11" t="inlineStr">
        <is>
          <t>2026-09-28</t>
        </is>
      </c>
    </row>
    <row r="26">
      <c r="A26" s="11" t="n">
        <v>23</v>
      </c>
      <c r="B26" s="11" t="n">
        <v>58</v>
      </c>
      <c r="C26" s="11" t="inlineStr">
        <is>
          <t>Snorkel</t>
        </is>
      </c>
      <c r="D26" s="11" t="inlineStr">
        <is>
          <t>snorkellifts.com</t>
        </is>
      </c>
      <c r="E26" s="11" t="inlineStr">
        <is>
          <t>USA/UK</t>
        </is>
      </c>
      <c r="F26" s="11" t="inlineStr">
        <is>
          <t>Private (Custom Equipment LLC); 80% stake acquired by Stratford-Cambridge Group (Plymouth, MI-based holding/PE firm) on 2-Nov-2017 — PE-owned ~9 years</t>
        </is>
      </c>
      <c r="G26" s="11" t="inlineStr">
        <is>
          <t>Aerial work platforms</t>
        </is>
      </c>
      <c r="H26" s="11" t="inlineStr">
        <is>
          <t>201-1k</t>
        </is>
      </c>
      <c r="I26" s="11" t="inlineStr">
        <is>
          <t>No independently confirmed figure found after search; desk-triage estimate of $150-300M (est) could not be verified</t>
        </is>
      </c>
      <c r="J26" s="11" t="inlineStr">
        <is>
          <t>No published valuation (privately held, PE-owned)</t>
        </is>
      </c>
      <c r="K26" s="11" t="inlineStr">
        <is>
          <t>N/A — PE buyout (80% stake) by Stratford-Cambridge Group, 2-Nov-2017; no subsequent raise identified</t>
        </is>
      </c>
      <c r="L26" s="11" t="inlineStr">
        <is>
          <t>meets parameters</t>
        </is>
      </c>
      <c r="M26" s="11" t="n">
        <v>3</v>
      </c>
      <c r="N26" s="11" t="inlineStr">
        <is>
          <t>Stretch</t>
        </is>
      </c>
      <c r="O26" s="11" t="inlineStr">
        <is>
          <t>No F1 conflict and no ownership disqualifier, but revenue could not be independently confirmed (est. $150-300M only, unverified) and the company has been PE-owned for 9 years — both real reservations; no evidence of recent growth capital or a clearly documented profitability trend to confirm spend capacity.</t>
        </is>
      </c>
      <c r="P26" s="11" t="inlineStr">
        <is>
          <t>Aerial-platform engineering/reliability story for global rental fleets; would need a distinct positioning angle from other AWP makers being evaluated in the same sector batch.</t>
        </is>
      </c>
      <c r="Q26" s="11" t="inlineStr">
        <is>
          <t>PE-owned ~9 years (Stratford-Cambridge Group, since Nov 2017); revenue figure unconfirmed/estimated only</t>
        </is>
      </c>
      <c r="R26" s="11" t="inlineStr">
        <is>
          <t>verified-existing</t>
        </is>
      </c>
      <c r="S26" s="11" t="inlineStr">
        <is>
          <t>2026-09-28</t>
        </is>
      </c>
    </row>
    <row r="27">
      <c r="A27" s="11" t="n">
        <v>24</v>
      </c>
      <c r="B27" s="11" t="n">
        <v>58</v>
      </c>
      <c r="C27" s="11" t="inlineStr">
        <is>
          <t>Stertil-Koni</t>
        </is>
      </c>
      <c r="D27" s="11" t="inlineStr">
        <is>
          <t>stertil-koni.com</t>
        </is>
      </c>
      <c r="E27" s="11" t="inlineStr">
        <is>
          <t>Netherlands/USA</t>
        </is>
      </c>
      <c r="F27" s="11" t="inlineStr">
        <is>
          <t>Private; part of Citadel Enterprises (Dutch industrial holding company, Hilversum), owned since 1-Jan-2007 — corrects input triage's 'family-owned' assumption; no F1 ties found for parent</t>
        </is>
      </c>
      <c r="G27" s="11" t="inlineStr">
        <is>
          <t>Vehicle lifts &amp; dock equipment</t>
        </is>
      </c>
      <c r="H27" s="11" t="inlineStr">
        <is>
          <t>201-1k</t>
        </is>
      </c>
      <c r="I27" s="11" t="inlineStr">
        <is>
          <t>No published figure found; desk-triage estimate of $60-150M (est) is genuinely borderline against the $100M bar given only ~500 total employees (230 at HQ) in a niche category</t>
        </is>
      </c>
      <c r="J27" s="11" t="inlineStr">
        <is>
          <t>No published valuation (privately held by Citadel Enterprises since 2007)</t>
        </is>
      </c>
      <c r="K27" s="11" t="inlineStr">
        <is>
          <t>N/A — long-term strategic holding-company ownership since 2007, not VC-backed</t>
        </is>
      </c>
      <c r="L27" s="11" t="inlineStr">
        <is>
          <t>meets parameters</t>
        </is>
      </c>
      <c r="M27" s="11" t="n">
        <v>3</v>
      </c>
      <c r="N27" s="11" t="inlineStr">
        <is>
          <t>Stretch</t>
        </is>
      </c>
      <c r="O27" s="11" t="inlineStr">
        <is>
          <t>No F1 conflict and no disqualifying ownership, but revenue could not be confirmed via search and is genuinely borderline against the $100M bar given the company's small scale (~500 employees) in a narrow product category — a real reservation rather than a confirmed hard-bar failure.</t>
        </is>
      </c>
      <c r="P27" s="11" t="inlineStr">
        <is>
          <t>Heavy-duty engineering/safety-critical reliability story for commercial-vehicle service networks; open category (vehicle lifts/dock equipment) on the grid.</t>
        </is>
      </c>
      <c r="Q27" s="11" t="inlineStr">
        <is>
          <t>revenue unconfirmed and genuinely borderline against the $100M bar; no published valuation; long-term private industrial-holding ownership (Citadel Enterprises since 2007) with no disclosed financials</t>
        </is>
      </c>
      <c r="R27" s="11" t="inlineStr">
        <is>
          <t>verified-existing</t>
        </is>
      </c>
      <c r="S27" s="11" t="inlineStr">
        <is>
          <t>2026-09-28</t>
        </is>
      </c>
    </row>
  </sheetData>
  <autoFilter ref="A3:S2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S17"/>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Consumer Electronics &amp; Audio — existing New-Sectors book, now verified — 14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"15 Consumer Electronics &amp; Audio".</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0" t="n">
        <v>1</v>
      </c>
      <c r="B4" s="10" t="n">
        <v>92</v>
      </c>
      <c r="C4" s="10" t="inlineStr">
        <is>
          <t>Anker Nebula</t>
        </is>
      </c>
      <c r="D4" s="10" t="inlineStr">
        <is>
          <t>nebula.anker.com</t>
        </is>
      </c>
      <c r="E4" s="10" t="inlineStr">
        <is>
          <t>China</t>
        </is>
      </c>
      <c r="F4" s="10" t="inlineStr">
        <is>
          <t>Product sub-brand of Anker Innovations Technology Co., Ltd. (public, Shenzhen Stock Exchange: 300866); not an independent legal entity</t>
        </is>
      </c>
      <c r="G4" s="10" t="inlineStr">
        <is>
          <t>Portable projectors</t>
        </is>
      </c>
      <c r="H4" s="10" t="inlineStr">
        <is>
          <t>5k-10k (est, Anker Innovations group ~5,000+ employees per input company data; not independently confirmed for the Nebula line specifically)</t>
        </is>
      </c>
      <c r="I4" s="10" t="inlineStr">
        <is>
          <t>Anker Innovations group revenue $4.6B+ (most recent FY) / RMB 30.51B (2025, +23.5% YoY) (stockanalysis.com, accessed Sept 2026) — group figure vastly clears the &gt;$100M bar; Nebula-specific revenue not separately disclosed</t>
        </is>
      </c>
      <c r="J4" s="10" t="inlineStr">
        <is>
          <t>Anker Innovations market cap ~CNY 74.5B (~$10.3B USD), Sept 2, 2026 (stockanalysis.com) — group figure vastly clears the &gt;$1B bar</t>
        </is>
      </c>
      <c r="K4" s="10" t="inlineStr">
        <is>
          <t>N/A — publicly listed group, no recent private raise</t>
        </is>
      </c>
      <c r="L4" s="10" t="inlineStr">
        <is>
          <t>exceeds - mega-brand</t>
        </is>
      </c>
      <c r="M4" s="10" t="n">
        <v>4</v>
      </c>
      <c r="N4" s="10" t="inlineStr">
        <is>
          <t>Yes</t>
        </is>
      </c>
      <c r="O4" s="10" t="inlineStr">
        <is>
          <t>All hard filters pass via parent Anker Innovations: group revenue and market cap both vastly exceed the $100M/$1B bars; profitable and growing 23%+ YoY (capacity to spend clearly present); hundreds of millions of customers globally (no concentration risk); no F1 conflicts found for Anker or Nebula; no ownership/compliance issues. Fit score 4.</t>
        </is>
      </c>
      <c r="P4" s="10" t="inlineStr">
        <is>
          <t>Portable projector / home-entertainment tech as an untapped, high-margin consumer category on the grid, framed around 'take the big screen anywhere' global-ambition storytelling.</t>
        </is>
      </c>
      <c r="Q4" s="10" t="inlineStr">
        <is>
          <t>sub-brand of Anker Innovations (public); not an independently financialized legal entity — any deal would contract through the parent</t>
        </is>
      </c>
      <c r="R4" s="10" t="inlineStr">
        <is>
          <t>verified-existing</t>
        </is>
      </c>
      <c r="S4" s="10" t="inlineStr">
        <is>
          <t>2026-09-28</t>
        </is>
      </c>
    </row>
    <row r="5">
      <c r="A5" s="10" t="n">
        <v>2</v>
      </c>
      <c r="B5" s="10" t="n">
        <v>92</v>
      </c>
      <c r="C5" s="10" t="inlineStr">
        <is>
          <t>Ugreen Group</t>
        </is>
      </c>
      <c r="D5" s="10" t="inlineStr">
        <is>
          <t>ugreen.com</t>
        </is>
      </c>
      <c r="E5" s="10" t="inlineStr">
        <is>
          <t>China</t>
        </is>
      </c>
      <c r="F5" s="10" t="inlineStr">
        <is>
          <t>Public — Shenzhen Stock Exchange (301606.SZ), IPO'd July 26, 2024; founder-led</t>
        </is>
      </c>
      <c r="G5" s="10" t="inlineStr">
        <is>
          <t>Charging cables, chargers &amp; mobile accessories</t>
        </is>
      </c>
      <c r="H5" s="10" t="inlineStr">
        <is>
          <t>1k-5k (3,000 employees per input company data)</t>
        </is>
      </c>
      <c r="I5" s="10" t="inlineStr">
        <is>
          <t>RMB 6.166B (~$850M USD), FY2024 (Pandaily / company filings, accessed Sept 2026); Q1-Q3 2025 revenue already surpassed full-year 2024 — clears the &gt;$100M bar by a wide margin</t>
        </is>
      </c>
      <c r="J5" s="10" t="inlineStr">
        <is>
          <t>Market cap ~$3.4-4.0B USD (RMB 22.7-28.8B), as of Sept 23, 2026 (stockanalysis.com/investing.com) — up 235%+ since its 2024 IPO; clears the &gt;$1B bar comfortably</t>
        </is>
      </c>
      <c r="K5" s="10" t="inlineStr">
        <is>
          <t>IPO on Shenzhen Stock Exchange, July 26, 2024; also filed for a Hong Kong secondary listing (2026, per HKEX filing)</t>
        </is>
      </c>
      <c r="L5" s="10" t="inlineStr">
        <is>
          <t>exceeds - mega-brand</t>
        </is>
      </c>
      <c r="M5" s="10" t="n">
        <v>4</v>
      </c>
      <c r="N5" s="10" t="inlineStr">
        <is>
          <t>Yes</t>
        </is>
      </c>
      <c r="O5" s="10" t="inlineStr">
        <is>
          <t>All hard filters pass: revenue (~$850M FY2024, still growing) and market cap (~$3.4-4.0B) both comfortably clear their bars; public, profitable, and expanding (capacity to spend clearly present, including a fresh IPO for growth capital); broad, diversified consumer customer base; no F1 conflicts found; no ownership/compliance issues. Fit score 4.</t>
        </is>
      </c>
      <c r="P5" s="10" t="inlineStr">
        <is>
          <t>Fast-growing, newly-public Chinese charging-tech brand telling a 'powering global ambition' story in an open charging/accessories category with no current F1 sponsor.</t>
        </is>
      </c>
      <c r="Q5" s="10" t="inlineStr">
        <is>
          <t>recently IPO'd (July 2024); pursuing a dual Hong Kong listing as of 2026 — high growth but relatively new as a public entity</t>
        </is>
      </c>
      <c r="R5" s="10" t="inlineStr">
        <is>
          <t>verified-existing</t>
        </is>
      </c>
      <c r="S5" s="10" t="inlineStr">
        <is>
          <t>2026-09-28</t>
        </is>
      </c>
    </row>
    <row r="6">
      <c r="A6" s="10" t="n">
        <v>3</v>
      </c>
      <c r="B6" s="10" t="n">
        <v>92</v>
      </c>
      <c r="C6" s="10" t="inlineStr">
        <is>
          <t>Yamaha Corporation</t>
        </is>
      </c>
      <c r="D6" s="10" t="inlineStr">
        <is>
          <t>yamaha.com</t>
        </is>
      </c>
      <c r="E6" s="10" t="inlineStr">
        <is>
          <t>Hamamatsu, Shizuoka, Japan</t>
        </is>
      </c>
      <c r="F6" s="10" t="inlineStr">
        <is>
          <t>Public (Tokyo Stock Exchange: 7951, Japan) — note this is the legally and financially distinct entity from Yamaha Motor Co. (TSE: 7272), confirming triage's distinction</t>
        </is>
      </c>
      <c r="G6" s="10" t="inlineStr">
        <is>
          <t>Musical instruments, professional and home audio/AV equipment</t>
        </is>
      </c>
      <c r="H6" s="10" t="inlineStr">
        <is>
          <t>10k+</t>
        </is>
      </c>
      <c r="I6" s="10" t="inlineStr">
        <is>
          <t>¥462.08B (~$3.1B est) for FY ended Mar 31, 2025 (stockanalysis.com/TSE:7951)</t>
        </is>
      </c>
      <c r="J6" s="10" t="inlineStr">
        <is>
          <t>Market cap ¥541.95B (~$3.6B est) as of Sept 11, 2026, up ~18% YoY (companiesmarketcap.com) — clears the $1B bar</t>
        </is>
      </c>
      <c r="K6" s="10" t="inlineStr">
        <is>
          <t>N/A — long-established public company (TSE listing), no recent raise/M&amp;A event</t>
        </is>
      </c>
      <c r="L6" s="10" t="inlineStr">
        <is>
          <t>meets parameters</t>
        </is>
      </c>
      <c r="M6" s="10" t="n">
        <v>4</v>
      </c>
      <c r="N6" s="10" t="inlineStr">
        <is>
          <t>Yes</t>
        </is>
      </c>
      <c r="O6" s="10" t="inlineStr">
        <is>
          <t>All hard filters clear: revenue ~$3.1B, market cap ~$3.6B (&gt;$1B), public non-state ownership, no current F1 tie for Yamaha Corporation (Yamaha Motor's historic F1 engine program ended in 1997 and is a separate legal entity), broad global consumer/pro audience, and a strong fit score of 4.</t>
        </is>
      </c>
      <c r="P6" s="10" t="inlineStr">
        <is>
          <t>Open audio/instruments category; lean into precision-engineering and sound-technology storytelling (in-car audio, driver-radio/broadcast audio tech) to differentiate from any residual Yamaha Motor motorsport association (est).</t>
        </is>
      </c>
      <c r="Q6" s="10" t="inlineStr">
        <is>
          <t>distinct corporate entity from Yamaha Motor Co., which supplied F1 engines 1989-1997 (Zakspeed, Brabham, Tyrrell, Arrows) — long defunct and legally separate, but worth pre-empting any fan confusion in outreach messaging</t>
        </is>
      </c>
      <c r="R6" s="10" t="inlineStr">
        <is>
          <t>verified-existing</t>
        </is>
      </c>
      <c r="S6" s="10" t="inlineStr">
        <is>
          <t>2026-09-28</t>
        </is>
      </c>
    </row>
    <row r="7">
      <c r="A7" s="10" t="n">
        <v>4</v>
      </c>
      <c r="B7" s="10" t="n">
        <v>92</v>
      </c>
      <c r="C7" s="10" t="inlineStr">
        <is>
          <t>SwitchBot (Vensi)</t>
        </is>
      </c>
      <c r="D7" s="10" t="inlineStr">
        <is>
          <t>switch-bot.com</t>
        </is>
      </c>
      <c r="E7" s="10" t="inlineStr">
        <is>
          <t>China/Japan (public entity OneRobotics (Shenzhen) Co., Ltd., HKEX-listed; brand SwitchBot)</t>
        </is>
      </c>
      <c r="F7" s="10" t="inlineStr">
        <is>
          <t>Public (Hong Kong Stock Exchange, IPO Dec 30, 2025)</t>
        </is>
      </c>
      <c r="G7" s="10" t="inlineStr">
        <is>
          <t>Smart home automation</t>
        </is>
      </c>
      <c r="H7" s="10" t="inlineStr">
        <is>
          <t>201-1k</t>
        </is>
      </c>
      <c r="I7" s="10" t="inlineStr">
        <is>
          <t>RMB 900M (~$130M USD) FY2025, +47.7% YoY (Caixin/Benzinga, reported ~April 2026) — passes &gt;$100M hard bar</t>
        </is>
      </c>
      <c r="J7" s="10" t="inlineStr">
        <is>
          <t>Market cap ~HK$16.4B (~$2.1B USD) at IPO close, Dec 30, 2025 (Caixin) — passes &gt;$1B hard bar</t>
        </is>
      </c>
      <c r="K7" s="10" t="inlineStr">
        <is>
          <t>IPO on HKEX, Dec 30, 2025, raising ~$210.7M (HK$1.64B)</t>
        </is>
      </c>
      <c r="L7" s="10" t="inlineStr">
        <is>
          <t>meets parameters</t>
        </is>
      </c>
      <c r="M7" s="10" t="n">
        <v>4</v>
      </c>
      <c r="N7" s="10" t="inlineStr">
        <is>
          <t>Yes</t>
        </is>
      </c>
      <c r="O7" s="10" t="inlineStr">
        <is>
          <t>All hard filters pass: revenue ~$130M FY2025 (+47.7% YoY) clears the $100M bar; market cap ~$2.1B post-IPO clears the $1B bar; no F1 ties found; ownership clean (newly HK-listed, no state/sanctions issue); fit score 4.</t>
        </is>
      </c>
      <c r="P7" s="10" t="inlineStr">
        <is>
          <t>Newly public (Dec 2025 HKEX IPO), high-growth smart-home robotics brand with Japan as its largest market — 'connected home technology' is an open category on the 2026 grid, timed to a post-IPO global brand-building push.</t>
        </is>
      </c>
      <c r="Q7" s="10" t="inlineStr">
        <is>
          <t>not yet profitable despite 47.7% revenue growth (Benzinga, Apr 2026); public entity is OneRobotics (Shenzhen) Co., Ltd.; input's 'Vensi' parenthetical could not be corroborated</t>
        </is>
      </c>
      <c r="R7" s="10" t="inlineStr">
        <is>
          <t>verified-existing</t>
        </is>
      </c>
      <c r="S7" s="10" t="inlineStr">
        <is>
          <t>2026-09-28</t>
        </is>
      </c>
    </row>
    <row r="8">
      <c r="A8" s="10" t="n">
        <v>5</v>
      </c>
      <c r="B8" s="10" t="n">
        <v>92</v>
      </c>
      <c r="C8" s="10" t="inlineStr">
        <is>
          <t>Alpine Electronics (Alps Alpine)</t>
        </is>
      </c>
      <c r="D8" s="10" t="inlineStr">
        <is>
          <t>alpine.com</t>
        </is>
      </c>
      <c r="E8" s="10" t="inlineStr">
        <is>
          <t>Japan</t>
        </is>
      </c>
      <c r="F8" s="10" t="inlineStr">
        <is>
          <t>Public (Tokyo Stock Exchange: 6770, Alps Alpine Co., Ltd.)</t>
        </is>
      </c>
      <c r="G8" s="10" t="inlineStr">
        <is>
          <t>Car audio &amp; electronics</t>
        </is>
      </c>
      <c r="H8" s="10" t="inlineStr">
        <is>
          <t>5k-10k</t>
        </is>
      </c>
      <c r="I8" s="10" t="inlineStr">
        <is>
          <t>TTM revenue $6.57B as of March 31, 2026 (Macrotrends/StockAnalysis) — clears $100M hard bar by a wide margin</t>
        </is>
      </c>
      <c r="J8" s="10" t="inlineStr">
        <is>
          <t>Market cap ~$2.53-2.56B (June-July 2026, StockAnalysis/CompaniesMarketCap) — clears $1B hard bar</t>
        </is>
      </c>
      <c r="K8" s="10" t="inlineStr">
        <is>
          <t>N/A (public company)</t>
        </is>
      </c>
      <c r="L8" s="10" t="inlineStr">
        <is>
          <t>exceeds - mega-brand</t>
        </is>
      </c>
      <c r="M8" s="10" t="n">
        <v>4</v>
      </c>
      <c r="N8" s="10" t="inlineStr">
        <is>
          <t>Yes</t>
        </is>
      </c>
      <c r="O8" s="10" t="inlineStr">
        <is>
          <t>All hard filters pass: TTM revenue $6.57B far exceeds the $100M bar; market cap ~$2.5B clears the $1B bar; no F1 sponsorship ties found (name similarity to the Alpine F1 team confirmed unrelated); public ownership clean; fit score 4.</t>
        </is>
      </c>
      <c r="P8" s="10" t="inlineStr">
        <is>
          <t>Precision automotive-electronics heritage — position as an 'in-car technology/audio' category sponsor (currently unclaimed on the grid) with global OEM reach; marketing must clearly differentiate the brand from the coincidental 'Alpine' F1 team name.</t>
        </is>
      </c>
      <c r="Q8" s="10" t="inlineStr">
        <is>
          <t>name coincidence with Renault's Alpine F1 team (part of BWT Alpine / future Audi programs) — confirmed unrelated entity, per input and search; possible OEM customer concentration in automotive-audio segment, mitigated by large diversified group revenue</t>
        </is>
      </c>
      <c r="R8" s="10" t="inlineStr">
        <is>
          <t>verified-existing</t>
        </is>
      </c>
      <c r="S8" s="10" t="inlineStr">
        <is>
          <t>2026-09-28</t>
        </is>
      </c>
    </row>
    <row r="9">
      <c r="A9" s="10" t="n">
        <v>6</v>
      </c>
      <c r="B9" s="10" t="n">
        <v>84</v>
      </c>
      <c r="C9" s="10" t="inlineStr">
        <is>
          <t>OPPO (BBK Electronics)</t>
        </is>
      </c>
      <c r="D9" s="10" t="inlineStr">
        <is>
          <t>oppo.com</t>
        </is>
      </c>
      <c r="E9" s="10" t="inlineStr">
        <is>
          <t>Dongguan, Guangdong, China</t>
        </is>
      </c>
      <c r="F9" s="10" t="inlineStr">
        <is>
          <t>Privately held; ownership shifted from BBK Electronics (2004-2023) to Guangdong Oujia Holdings Co., Ltd. (2023-present) — corrects triage's 'BBK Electronics group' framing to current-day accuracy. Not state-owned; no confirmed US Entity List / sanctions listing found (distinct from Huawei/ZTE restrictions)</t>
        </is>
      </c>
      <c r="G9" s="10" t="inlineStr">
        <is>
          <t>Smartphones (incl. Find X premium/foldable line) and consumer electronics</t>
        </is>
      </c>
      <c r="H9" s="10" t="inlineStr">
        <is>
          <t>10k+</t>
        </is>
      </c>
      <c r="I9" s="10" t="inlineStr">
        <is>
          <t>~$35B (2024, Electroiq/Statista analysis, Sept 2025 pub date), down ~3.3% YoY — well above the $100M bar</t>
        </is>
      </c>
      <c r="J9" s="10" t="inlineStr">
        <is>
          <t>No current independent OPPO valuation published (private); BBK Electronics group was last estimated at ~$77B in 2020 (dated, pre-2023 restructuring) — treated like the 'no published valuation' exemption given clear &gt;$100M revenue and no state ownership</t>
        </is>
      </c>
      <c r="K9" s="10" t="inlineStr">
        <is>
          <t>N/A — privately held, no external funding round on record</t>
        </is>
      </c>
      <c r="L9" s="10" t="inlineStr">
        <is>
          <t>exceeds - mega-brand</t>
        </is>
      </c>
      <c r="M9" s="10" t="n">
        <v>3</v>
      </c>
      <c r="N9" s="10" t="inlineStr">
        <is>
          <t>Yes</t>
        </is>
      </c>
      <c r="O9" s="10" t="inlineStr">
        <is>
          <t>Revenue (~$35B) and scale clear all hard bars by a wide margin; no F1 conflict found; ownership is private and non-state with no sanctions flag; fit score of 3 with an open smartphone/tech category.</t>
        </is>
      </c>
      <c r="P9" s="10" t="inlineStr">
        <is>
          <t>Smartphone/consumer-tech category is open on the current grid; position around camera/imaging precision technology and global fan-market expansion (Asia, Middle East, LatAm) where OPPO already has scale (est).</t>
        </is>
      </c>
      <c r="Q9" s="10" t="inlineStr">
        <is>
          <t>corrects ownership from triage's 'BBK Electronics group' to current parent Guangdong Oujia Holdings (2023-present); revenue declined ~3.3% YoY in 2024 — modest softening, not distress; historically weak/absent in US market due to patent disputes — limits 'US market' claim for fit criterion 1</t>
        </is>
      </c>
      <c r="R9" s="10" t="inlineStr">
        <is>
          <t>verified-existing</t>
        </is>
      </c>
      <c r="S9" s="10" t="inlineStr">
        <is>
          <t>2026-09-28</t>
        </is>
      </c>
    </row>
    <row r="10">
      <c r="A10" s="11" t="n">
        <v>7</v>
      </c>
      <c r="B10" s="11" t="n">
        <v>64</v>
      </c>
      <c r="C10" s="11" t="inlineStr">
        <is>
          <t>1MORE</t>
        </is>
      </c>
      <c r="D10" s="11" t="inlineStr">
        <is>
          <t>1more.com</t>
        </is>
      </c>
      <c r="E10" s="11" t="inlineStr">
        <is>
          <t>China</t>
        </is>
      </c>
      <c r="F10" s="11" t="inlineStr">
        <is>
          <t>VC-backed (China) — investors include CICC, Hongtai Fund (Shenzhen), JIC Capital Management, SDIC Unity Capital, Bank of Ningbo</t>
        </is>
      </c>
      <c r="G10" s="11" t="inlineStr">
        <is>
          <t>Headphones &amp; earbuds (global, incl. Jay Chou-branded line and a Ferrari co-brand licensing product line)</t>
        </is>
      </c>
      <c r="H10" s="11" t="inlineStr">
        <is>
          <t>201-1k (500 est, per input)</t>
        </is>
      </c>
      <c r="I10" s="11" t="inlineStr">
        <is>
          <t>Last confirmed actual figure: RMB ~931.7M (~$135M est at contemporary FX) in 2018, per a since-withdrawn reverse-merger filing; no confirmed audited figure since, but the company continues to operate at global scale (100M+ cumulative unit sales) — current revenue plausibly &gt;$100M but unconfirmed (est)</t>
        </is>
      </c>
      <c r="J10" s="11" t="inlineStr">
        <is>
          <t>Last disclosed figure: ~RMB 3.3B+ (~$460-480M est) in a 2020 proposed reverse-merger with Gongda Electroacoustic (002655.SZ) — deal was ultimately rejected by CSRC/withdrawn; below the $1B threshold; no more recent valuation found</t>
        </is>
      </c>
      <c r="K10" s="11" t="inlineStr">
        <is>
          <t>No confirmed raise since the ~2019-2020 reverse-merger/IPO attempt, which failed; recency of any capital raise is unconfirmed</t>
        </is>
      </c>
      <c r="L10" s="11" t="inlineStr">
        <is>
          <t>meets parameters</t>
        </is>
      </c>
      <c r="M10" s="11" t="n">
        <v>4</v>
      </c>
      <c r="N10" s="11" t="inlineStr">
        <is>
          <t>Stretch</t>
        </is>
      </c>
      <c r="O10" s="11" t="inlineStr">
        <is>
          <t>Revenue likely clears $100M based on the 2018 actual (~$135M est) and continued global scale, but no confirmed current figure exists; last known valuation (~$460-480M, 2020) is below $1B; funding recency and profitability are unconfirmed (last major capital-markets activity was the failed 2019-2020 reverse merger) — genuine reservations across multiple figures warrant Stretch rather than Yes.</t>
        </is>
      </c>
      <c r="P10" s="11" t="inlineStr">
        <is>
          <t>Premium audio-engineering precision + celebrity (Jay Chou) brand-building playbook translates well to F1 grid exposure; open audio category, global e-commerce reach across 3+ markets.</t>
        </is>
      </c>
      <c r="Q10" s="11" t="inlineStr">
        <is>
          <t>failed reverse-merger/IPO attempt (~2020); no confirmed capital raise within 18 months; Ferrari-branded product line is a co-brand licensing deal, not F1 team sponsorship — no filter-6 conflict (per input, confirmed by search)</t>
        </is>
      </c>
      <c r="R10" s="11" t="inlineStr">
        <is>
          <t>verified-existing</t>
        </is>
      </c>
      <c r="S10" s="11" t="inlineStr">
        <is>
          <t>2026-09-28</t>
        </is>
      </c>
    </row>
    <row r="11">
      <c r="A11" s="11" t="n">
        <v>8</v>
      </c>
      <c r="B11" s="11" t="n">
        <v>64</v>
      </c>
      <c r="C11" s="11" t="inlineStr">
        <is>
          <t>Ricoh Imaging (Pentax)</t>
        </is>
      </c>
      <c r="D11" s="11" t="inlineStr">
        <is>
          <t>ricoh-imaging.com</t>
        </is>
      </c>
      <c r="E11" s="11" t="inlineStr">
        <is>
          <t>Japan</t>
        </is>
      </c>
      <c r="F11" s="11" t="inlineStr">
        <is>
          <t>Wholly-owned subsidiary of Ricoh Company Ltd (public, Tokyo Stock Exchange)</t>
        </is>
      </c>
      <c r="G11" s="11" t="inlineStr">
        <is>
          <t>Cameras (Pentax DSLRs, Ricoh GR compacts)</t>
        </is>
      </c>
      <c r="H11" s="11" t="inlineStr">
        <is>
          <t>201-1k</t>
        </is>
      </c>
      <c r="I11" s="11" t="inlineStr">
        <is>
          <t>Imaging/'Other' segment: ~¥61.6 billion (~$410M est) FY2025, up from ¥56.2 billion FY2024 (PentaxForums/PetaPixel, Aug 2024/2026 reporting). Parent Ricoh Company Ltd: $17.3B trailing-12-month revenue through March 2026 (+3.18% YoY, macrotrends/stockanalysis).</t>
        </is>
      </c>
      <c r="J11" s="11" t="inlineStr">
        <is>
          <t>Parent Ricoh Company Ltd market cap: $5.33B as of July 14, 2026 (macroaxis/stockanalysis).</t>
        </is>
      </c>
      <c r="K11" s="11" t="inlineStr">
        <is>
          <t>N/A — wholly-owned division of a long-established public parent</t>
        </is>
      </c>
      <c r="L11" s="11" t="inlineStr">
        <is>
          <t>meets parameters</t>
        </is>
      </c>
      <c r="M11" s="11" t="n">
        <v>4</v>
      </c>
      <c r="N11" s="11" t="inlineStr">
        <is>
          <t>Stretch</t>
        </is>
      </c>
      <c r="O11" s="11" t="inlineStr">
        <is>
          <t>Hard filters pass via parent Ricoh Company Ltd (public, no F1 sponsorship ties found; $17.3B TTM revenue through Mar 2026; $5.33B market cap as of Jul 2026; profitable with modest growth); the imaging/Pentax segment itself also grew ¥56.2B -&gt; ¥61.6B FY24-&gt;FY25 (PentaxForums/PetaPixel). Real reservation: Ricoh Imaging/Pentax is a small niche camera unit (roughly 2% of parent revenue) inside a huge B2B office-equipment conglomerate with thin overall margins and no history of sports sponsorship, and the wider camera category faces structural industry decline — real doubt that a $3.5M/yr F1 commitment would be funded specifically for the imaging unit.</t>
        </is>
      </c>
      <c r="P11" s="11" t="inlineStr">
        <is>
          <t>Camera/optics precision-engineering angle (GR-series cult following among enthusiasts) tied to performance and precision imagery; photography/imaging is an open sponsorship category on the grid.</t>
        </is>
      </c>
      <c r="Q11" s="11" t="inlineStr">
        <is>
          <t>parent: Ricoh Company Ltd, which already appears elsewhere in the candidate book; camera market is in industry-wide structural decline (per triage); Ricoh Company Ltd operates on a thin net margin (~1.81%, per recent financials)</t>
        </is>
      </c>
      <c r="R11" s="11" t="inlineStr">
        <is>
          <t>verified-existing</t>
        </is>
      </c>
      <c r="S11" s="11" t="inlineStr">
        <is>
          <t>2026-09-28</t>
        </is>
      </c>
    </row>
    <row r="12">
      <c r="A12" s="11" t="n">
        <v>9</v>
      </c>
      <c r="B12" s="11" t="n">
        <v>58</v>
      </c>
      <c r="C12" s="11" t="inlineStr">
        <is>
          <t>Anker Soundcore</t>
        </is>
      </c>
      <c r="D12" s="11" t="inlineStr">
        <is>
          <t>soundcore.com</t>
        </is>
      </c>
      <c r="E12" s="11" t="inlineStr">
        <is>
          <t>China</t>
        </is>
      </c>
      <c r="F12" s="11" t="inlineStr">
        <is>
          <t>Product sub-brand of Anker Innovations Technology Co., Ltd. (public, Shenzhen Stock Exchange: 300866); not an independent legal entity</t>
        </is>
      </c>
      <c r="G12" s="11" t="inlineStr">
        <is>
          <t>Audio (headphones, speakers)</t>
        </is>
      </c>
      <c r="H12" s="11" t="inlineStr">
        <is>
          <t>5k-10k (est, Anker Innovations group ~5,000+ employees per input company data; not independently confirmed for the Soundcore line specifically)</t>
        </is>
      </c>
      <c r="I12" s="11" t="inlineStr">
        <is>
          <t>Anker Innovations group revenue $4.6B+ (most recent FY) / RMB 30.51B (2025, +23.5% YoY) (stockanalysis.com, accessed Sept 2026) — group figure vastly clears the &gt;$100M bar; Soundcore-specific revenue not separately disclosed</t>
        </is>
      </c>
      <c r="J12" s="11" t="inlineStr">
        <is>
          <t>Anker Innovations market cap ~CNY 74.5B (~$10.3B USD), Sept 2, 2026 (stockanalysis.com) — group figure vastly clears the &gt;$1B bar</t>
        </is>
      </c>
      <c r="K12" s="11" t="inlineStr">
        <is>
          <t>N/A — publicly listed group, no recent private raise</t>
        </is>
      </c>
      <c r="L12" s="11" t="inlineStr">
        <is>
          <t>exceeds - mega-brand</t>
        </is>
      </c>
      <c r="M12" s="11" t="n">
        <v>3</v>
      </c>
      <c r="N12" s="11" t="inlineStr">
        <is>
          <t>Stretch</t>
        </is>
      </c>
      <c r="O12" s="11" t="inlineStr">
        <is>
          <t>Hard filters pass via parent Anker Innovations (revenue/valuation vastly exceed bars; no direct F1 conflict for Anker/Soundcore itself; no ownership/compliance issues). Capped at Stretch due to a real reservation: the audio-sponsorship category is already occupied on the grid by Bowers &amp; Wilkins/McLaren, weakening the open-category angle (fit criterion 4 fails), and Soundcore is not an independently contractable entity.</t>
        </is>
      </c>
      <c r="P12" s="11" t="inlineStr">
        <is>
          <t>Lead with a non-audio angle (e.g., co-branded charging/travel gear) or target a team without an existing audio partner, since McLaren's audio slot is taken by Bowers &amp; Wilkins.</t>
        </is>
      </c>
      <c r="Q12" s="11" t="inlineStr">
        <is>
          <t>sub-brand of Anker Innovations (public); not an independent legal entity — any deal would contract through the parent; audio category already sponsored on the grid: Bowers &amp; Wilkins is McLaren F1's official audio partner (since 2025, confirmed active)</t>
        </is>
      </c>
      <c r="R12" s="11" t="inlineStr">
        <is>
          <t>verified-existing</t>
        </is>
      </c>
      <c r="S12" s="11" t="inlineStr">
        <is>
          <t>2026-09-28</t>
        </is>
      </c>
    </row>
    <row r="13">
      <c r="A13" s="11" t="n">
        <v>10</v>
      </c>
      <c r="B13" s="11" t="n">
        <v>58</v>
      </c>
      <c r="C13" s="11" t="inlineStr">
        <is>
          <t>Keychron</t>
        </is>
      </c>
      <c r="D13" s="11" t="inlineStr">
        <is>
          <t>keychron.com</t>
        </is>
      </c>
      <c r="E13" s="11" t="inlineStr">
        <is>
          <t>Hong Kong/China (HQ per Tracxn); sells into China/USA and worldwide</t>
        </is>
      </c>
      <c r="F13" s="11" t="inlineStr">
        <is>
          <t>Private, apparently bootstrapped — no funding rounds found (Crunchbase/Tracxn/PitchBook, accessed Sept 2026)</t>
        </is>
      </c>
      <c r="G13" s="11" t="inlineStr">
        <is>
          <t>Mechanical keyboards (DTC + Amazon + retail)</t>
        </is>
      </c>
      <c r="H13" s="11" t="inlineStr">
        <is>
          <t>51-200</t>
        </is>
      </c>
      <c r="I13" s="11" t="inlineStr">
        <is>
          <t>Online-store revenue estimates conflict for 2025: $123.6M (+20-50% YoY, ecdb.com) vs $76M (+10-15% YoY, Similarweb) — both DTC-channel-only figures accessed Sept 2026; total company revenue (incl. Amazon/retail) is likely higher but unconfirmed.</t>
        </is>
      </c>
      <c r="J13" s="11" t="inlineStr">
        <is>
          <t>No published valuation found; no external funding rounds identified (Crunchbase/Tracxn/PitchBook, Sept 2026) — consistent with a bootstrapped/private structure.</t>
        </is>
      </c>
      <c r="K13" s="11" t="inlineStr">
        <is>
          <t>None found — appears self-funded/bootstrapped</t>
        </is>
      </c>
      <c r="L13" s="11" t="inlineStr">
        <is>
          <t>meets parameters</t>
        </is>
      </c>
      <c r="M13" s="11" t="n">
        <v>3</v>
      </c>
      <c r="N13" s="11" t="inlineStr">
        <is>
          <t>Stretch</t>
        </is>
      </c>
      <c r="O13" s="11" t="inlineStr">
        <is>
          <t>No F1 conflict, no ownership/compliance issues, and being bootstrapped with no published valuation is treated like family-owned (passes on revenue alone) since the business appears profitable and growing. But the revenue figure itself is a real reservation: two independent trackers put 2025 DTC revenue at $76M and $123.6M respectively — one below, one above the $100M hard bar — so the revenue bar cannot be confirmed with confidence.</t>
        </is>
      </c>
      <c r="P13" s="11" t="inlineStr">
        <is>
          <t>Precision-engineering/enthusiast-tech angle (mechanical-switch craftsmanship) aimed at F1's gaming/tech-enthusiast fanbase; peripherals is an open sponsorship category.</t>
        </is>
      </c>
      <c r="Q13" s="11" t="inlineStr">
        <is>
          <t>revenue estimate uncertainty: $76M-$123.6M range depending on source, straddling the $100M bar; no published valuation (bootstrapped/private) — treated like family-owned, pass on revenue alone, but capped by the uncertain figure</t>
        </is>
      </c>
      <c r="R13" s="11" t="inlineStr">
        <is>
          <t>verified-existing</t>
        </is>
      </c>
      <c r="S13" s="11" t="inlineStr">
        <is>
          <t>2026-09-28</t>
        </is>
      </c>
    </row>
    <row r="14">
      <c r="A14" s="11" t="n">
        <v>11</v>
      </c>
      <c r="B14" s="11" t="n">
        <v>58</v>
      </c>
      <c r="C14" s="11" t="inlineStr">
        <is>
          <t>Pioneer Corporation</t>
        </is>
      </c>
      <c r="D14" s="11" t="inlineStr">
        <is>
          <t>pioneerdj.com</t>
        </is>
      </c>
      <c r="E14" s="11" t="inlineStr">
        <is>
          <t>Japan</t>
        </is>
      </c>
      <c r="F14" s="11" t="inlineStr">
        <is>
          <t>Subsidiary of CarUX Group / Innolux Corporation (Taiwan, public), acquired Dec 1, 2025; formerly owned by Baring Private Equity Asia (2019-2025)</t>
        </is>
      </c>
      <c r="G14" s="11" t="inlineStr">
        <is>
          <t>Car &amp; DJ audio</t>
        </is>
      </c>
      <c r="H14" s="11" t="inlineStr">
        <is>
          <t>1k-5k</t>
        </is>
      </c>
      <c r="I14" s="11" t="inlineStr">
        <is>
          <t>~¥240 billion (~$1.6B) FY2024, with double-digit EBITDA margins and positive free cash flow (electroiq.com, Sept 2026 compilation).</t>
        </is>
      </c>
      <c r="J14" s="11" t="inlineStr">
        <is>
          <t>Acquired by CarUX Group (Innolux subsidiary) for USD $1.1B (¥163.6B), deal completed Dec 1, 2025 (electroiq.com / deal reporting, accessed Sept 2026).</t>
        </is>
      </c>
      <c r="K14" s="11" t="inlineStr">
        <is>
          <t>N/A — strategic acquisition (CarUX/Innolux), not a funding round, completed Dec 1, 2025</t>
        </is>
      </c>
      <c r="L14" s="11" t="inlineStr">
        <is>
          <t>meets parameters</t>
        </is>
      </c>
      <c r="M14" s="11" t="n">
        <v>3</v>
      </c>
      <c r="N14" s="11" t="inlineStr">
        <is>
          <t>Stretch</t>
        </is>
      </c>
      <c r="O14" s="11" t="inlineStr">
        <is>
          <t>Hard filters pass: revenue ~$1.6B (FY2024) clears the $100M bar; the Dec 2025 CarUX/Innolux acquisition price of $1.1B clears the $1B valuation bar; double-digit EBITDA margins and positive free cash flow indicate real capacity to spend; no current F1 sponsorship found (a historical Pioneer-Ferrari tie from the 1990s is not present in 2024-25 Ferrari partner lists). Real reservation: ownership changed hands twice in six years, most recently four months ago (Dec 2025), leaving near-term marketing-spend priorities under the new Taiwanese parent uncertain.</t>
        </is>
      </c>
      <c r="P14" s="11" t="inlineStr">
        <is>
          <t>Car-audio/DJ precision-engineering angle tied to performance and sound technology; car/DJ audio is an open sponsorship category, and Pioneer's global brand recognition supports a multi-market rollout.</t>
        </is>
      </c>
      <c r="Q14" s="11" t="inlineStr">
        <is>
          <t>PE-owned 2019-2025 (6 years, now sold); ownership changed hands twice in 6 years (Baring PE 2019 -&gt; CarUX/Innolux Dec 2025)</t>
        </is>
      </c>
      <c r="R14" s="11" t="inlineStr">
        <is>
          <t>verified-existing</t>
        </is>
      </c>
      <c r="S14" s="11" t="inlineStr">
        <is>
          <t>2026-09-28</t>
        </is>
      </c>
    </row>
    <row r="15">
      <c r="A15" s="11" t="n">
        <v>12</v>
      </c>
      <c r="B15" s="11" t="n">
        <v>58</v>
      </c>
      <c r="C15" s="11" t="inlineStr">
        <is>
          <t>Polk Audio</t>
        </is>
      </c>
      <c r="D15" s="11" t="inlineStr">
        <is>
          <t>polkaudio.com</t>
        </is>
      </c>
      <c r="E15" s="11" t="inlineStr">
        <is>
          <t>USA</t>
        </is>
      </c>
      <c r="F15" s="11" t="inlineStr">
        <is>
          <t>Legacy VOXX International brand; VOXX International was acquired by Gentex Corporation (NASDAQ: GNTX), delisted from Nasdaq May 30, 2025</t>
        </is>
      </c>
      <c r="G15" s="11" t="inlineStr">
        <is>
          <t>Home &amp; car audio</t>
        </is>
      </c>
      <c r="H15" s="11" t="inlineStr">
        <is>
          <t>201-1k</t>
        </is>
      </c>
      <c r="I15" s="11" t="inlineStr">
        <is>
          <t>VOXX International (pre-acquisition) reported declining Q3 2025 revenue of $105.175M (down from $135.26M YoY) and a net loss of -$43.97M (Nasdaq/TipRanks, accessed Sept 2026). Parent Gentex Corporation: $2.53B revenue FY2025, +10% YoY (Gentex Q4 2025 results, investing.com/IR release).</t>
        </is>
      </c>
      <c r="J15" s="11" t="inlineStr">
        <is>
          <t>VOXX standalone market cap was only ~$0.16B pre-delisting (Nov 2025) and unprofitable. Parent Gentex Corporation market cap: $4.76B as of Sept 28, 2026 (stockanalysis.com/companiesmarketcap).</t>
        </is>
      </c>
      <c r="K15" s="11" t="inlineStr">
        <is>
          <t>N/A — VOXX was acquired outright by Gentex Corporation, deal closed/delisted May 30, 2025</t>
        </is>
      </c>
      <c r="L15" s="11" t="inlineStr">
        <is>
          <t>meets parameters</t>
        </is>
      </c>
      <c r="M15" s="11" t="n">
        <v>3</v>
      </c>
      <c r="N15" s="11" t="inlineStr">
        <is>
          <t>Stretch</t>
        </is>
      </c>
      <c r="O15" s="11" t="inlineStr">
        <is>
          <t>VOXX/Polk fails hard bars standalone (market cap ~$0.16B pre-delisting, unprofitable -$43.97M Q3 2025), but VOXX is now a wholly-owned subsidiary of Gentex Corporation (public, profitable, $2.53B revenue +10% YoY, $4.76B market cap as of Sept 28 2026), which is merely a large group with no F1 ties — so per the subsidiary rule it passes hard bars through the parent. Real reservation: Polk is a legacy niche audio brand absorbed only four months ago into a much larger auto-mirror/electronics conglomerate with no consumer-audio sponsorship history, so budget autonomy for an F1 commitment specifically for Polk is uncertain.</t>
        </is>
      </c>
      <c r="P15" s="11" t="inlineStr">
        <is>
          <t>Home/car audio precision-sound angle leveraging Gentex's automotive-technology credibility as the new parent; audio remains an open sponsorship category on the grid.</t>
        </is>
      </c>
      <c r="Q15" s="11" t="inlineStr">
        <is>
          <t>parent: Gentex Corporation (acquired VOXX International, closed May 30, 2025); VOXX standalone was unprofitable with sub-$1B market cap immediately pre-acquisition</t>
        </is>
      </c>
      <c r="R15" s="11" t="inlineStr">
        <is>
          <t>verified-existing</t>
        </is>
      </c>
      <c r="S15" s="11" t="inlineStr">
        <is>
          <t>2026-09-28</t>
        </is>
      </c>
    </row>
    <row r="16">
      <c r="A16" s="11" t="n">
        <v>13</v>
      </c>
      <c r="B16" s="11" t="n">
        <v>52</v>
      </c>
      <c r="C16" s="11" t="inlineStr">
        <is>
          <t>Transsion Holdings (Tecno/Infinix/itel)</t>
        </is>
      </c>
      <c r="D16" s="11" t="inlineStr">
        <is>
          <t>transsion.com</t>
        </is>
      </c>
      <c r="E16" s="11" t="inlineStr">
        <is>
          <t>China/Hong Kong</t>
        </is>
      </c>
      <c r="F16" s="11" t="inlineStr">
        <is>
          <t>Public — Shanghai Stock Exchange STAR Market (688036.SS), listed since September 2019; founder-led, no state ownership found</t>
        </is>
      </c>
      <c r="G16" s="11" t="inlineStr">
        <is>
          <t>Smartphones &amp; mobile devices (Tecno, Infinix, itel) — primarily Africa, South Asia, emerging markets</t>
        </is>
      </c>
      <c r="H16" s="11" t="inlineStr">
        <is>
          <t>10k+ (per input company data)</t>
        </is>
      </c>
      <c r="I16" s="11" t="inlineStr">
        <is>
          <t>RMB 65.62B (~$9.1B USD), FY2025, down 4.5% YoY (stockanalysis.com, accessed Sept 2026) — clears the &gt;$100M bar by a very wide margin</t>
        </is>
      </c>
      <c r="J16" s="11" t="inlineStr">
        <is>
          <t>Market cap ~RMB 66.48B (~$9.3B USD), as of May 1, 2026 (stockanalysis.com) — clears the &gt;$1B bar by a very wide margin</t>
        </is>
      </c>
      <c r="K16" s="11" t="inlineStr">
        <is>
          <t>N/A — publicly listed since 2019 IPO</t>
        </is>
      </c>
      <c r="L16" s="11" t="inlineStr">
        <is>
          <t>exceeds - mega-brand</t>
        </is>
      </c>
      <c r="M16" s="11" t="n">
        <v>2</v>
      </c>
      <c r="N16" s="11" t="inlineStr">
        <is>
          <t>Stretch</t>
        </is>
      </c>
      <c r="O16" s="11" t="inlineStr">
        <is>
          <t>All hard filters pass (revenue ~$9.1B and market cap ~$9.3B vastly exceed bars; massive diversified customer base; no direct F1 conflicts for Transsion or its brands; no ownership/compliance issues). Capped at Stretch because fit score is exactly 2 with weak angles: its core buyer base (value/budget smartphone buyers in emerging markets) does not match the 'affluent 25-54' criterion, and the smartphone category already has a legacy F1 tie via OnePlus-McLaren.</t>
        </is>
      </c>
      <c r="P16" s="11" t="inlineStr">
        <is>
          <t>Position around 'bringing performance technology to the next billion users' — global-growth-market story distinct from premium smartphone rivals, if a team without an existing phone-brand tie is targeted.</t>
        </is>
      </c>
      <c r="Q16" s="11" t="inlineStr">
        <is>
          <t>core customer base is value/budget-tier buyers in emerging markets — not an affluent segment; smartphone category has a legacy F1 sponsorship tie (OnePlus-McLaren partnership, dating to 2018) — competitive crowding in-category, though not a Transsion-specific conflict</t>
        </is>
      </c>
      <c r="R16" s="11" t="inlineStr">
        <is>
          <t>verified-existing</t>
        </is>
      </c>
      <c r="S16" s="11" t="inlineStr">
        <is>
          <t>2026-09-28</t>
        </is>
      </c>
    </row>
    <row r="17">
      <c r="A17" s="11" t="n">
        <v>14</v>
      </c>
      <c r="B17" s="11" t="n">
        <v>52</v>
      </c>
      <c r="C17" s="11" t="inlineStr">
        <is>
          <t>JLab Audio</t>
        </is>
      </c>
      <c r="D17" s="11" t="inlineStr">
        <is>
          <t>jlab.com</t>
        </is>
      </c>
      <c r="E17" s="11" t="inlineStr">
        <is>
          <t>Carlsbad (San Diego), CA, USA (est)</t>
        </is>
      </c>
      <c r="F17" s="11" t="inlineStr">
        <is>
          <t>Wholly-owned subsidiary of Noritsu Koki Co., Ltd. (public, Tokyo Stock Exchange: 7744, Japan) since Apr 2021 — corrects triage's 'founder-owned' claim; JLab was previously PE-owned (Eagle/Petra/PEAG) before the Noritsu sale</t>
        </is>
      </c>
      <c r="G17" s="11" t="inlineStr">
        <is>
          <t>Affordable/performance wireless earbuds, headphones and speakers (#1 in US under-$100 and sports wireless earbuds categories, 2025 est.)</t>
        </is>
      </c>
      <c r="H17" s="11" t="inlineStr">
        <is>
          <t>51-200</t>
        </is>
      </c>
      <c r="I17" s="11" t="inlineStr">
        <is>
          <t>~$180M (est) — last disclosed figure is FY2020 sales of ¥19.9B (GlobeNewswire/MarketScreener, Apr 2021, reported in connection with Noritsu Koki acquisition); no independent JLab-only figure since. Parent-level: Noritsu Koki group JLab segment took a ¥5.9B goodwill impairment in FY2022 as growth slowed (company IR)</t>
        </is>
      </c>
      <c r="J17" s="11" t="inlineStr">
        <is>
          <t>N/A (subsidiary) — 2021 acquisition price was ¥26.3B/~$370M (GlobeNewswire, Apr 2021, Intrepid IB); below the $1B bar, but now folded into public parent Noritsu Koki (TSE: 7744) with no standalone valuation</t>
        </is>
      </c>
      <c r="K17" s="11" t="inlineStr">
        <is>
          <t>Acquired by Noritsu Koki Co., Ltd., Apr 2021 (~$370M / ¥26.3B); no raise since</t>
        </is>
      </c>
      <c r="L17" s="11" t="inlineStr">
        <is>
          <t>meets parameters</t>
        </is>
      </c>
      <c r="M17" s="11" t="n">
        <v>2</v>
      </c>
      <c r="N17" s="11" t="inlineStr">
        <is>
          <t>Stretch</t>
        </is>
      </c>
      <c r="O17" s="11" t="inlineStr">
        <is>
          <t>No hard filter clearly fails, but the only revenue figure available is 6 years old and the segment has since shown a goodwill impairment/slowdown at the parent (Noritsu Koki), and ownership is actually a public Japanese parent, not founder-owned as triaged. Fit lands at 2 with a weak buyer-affluence match given the brand's budget positioning.</t>
        </is>
      </c>
      <c r="P17" s="11" t="inlineStr">
        <is>
          <t>Open category on the grid (no earbuds/personal-audio brand currently sponsors an F1 team); pair JLab's 'performance audio for athletes' positioning with driver-training/sim-racing or paddock lifestyle content rather than a premium play (est).</t>
        </is>
      </c>
      <c r="Q17" s="11" t="inlineStr">
        <is>
          <t>parent: Noritsu Koki (public, Japan) — corrects triage's founder-owned claim; revenue figure is dated (FY2020, ~6 years old) with no confirmed current figure; JLab segment took a ¥5.9B goodwill impairment in FY2022 amid slowing growth — some capacity-to-spend uncertainty at the brand level even though parent group is healthy; budget/affordable brand positioning is a soft mismatch against F1's premium-audience skew</t>
        </is>
      </c>
      <c r="R17" s="11" t="inlineStr">
        <is>
          <t>verified-existing</t>
        </is>
      </c>
      <c r="S17" s="11" t="inlineStr">
        <is>
          <t>2026-09-28</t>
        </is>
      </c>
    </row>
  </sheetData>
  <autoFilter ref="A3:S1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S27"/>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Specialty Chemicals &amp; Coatin — existing New-Sectors book, now verified — 24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"16 Specialty Chemicals &amp; Coatin".</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0" t="n">
        <v>1</v>
      </c>
      <c r="B4" s="10" t="n">
        <v>92</v>
      </c>
      <c r="C4" s="10" t="inlineStr">
        <is>
          <t>Bostik (Arkema)</t>
        </is>
      </c>
      <c r="D4" s="10" t="inlineStr">
        <is>
          <t>bostik.com</t>
        </is>
      </c>
      <c r="E4" s="10" t="inlineStr">
        <is>
          <t>Colombes, France</t>
        </is>
      </c>
      <c r="F4" s="10" t="inlineStr">
        <is>
          <t>Subsidiary of Arkema S.A. (public, Euronext Paris: AKE, France) — not state-owned</t>
        </is>
      </c>
      <c r="G4" s="10" t="inlineStr">
        <is>
          <t>Adhesives and sealants for construction, consumer/DIY, and industrial (batteries, transportation, packaging, hygiene) markets</t>
        </is>
      </c>
      <c r="H4" s="10" t="inlineStr">
        <is>
          <t>5k-10k</t>
        </is>
      </c>
      <c r="I4" s="10" t="inlineStr">
        <is>
          <t>€2.74B in 2025 (~30% of Arkema group sales; Adhesives &amp; Sealants Industry 'ASI Top 20', 2025 pub) — well above the $100M bar</t>
        </is>
      </c>
      <c r="J4" s="10" t="inlineStr">
        <is>
          <t>N/A (subsidiary) — parent Arkema (Euronext: AKE) targeted FY2025 EBITDA of €1.25-1.3B (Euronext company release, Feb 2026); parent market cap in the low single-digit € billions, above the $1B bar</t>
        </is>
      </c>
      <c r="K4" s="10" t="inlineStr">
        <is>
          <t>N/A — bolt-on acquisition by Arkema (2015), no recent standalone financing event</t>
        </is>
      </c>
      <c r="L4" s="10" t="inlineStr">
        <is>
          <t>meets parameters</t>
        </is>
      </c>
      <c r="M4" s="10" t="n">
        <v>4</v>
      </c>
      <c r="N4" s="10" t="inlineStr">
        <is>
          <t>Yes</t>
        </is>
      </c>
      <c r="O4" s="10" t="inlineStr">
        <is>
          <t>Revenue (€2.74B) and parent scale/profitability clear the hard bars; no F1 conflict found for Bostik or Arkema; ownership is a healthy public French group, not state-controlled; fit score of 4.</t>
        </is>
      </c>
      <c r="P4" s="10" t="inlineStr">
        <is>
          <t>Open adhesives/bonding category; angle on EV-battery and lightweighting adhesive technology tying into F1's hybrid-power and sustainability narrative (est).</t>
        </is>
      </c>
      <c r="Q4" s="10" t="inlineStr">
        <is>
          <t>parent already in master: Arkema — check master tracker for duplicate coverage of the same corporate family; parent Arkema reported a 2025 dividend payout ratio of ~697% (dividend paid well above earnings) amid 'weak demand' in Europe/US (Euronext/Simply Wall St, 2025-2026) — a soft margin-pressure signal worth monitoring, though EBITDA remains ~€1.25B+ and 2026 guidance targets modest EBITDA growth</t>
        </is>
      </c>
      <c r="R4" s="10" t="inlineStr">
        <is>
          <t>verified-existing</t>
        </is>
      </c>
      <c r="S4" s="10" t="inlineStr">
        <is>
          <t>2026-09-28</t>
        </is>
      </c>
    </row>
    <row r="5">
      <c r="A5" s="10" t="n">
        <v>2</v>
      </c>
      <c r="B5" s="10" t="n">
        <v>92</v>
      </c>
      <c r="C5" s="10" t="inlineStr">
        <is>
          <t>tesa SE</t>
        </is>
      </c>
      <c r="D5" s="10" t="inlineStr">
        <is>
          <t>tesa.com</t>
        </is>
      </c>
      <c r="E5" s="10" t="inlineStr">
        <is>
          <t>Norderstedt, Germany</t>
        </is>
      </c>
      <c r="F5" s="10" t="inlineStr">
        <is>
          <t>Subsidiary of Beiersdorf AG (public, Frankfurt/DAX, Germany) — not state-owned</t>
        </is>
      </c>
      <c r="G5" s="10" t="inlineStr">
        <is>
          <t>Adhesive tapes and self-adhesive solutions for industry, craft, electronics, automotive, and consumer/DIY markets</t>
        </is>
      </c>
      <c r="H5" s="10" t="inlineStr">
        <is>
          <t>5k-10k</t>
        </is>
      </c>
      <c r="I5" s="10" t="inlineStr">
        <is>
          <t>€1.7B in 2025, +1.8% organic growth despite automotive-sector headwinds and tariff/currency pressure (tesa.com facts &amp; figures, 2026) — well above the $100M bar</t>
        </is>
      </c>
      <c r="J5" s="10" t="inlineStr">
        <is>
          <t>N/A (subsidiary) — parent Beiersdorf AG (public, Germany) reported 'solid' H1 2025 and full-year 2025 growth in a slowing market (Beiersdorf press releases, Aug 2025/Mar 2026); parent market cap is multi-billion-euro, above the $1B bar</t>
        </is>
      </c>
      <c r="K5" s="10" t="inlineStr">
        <is>
          <t>N/A — long-standing Beiersdorf subsidiary, no recent financing event</t>
        </is>
      </c>
      <c r="L5" s="10" t="inlineStr">
        <is>
          <t>meets parameters</t>
        </is>
      </c>
      <c r="M5" s="10" t="n">
        <v>4</v>
      </c>
      <c r="N5" s="10" t="inlineStr">
        <is>
          <t>Yes</t>
        </is>
      </c>
      <c r="O5" s="10" t="inlineStr">
        <is>
          <t>Revenue (€1.7B) and healthy growth clear the hard bars; ownership is a stable public German parent; no F1 conflict — tesa tape's existing organic, unpaid use in the F1 paddock is a genuine asset rather than a liability; fit score of 4 with an open category.</t>
        </is>
      </c>
      <c r="P5" s="10" t="inlineStr">
        <is>
          <t>Convert tesa's already-authentic, organic trackside presence (mechanics using tesa tape on-camera) into a formal 'Official Bonding &amp; Tape Solutions Partner' deal — a genuinely open category with a credible, pre-existing product-truth story (est).</t>
        </is>
      </c>
      <c r="Q5" s="10" t="inlineStr">
        <is>
          <t>parent already in master: Beiersdorf — check master tracker for duplicate coverage of the same corporate family; automotive segment (one of tesa's larger lines) was flat YoY in 2025 amid sector-wide headwinds — growth was carried by Electronics and Printing &amp; Packaging</t>
        </is>
      </c>
      <c r="R5" s="10" t="inlineStr">
        <is>
          <t>verified-existing</t>
        </is>
      </c>
      <c r="S5" s="10" t="inlineStr">
        <is>
          <t>2026-09-28</t>
        </is>
      </c>
    </row>
    <row r="6">
      <c r="A6" s="10" t="n">
        <v>3</v>
      </c>
      <c r="B6" s="10" t="n">
        <v>92</v>
      </c>
      <c r="C6" s="10" t="inlineStr">
        <is>
          <t>Chugoku Marine Paints</t>
        </is>
      </c>
      <c r="D6" s="10" t="inlineStr">
        <is>
          <t>cmp.co.jp</t>
        </is>
      </c>
      <c r="E6" s="10" t="inlineStr">
        <is>
          <t>Japan</t>
        </is>
      </c>
      <c r="F6" s="10" t="inlineStr">
        <is>
          <t>Public (Japan, TSE:4617); no state/sovereign ties found</t>
        </is>
      </c>
      <c r="G6" s="10" t="inlineStr">
        <is>
          <t>Marine coatings (vessel, yacht, marine container, protective/structural coatings)</t>
        </is>
      </c>
      <c r="H6" s="10" t="inlineStr">
        <is>
          <t>1k-5k (~3,300-3,700 employees, est per desk triage)</t>
        </is>
      </c>
      <c r="I6" s="10" t="inlineStr">
        <is>
          <t>¥139.4B net sales, FY ended Mar 2026 (+6.3% YoY) (~$930M est) - source: MarketScreener/company IR, 2026</t>
        </is>
      </c>
      <c r="J6" s="10" t="inlineStr">
        <is>
          <t>Market cap ~¥183.6B (~$1.22B est) as of Sep 2026 - source: stockanalysis.com (TSE:4617)</t>
        </is>
      </c>
      <c r="K6" s="10" t="inlineStr">
        <is>
          <t>N/A (public company, no funding round)</t>
        </is>
      </c>
      <c r="L6" s="10" t="inlineStr">
        <is>
          <t>meets parameters</t>
        </is>
      </c>
      <c r="M6" s="10" t="n">
        <v>4</v>
      </c>
      <c r="N6" s="10" t="inlineStr">
        <is>
          <t>Yes</t>
        </is>
      </c>
      <c r="O6" s="10" t="inlineStr">
        <is>
          <t>All hard filters pass: revenue ~$930M (est, FYE Mar 2026) and market cap ~$1.22B both clear bars; no F1 conflicts found (direct or via parent); public Japanese ownership, no state ties; headcount 3,300-3,700 (1k-5k band); no distress signals (revenue +6.3% YoY, FY27 guided +14.8%); fit_score 4.</t>
        </is>
      </c>
      <c r="P6" s="10" t="inlineStr">
        <is>
          <t>Position CMP's protective/marine coatings technology (durability under extreme marine conditions) as an open 'performance coatings' category no F1 team currently holds, timed to F1's and shipping industry's shared sustainability/technology narrative.</t>
        </is>
      </c>
      <c r="Q6" s="10" t="n"/>
      <c r="R6" s="10" t="inlineStr">
        <is>
          <t>verified-existing</t>
        </is>
      </c>
      <c r="S6" s="10" t="inlineStr">
        <is>
          <t>2026-09-28</t>
        </is>
      </c>
    </row>
    <row r="7">
      <c r="A7" s="10" t="n">
        <v>4</v>
      </c>
      <c r="B7" s="10" t="n">
        <v>92</v>
      </c>
      <c r="C7" s="10" t="inlineStr">
        <is>
          <t>Elementis plc</t>
        </is>
      </c>
      <c r="D7" s="10" t="inlineStr">
        <is>
          <t>elementis.com</t>
        </is>
      </c>
      <c r="E7" s="10" t="inlineStr">
        <is>
          <t>United Kingdom</t>
        </is>
      </c>
      <c r="F7" s="10" t="inlineStr">
        <is>
          <t>Public (LSE: ELM); no state ties</t>
        </is>
      </c>
      <c r="G7" s="10" t="inlineStr">
        <is>
          <t>Specialty additives for personal care and coatings</t>
        </is>
      </c>
      <c r="H7" s="10" t="inlineStr">
        <is>
          <t>1k-5k (~1,200-1,400 employees, est per desk triage)</t>
        </is>
      </c>
      <c r="I7" s="10" t="inlineStr">
        <is>
          <t>$597.5M FY2025 (year ended Dec 31, 2025); adjusted operating profit $126.7M (+4.6% YoY, 21.2% margin) - source: Elementis FY2025 preliminary results / Investing.com, reported Mar 2026</t>
        </is>
      </c>
      <c r="J7" s="10" t="inlineStr">
        <is>
          <t>Market cap ~£1.0B-£1.06B (~$1.3B-$1.4B est) as of Aug 2026 - source: stockanalysis.com/TipRanks</t>
        </is>
      </c>
      <c r="K7" s="10" t="inlineStr">
        <is>
          <t>N/A (public company); completed $53.8M share buyback in 2025, full-year dividend raised 7.5%</t>
        </is>
      </c>
      <c r="L7" s="10" t="inlineStr">
        <is>
          <t>meets parameters</t>
        </is>
      </c>
      <c r="M7" s="10" t="n">
        <v>4</v>
      </c>
      <c r="N7" s="10" t="inlineStr">
        <is>
          <t>Yes</t>
        </is>
      </c>
      <c r="O7" s="10" t="inlineStr">
        <is>
          <t>All hard filters pass: revenue $597.5M and market cap ~£1.0B-£1.06B (~$1.3B-$1.4B) both clear bars; no F1 conflicts found; public UK ownership, no state ties; adjusted profit growing (21.2% margin, dividend +7.5%, buyback completed) despite a one-off statutory loss from the Talc divestiture; fit_score 4.</t>
        </is>
      </c>
      <c r="P7" s="10" t="inlineStr">
        <is>
          <t>Elementis's specialty-additive science (precision formulation driving performance in personal care &amp; coatings) supports an open 'materials science' angle; the recent portfolio simplification (Talc exit) signals a company sharpening its brand story - good timing for a fresh sponsorship narrative.</t>
        </is>
      </c>
      <c r="Q7" s="10" t="inlineStr">
        <is>
          <t>FY2025 statutory net loss of $45.5M driven by a one-off $110.5M loss on the Talc business divestiture (adjusted profit still grew 4.6%; read as portfolio simplification, not distress)</t>
        </is>
      </c>
      <c r="R7" s="10" t="inlineStr">
        <is>
          <t>verified-existing</t>
        </is>
      </c>
      <c r="S7" s="10" t="inlineStr">
        <is>
          <t>2026-09-28</t>
        </is>
      </c>
    </row>
    <row r="8">
      <c r="A8" s="10" t="n">
        <v>5</v>
      </c>
      <c r="B8" s="10" t="n">
        <v>92</v>
      </c>
      <c r="C8" s="10" t="inlineStr">
        <is>
          <t>NOF Corporation</t>
        </is>
      </c>
      <c r="D8" s="10" t="inlineStr">
        <is>
          <t>nof.co.jp</t>
        </is>
      </c>
      <c r="E8" s="10" t="inlineStr">
        <is>
          <t>Japan</t>
        </is>
      </c>
      <c r="F8" s="10" t="inlineStr">
        <is>
          <t>Public (Japan, TSE:4403); no state ties</t>
        </is>
      </c>
      <c r="G8" s="10" t="inlineStr">
        <is>
          <t>Specialty chemicals, oleo chemicals, and advanced materials (incl. life sciences and polymer materials)</t>
        </is>
      </c>
      <c r="H8" s="10" t="inlineStr">
        <is>
          <t>1k-5k (~3,800-4,200 employees, est per desk triage)</t>
        </is>
      </c>
      <c r="I8" s="10" t="inlineStr">
        <is>
          <t>TTM revenue ~$1.51B-$1.71B (varies by measurement date, Oct 2025-May 2026) - source: stockanalysis.com/companiesmarketcap.com</t>
        </is>
      </c>
      <c r="J8" s="10" t="inlineStr">
        <is>
          <t>Market cap ¥648.55B (~$4.3B est) as of Nov 2025 - source: stockanalysis.com (TSE:4403)</t>
        </is>
      </c>
      <c r="K8" s="10" t="inlineStr">
        <is>
          <t>N/A (public company, no funding round)</t>
        </is>
      </c>
      <c r="L8" s="10" t="inlineStr">
        <is>
          <t>meets parameters</t>
        </is>
      </c>
      <c r="M8" s="10" t="n">
        <v>4</v>
      </c>
      <c r="N8" s="10" t="inlineStr">
        <is>
          <t>Yes</t>
        </is>
      </c>
      <c r="O8" s="10" t="inlineStr">
        <is>
          <t>All hard filters pass: TTM revenue ~$1.5B-$1.7B and market cap ~$4.3B both clear bars comfortably; no F1 conflicts found; public Japanese ownership, no state ties; revenue trending up between measurement dates; fit_score 4.</t>
        </is>
      </c>
      <c r="P8" s="10" t="inlineStr">
        <is>
          <t>NOF's diversified advanced-materials and life-sciences portfolio (battery/polymer materials, functional chemicals) supports an 'advanced materials science' angle, with home-market resonance via the Japanese Grand Prix.</t>
        </is>
      </c>
      <c r="Q8" s="10" t="n"/>
      <c r="R8" s="10" t="inlineStr">
        <is>
          <t>verified-existing</t>
        </is>
      </c>
      <c r="S8" s="10" t="inlineStr">
        <is>
          <t>2026-09-28</t>
        </is>
      </c>
    </row>
    <row r="9">
      <c r="A9" s="10" t="n">
        <v>6</v>
      </c>
      <c r="B9" s="10" t="n">
        <v>92</v>
      </c>
      <c r="C9" s="10" t="inlineStr">
        <is>
          <t>Beckers Group</t>
        </is>
      </c>
      <c r="D9" s="10" t="inlineStr">
        <is>
          <t>beckers-group.com</t>
        </is>
      </c>
      <c r="E9" s="10" t="inlineStr">
        <is>
          <t>Sweden</t>
        </is>
      </c>
      <c r="F9" s="10" t="inlineStr">
        <is>
          <t>Family-owned via Lindéngruppen (Swedish family industrial holding company); no published valuation</t>
        </is>
      </c>
      <c r="G9" s="10" t="inlineStr">
        <is>
          <t>Industrial coil and industrial coatings (global market leader in coil coatings)</t>
        </is>
      </c>
      <c r="H9" s="10" t="inlineStr">
        <is>
          <t>1k-5k (&gt;1,700 co-workers per company source, vs. 2,000-2,400 desk-triage estimate; 26 locations in 18 countries)</t>
        </is>
      </c>
      <c r="I9" s="10" t="inlineStr">
        <is>
          <t>SEK 6,644M / $706M in 2025 - source: Beckers Group corporate materials, 2026 (coil coatings = 87% of sales, industrial coatings = 13%)</t>
        </is>
      </c>
      <c r="J9" s="10" t="inlineStr">
        <is>
          <t>N/A - family-owned, no published valuation (passes on revenue alone per protocol)</t>
        </is>
      </c>
      <c r="K9" s="10" t="inlineStr">
        <is>
          <t>N/A (family-owned, no funding rounds)</t>
        </is>
      </c>
      <c r="L9" s="10" t="inlineStr">
        <is>
          <t>meets parameters</t>
        </is>
      </c>
      <c r="M9" s="10" t="n">
        <v>4</v>
      </c>
      <c r="N9" s="10" t="inlineStr">
        <is>
          <t>Yes</t>
        </is>
      </c>
      <c r="O9" s="10" t="inlineStr">
        <is>
          <t>Passes on revenue alone per the family-owned exemption: $706M (2025) clears the $100M bar comfortably; no F1 conflicts found; no signs of financial distress (global market leader position, stable family ownership); fit_score 4.</t>
        </is>
      </c>
      <c r="P9" s="10" t="inlineStr">
        <is>
          <t>Beckers' position as the global market leader in coil coatings (open category, no current F1 tie) supports an 'engineered surface performance for extreme environments' story, with a family-owned heritage narrative that can echo long-running F1 team histories.</t>
        </is>
      </c>
      <c r="Q9" s="10" t="inlineStr">
        <is>
          <t>family-owned, no published valuation</t>
        </is>
      </c>
      <c r="R9" s="10" t="inlineStr">
        <is>
          <t>verified-existing</t>
        </is>
      </c>
      <c r="S9" s="10" t="inlineStr">
        <is>
          <t>2026-09-28</t>
        </is>
      </c>
    </row>
    <row r="10">
      <c r="A10" s="10" t="n">
        <v>7</v>
      </c>
      <c r="B10" s="10" t="n">
        <v>92</v>
      </c>
      <c r="C10" s="10" t="inlineStr">
        <is>
          <t>Helios Group</t>
        </is>
      </c>
      <c r="D10" s="10" t="inlineStr">
        <is>
          <t>helios.eu</t>
        </is>
      </c>
      <c r="E10" s="10" t="inlineStr">
        <is>
          <t>Slovenia</t>
        </is>
      </c>
      <c r="F10" s="10" t="inlineStr">
        <is>
          <t>Wholly-owned subsidiary of Kansai Paint Co (public, Japan); no current F1 ties found for Kansai Paint (searched Sep 2026)</t>
        </is>
      </c>
      <c r="G10" s="10" t="inlineStr">
        <is>
          <t>Paints and coatings</t>
        </is>
      </c>
      <c r="H10" s="10" t="inlineStr">
        <is>
          <t>1k-5k</t>
        </is>
      </c>
      <c r="I10" s="10" t="inlineStr">
        <is>
          <t>€737M (FY2024, Coatings World / Kansai Paint FY2024 Europe Strategy Briefing, reported Mar 2025)</t>
        </is>
      </c>
      <c r="J10" s="10" t="inlineStr">
        <is>
          <t>N/A - wholly-owned subsidiary of public parent Kansai Paint, no separate published valuation; passes on revenue alone</t>
        </is>
      </c>
      <c r="K10" s="10" t="inlineStr">
        <is>
          <t>N/A - established subsidiary, not VC-backed</t>
        </is>
      </c>
      <c r="L10" s="10" t="inlineStr">
        <is>
          <t>meets parameters</t>
        </is>
      </c>
      <c r="M10" s="10" t="n">
        <v>4</v>
      </c>
      <c r="N10" s="10" t="inlineStr">
        <is>
          <t>Yes</t>
        </is>
      </c>
      <c r="O10" s="10" t="inlineStr">
        <is>
          <t>All hard filters pass: revenue €737M clears the $100M bar (subsidiary of public parent, no separate valuation, treated like the family-owned exemption); no current F1 ties for Kansai Paint; ownership clean; headcount 1,800-2,200 (1k-5k band); expanding toward €900M by 2027, no distress; broad B2B customer base. Fit score 4/4.</t>
        </is>
      </c>
      <c r="P10" s="10" t="inlineStr">
        <is>
          <t>European coatings leader with a stated €900M-by-2027 growth trajectory - performance/surface-technology story, open category (no paint/coatings sponsor currently on the grid), multi-market European B2B footprint.</t>
        </is>
      </c>
      <c r="Q10" s="10" t="inlineStr">
        <is>
          <t>parent: Kansai Paint Co Ltd (public, Japan) - no F1 ties found</t>
        </is>
      </c>
      <c r="R10" s="10" t="inlineStr">
        <is>
          <t>verified-existing</t>
        </is>
      </c>
      <c r="S10" s="10" t="inlineStr">
        <is>
          <t>2026-09-28</t>
        </is>
      </c>
    </row>
    <row r="11">
      <c r="A11" s="10" t="n">
        <v>8</v>
      </c>
      <c r="B11" s="10" t="n">
        <v>92</v>
      </c>
      <c r="C11" s="10" t="inlineStr">
        <is>
          <t>Teknos Group</t>
        </is>
      </c>
      <c r="D11" s="10" t="inlineStr">
        <is>
          <t>teknos.com</t>
        </is>
      </c>
      <c r="E11" s="10" t="inlineStr">
        <is>
          <t>Finland</t>
        </is>
      </c>
      <c r="F11" s="10" t="inlineStr">
        <is>
          <t>Family-owned (Kiikka family, 4th generation); no F1 ties found</t>
        </is>
      </c>
      <c r="G11" s="10" t="inlineStr">
        <is>
          <t>Industrial and wood coatings</t>
        </is>
      </c>
      <c r="H11" s="10" t="inlineStr">
        <is>
          <t>1k-5k</t>
        </is>
      </c>
      <c r="I11" s="10" t="inlineStr">
        <is>
          <t>~€323-355M (2023-2025, Teknos company site / Coatings World)</t>
        </is>
      </c>
      <c r="J11" s="10" t="inlineStr">
        <is>
          <t>N/A - family-owned, no published valuation; passes on revenue alone</t>
        </is>
      </c>
      <c r="K11" s="10" t="inlineStr">
        <is>
          <t>N/A - family-owned, not VC-backed</t>
        </is>
      </c>
      <c r="L11" s="10" t="inlineStr">
        <is>
          <t>meets parameters</t>
        </is>
      </c>
      <c r="M11" s="10" t="n">
        <v>4</v>
      </c>
      <c r="N11" s="10" t="inlineStr">
        <is>
          <t>Yes</t>
        </is>
      </c>
      <c r="O11" s="10" t="inlineStr">
        <is>
          <t>All hard filters pass: revenue ~€323-355M clears the $100M bar; family-owned with no published valuation passes on revenue alone; no F1 ties found; ownership clean (Finland, family-owned); headcount ~1,800 (1k-5k band); no distress signals; broad industrial/retail/architectural customer base. Fit score 4/4.</t>
        </is>
      </c>
      <c r="P11" s="10" t="inlineStr">
        <is>
          <t>Fourth-generation family-run Nordic coatings leader - precision/performance-coatings story, global manufacturing footprint (16 facilities), open category with no paint/coatings sponsor currently on the 2026 grid.</t>
        </is>
      </c>
      <c r="Q11" s="10" t="inlineStr">
        <is>
          <t>family-owned, no published valuation</t>
        </is>
      </c>
      <c r="R11" s="10" t="inlineStr">
        <is>
          <t>verified-existing</t>
        </is>
      </c>
      <c r="S11" s="10" t="inlineStr">
        <is>
          <t>2026-09-28</t>
        </is>
      </c>
    </row>
    <row r="12">
      <c r="A12" s="10" t="n">
        <v>9</v>
      </c>
      <c r="B12" s="10" t="n">
        <v>92</v>
      </c>
      <c r="C12" s="10" t="inlineStr">
        <is>
          <t>DAW SE (Caparol)</t>
        </is>
      </c>
      <c r="D12" s="10" t="inlineStr">
        <is>
          <t>daw.de</t>
        </is>
      </c>
      <c r="E12" s="10" t="inlineStr">
        <is>
          <t>Germany</t>
        </is>
      </c>
      <c r="F12" s="10" t="inlineStr">
        <is>
          <t>Fully family-owned (Murjahn family, 5th generation), Europe's largest family-owned decorative-coatings maker; no F1 ties found</t>
        </is>
      </c>
      <c r="G12" s="10" t="inlineStr">
        <is>
          <t>Paints and coatings</t>
        </is>
      </c>
      <c r="H12" s="10" t="inlineStr">
        <is>
          <t>5k-10k</t>
        </is>
      </c>
      <c r="I12" s="10" t="inlineStr">
        <is>
          <t>&gt;€1.5B (2025, Coatings World)</t>
        </is>
      </c>
      <c r="J12" s="10" t="inlineStr">
        <is>
          <t>N/A - fully family-owned, no published valuation; passes on revenue alone</t>
        </is>
      </c>
      <c r="K12" s="10" t="inlineStr">
        <is>
          <t>N/A - family-owned, not VC-backed</t>
        </is>
      </c>
      <c r="L12" s="10" t="inlineStr">
        <is>
          <t>meets parameters</t>
        </is>
      </c>
      <c r="M12" s="10" t="n">
        <v>4</v>
      </c>
      <c r="N12" s="10" t="inlineStr">
        <is>
          <t>Yes</t>
        </is>
      </c>
      <c r="O12" s="10" t="inlineStr">
        <is>
          <t>All hard filters pass: revenue &gt;€1.5B clears the $100M bar by a wide margin; fully family-owned with no published valuation passes on revenue alone; no F1 ties found; ownership clean (Germany, family-owned); headcount ~5,400-5,800 (5k-10k band); market leader with no distress signals; broad customer base via retail/distribution/architects. Fit score 4/4.</t>
        </is>
      </c>
      <c r="P12" s="10" t="inlineStr">
        <is>
          <t>Europe's largest fully family-owned architectural-coatings maker (Caparol) - building-protection/surface-technology story, market leadership across Germany/Austria/Turkey, open coatings category on the grid.</t>
        </is>
      </c>
      <c r="Q12" s="10" t="inlineStr">
        <is>
          <t>family-owned, no published valuation</t>
        </is>
      </c>
      <c r="R12" s="10" t="inlineStr">
        <is>
          <t>verified-existing</t>
        </is>
      </c>
      <c r="S12" s="10" t="inlineStr">
        <is>
          <t>2026-09-28</t>
        </is>
      </c>
    </row>
    <row r="13">
      <c r="A13" s="10" t="n">
        <v>10</v>
      </c>
      <c r="B13" s="10" t="n">
        <v>92</v>
      </c>
      <c r="C13" s="10" t="inlineStr">
        <is>
          <t>DIC Corporation</t>
        </is>
      </c>
      <c r="D13" s="10" t="inlineStr">
        <is>
          <t>dic-global.com</t>
        </is>
      </c>
      <c r="E13" s="10" t="inlineStr">
        <is>
          <t>Japan</t>
        </is>
      </c>
      <c r="F13" s="10" t="inlineStr">
        <is>
          <t>Public (Tokyo Stock Exchange: 4631); no F1 ties found</t>
        </is>
      </c>
      <c r="G13" s="10" t="inlineStr">
        <is>
          <t>Specialty chemicals and inks</t>
        </is>
      </c>
      <c r="H13" s="10" t="inlineStr">
        <is>
          <t>10k+</t>
        </is>
      </c>
      <c r="I13" s="10" t="inlineStr">
        <is>
          <t>~¥1.05T / ~$7B (FY2025, stockanalysis.com)</t>
        </is>
      </c>
      <c r="J13" s="10" t="inlineStr">
        <is>
          <t>Market cap ~$2.7-3.2B (PitchBook Feb 2026 / companiesmarketcap May 2026)</t>
        </is>
      </c>
      <c r="K13" s="10" t="inlineStr">
        <is>
          <t>N/A - public company</t>
        </is>
      </c>
      <c r="L13" s="10" t="inlineStr">
        <is>
          <t>exceeds - mega-brand</t>
        </is>
      </c>
      <c r="M13" s="10" t="n">
        <v>4</v>
      </c>
      <c r="N13" s="10" t="inlineStr">
        <is>
          <t>Yes</t>
        </is>
      </c>
      <c r="O13" s="10" t="inlineStr">
        <is>
          <t>All hard filters pass: revenue ~$7B and market cap ~$2.7-3.2B both clear their respective bars comfortably; no F1 ties found; public ownership, no compliance issues; headcount 19,000-21,000 (10k+ band); large profitable global operations; broad B2B customer base. Fit score 4/4.</t>
        </is>
      </c>
      <c r="P13" s="10" t="inlineStr">
        <is>
          <t>World's largest printing-ink and specialty-chemicals maker - pigment/materials-science innovation story at mega-brand scale, global manufacturing footprint, open chemicals/coatings category on the 2026 grid.</t>
        </is>
      </c>
      <c r="Q13" s="10" t="n"/>
      <c r="R13" s="10" t="inlineStr">
        <is>
          <t>verified-existing</t>
        </is>
      </c>
      <c r="S13" s="10" t="inlineStr">
        <is>
          <t>2026-09-28</t>
        </is>
      </c>
    </row>
    <row r="14">
      <c r="A14" s="10" t="n">
        <v>11</v>
      </c>
      <c r="B14" s="10" t="n">
        <v>84</v>
      </c>
      <c r="C14" s="10" t="inlineStr">
        <is>
          <t>Afton Chemical (NewMarket)</t>
        </is>
      </c>
      <c r="D14" s="10" t="inlineStr">
        <is>
          <t>aftonchemical.com</t>
        </is>
      </c>
      <c r="E14" s="10" t="inlineStr">
        <is>
          <t>Richmond, Virginia, USA</t>
        </is>
      </c>
      <c r="F14" s="10" t="inlineStr">
        <is>
          <t>Subsidiary of NewMarket Corporation (public, NYSE: NEU, USA) — not state-owned</t>
        </is>
      </c>
      <c r="G14" s="10" t="inlineStr">
        <is>
          <t>Petroleum/fuel and lubricant additives</t>
        </is>
      </c>
      <c r="H14" s="10" t="inlineStr">
        <is>
          <t>1k-5k</t>
        </is>
      </c>
      <c r="I14" s="10" t="inlineStr">
        <is>
          <t>NewMarket (parent) revenue $2.73B in 2025, down ~2.2% YoY (stockanalysis.com, 2026); Afton is NewMarket's dominant operating segment — well above the $100M bar</t>
        </is>
      </c>
      <c r="J14" s="10" t="inlineStr">
        <is>
          <t>NewMarket market cap ~$7.32B as of July 7, 2026 (stockanalysis.com) — clears the $1B bar</t>
        </is>
      </c>
      <c r="K14" s="10" t="inlineStr">
        <is>
          <t>N/A — long-established public company, no recent raise</t>
        </is>
      </c>
      <c r="L14" s="10" t="inlineStr">
        <is>
          <t>meets parameters</t>
        </is>
      </c>
      <c r="M14" s="10" t="n">
        <v>3</v>
      </c>
      <c r="N14" s="10" t="inlineStr">
        <is>
          <t>Yes</t>
        </is>
      </c>
      <c r="O14" s="10" t="inlineStr">
        <is>
          <t>Revenue ($2.73B) and market cap ($7.32B) clear hard bars with room to spare; net earnings of $417M in 2025 show clear profitability despite a modest YoY dip; no F1 conflict found; fit score of 3 despite the saturated lubricants/additives sponsor category.</t>
        </is>
      </c>
      <c r="P14" s="10" t="inlineStr">
        <is>
          <t>Position as the 'ingredient technology' behind engine performance (B2B/enthusiast co-marketing with an OEM or lubricant-brand partner) rather than competing head-on in the already-crowded finished-lubricant sponsor category (est).</t>
        </is>
      </c>
      <c r="Q14" s="10" t="n"/>
      <c r="R14" s="10" t="inlineStr">
        <is>
          <t>verified-existing</t>
        </is>
      </c>
      <c r="S14" s="10" t="inlineStr">
        <is>
          <t>2026-09-28</t>
        </is>
      </c>
    </row>
    <row r="15">
      <c r="A15" s="10" t="n">
        <v>12</v>
      </c>
      <c r="B15" s="10" t="n">
        <v>84</v>
      </c>
      <c r="C15" s="10" t="inlineStr">
        <is>
          <t>Kumho Petrochemical</t>
        </is>
      </c>
      <c r="D15" s="10" t="inlineStr">
        <is>
          <t>kkpc.com</t>
        </is>
      </c>
      <c r="E15" s="10" t="inlineStr">
        <is>
          <t>Seoul, South Korea</t>
        </is>
      </c>
      <c r="F15" s="10" t="inlineStr">
        <is>
          <t>Public (Korea Exchange: 011780), part of Kumho Asiana Group — not state-owned</t>
        </is>
      </c>
      <c r="G15" s="10" t="inlineStr">
        <is>
          <t>Synthetic rubber (BR/SBR), specialty chemicals, resins and EP/composite materials</t>
        </is>
      </c>
      <c r="H15" s="10" t="inlineStr">
        <is>
          <t>1k-5k</t>
        </is>
      </c>
      <c r="I15" s="10" t="inlineStr">
        <is>
          <t>TTM revenue ~$4.88B (2025), down from $5.20B in 2024 (companiesmarketcap.com) — well above the $100M bar</t>
        </is>
      </c>
      <c r="J15" s="10" t="inlineStr">
        <is>
          <t>Market cap ~$1.85-2.2B (Oct 2025/2026 sources) — clears the $1B bar</t>
        </is>
      </c>
      <c r="K15" s="10" t="inlineStr">
        <is>
          <t>N/A — long-established public company, no recent raise</t>
        </is>
      </c>
      <c r="L15" s="10" t="inlineStr">
        <is>
          <t>meets parameters</t>
        </is>
      </c>
      <c r="M15" s="10" t="n">
        <v>3</v>
      </c>
      <c r="N15" s="10" t="inlineStr">
        <is>
          <t>Yes</t>
        </is>
      </c>
      <c r="O15" s="10" t="inlineStr">
        <is>
          <t>Revenue (~$4.88B) and market cap (~$1.85-2.2B) clear hard bars; no current F1 conflict (Kumho Tire's Formula Drift deal is a different, unrelated series); ownership is public, non-state; fit score of 3.</t>
        </is>
      </c>
      <c r="P15" s="10" t="inlineStr">
        <is>
          <t>Materials-science/performance-rubber-technology story aimed at engineering/technology-partner slots rather than the tire category itself, which Pirelli holds exclusively (est).</t>
        </is>
      </c>
      <c r="Q15" s="10" t="inlineStr">
        <is>
          <t>note: Kumho Tire (a related but legally separate Kumho Asiana Group company) sponsors Formula DRIFT (2024-2029), a different drifting series unrelated to FIA Formula 1 — not a conflict, but worth flagging for outreach clarity; revenue down ~6% YoY, though still hugely profitable at scale</t>
        </is>
      </c>
      <c r="R15" s="10" t="inlineStr">
        <is>
          <t>verified-existing</t>
        </is>
      </c>
      <c r="S15" s="10" t="inlineStr">
        <is>
          <t>2026-09-28</t>
        </is>
      </c>
    </row>
    <row r="16">
      <c r="A16" s="10" t="n">
        <v>13</v>
      </c>
      <c r="B16" s="10" t="n">
        <v>84</v>
      </c>
      <c r="C16" s="10" t="inlineStr">
        <is>
          <t>Ecovyst (formerly PQ Group)</t>
        </is>
      </c>
      <c r="D16" s="10" t="inlineStr">
        <is>
          <t>ecovyst.com</t>
        </is>
      </c>
      <c r="E16" s="10" t="inlineStr">
        <is>
          <t>USA</t>
        </is>
      </c>
      <c r="F16" s="10" t="inlineStr">
        <is>
          <t>Public (NYSE: ECVT); no state ties</t>
        </is>
      </c>
      <c r="G16" s="10" t="inlineStr">
        <is>
          <t>Specialty catalysts and sulfuric acid regeneration/recycling services for environmental, energy and industrial markets</t>
        </is>
      </c>
      <c r="H16" s="10" t="inlineStr">
        <is>
          <t>201-1k (~900-1,100 employees, est per desk triage; near the 1k boundary)</t>
        </is>
      </c>
      <c r="I16" s="10" t="inlineStr">
        <is>
          <t>$723.5M FY2025 (+20.9% YoY vs $598.3M FY2024) - source: stockanalysis.com, reported early 2026</t>
        </is>
      </c>
      <c r="J16" s="10" t="inlineStr">
        <is>
          <t>Market cap ~$1.14B-$1.57B (varies by source/date) as of 2026 - source: stockanalysis.com/Yahoo Finance/TradingView</t>
        </is>
      </c>
      <c r="K16" s="10" t="inlineStr">
        <is>
          <t>N/A (public company); FY26 guidance of $860M-$940M revenue and $175M-$195M adjusted EBITDA</t>
        </is>
      </c>
      <c r="L16" s="10" t="inlineStr">
        <is>
          <t>meets parameters</t>
        </is>
      </c>
      <c r="M16" s="10" t="n">
        <v>3</v>
      </c>
      <c r="N16" s="10" t="inlineStr">
        <is>
          <t>Yes</t>
        </is>
      </c>
      <c r="O16" s="10" t="inlineStr">
        <is>
          <t>All hard filters pass: revenue $723.5M (FY2025, +20.9% YoY, beat guidance) and market cap ~$1.1B-$1.6B both clear bars; no F1 conflicts found; public US ownership, no state ties; clearly profitable and improving (raised FY26 outlook); fit_score 3 (&gt;=2).</t>
        </is>
      </c>
      <c r="P16" s="10" t="inlineStr">
        <is>
          <t>Ecovyst's sulfuric-acid recycling/regeneration and catalyst technology aligns with F1's sustainable-fuel and circular-technology push (100% sustainable fuel from 2026) - pitch an open 'sustainable industrial technology' partner category.</t>
        </is>
      </c>
      <c r="Q16" s="10" t="n"/>
      <c r="R16" s="10" t="inlineStr">
        <is>
          <t>verified-existing</t>
        </is>
      </c>
      <c r="S16" s="10" t="inlineStr">
        <is>
          <t>2026-09-28</t>
        </is>
      </c>
    </row>
    <row r="17">
      <c r="A17" s="10" t="n">
        <v>14</v>
      </c>
      <c r="B17" s="10" t="n">
        <v>84</v>
      </c>
      <c r="C17" s="10" t="inlineStr">
        <is>
          <t>King Industries</t>
        </is>
      </c>
      <c r="D17" s="10" t="inlineStr">
        <is>
          <t>kingindustries.com</t>
        </is>
      </c>
      <c r="E17" s="10" t="inlineStr">
        <is>
          <t>Norwalk, Connecticut, USA</t>
        </is>
      </c>
      <c r="F17" s="10" t="inlineStr">
        <is>
          <t>Family-owned, private (USA)</t>
        </is>
      </c>
      <c r="G17" s="10" t="inlineStr">
        <is>
          <t>Specialty additives for lubricants, coatings, electronics (B2B, global)</t>
        </is>
      </c>
      <c r="H17" s="10" t="inlineStr">
        <is>
          <t>201-1k</t>
        </is>
      </c>
      <c r="I17" s="10" t="inlineStr">
        <is>
          <t>$250-500M (est) - ZoomInfo industrial-database estimate; no audited figure published (private, family-owned); search Sep 2026</t>
        </is>
      </c>
      <c r="J17" s="10" t="inlineStr">
        <is>
          <t>N/A - family-owned, no published valuation (passes on revenue alone per protocol)</t>
        </is>
      </c>
      <c r="K17" s="10" t="inlineStr">
        <is>
          <t>N/A - privately held, no external funding found</t>
        </is>
      </c>
      <c r="L17" s="10" t="inlineStr">
        <is>
          <t>meets parameters</t>
        </is>
      </c>
      <c r="M17" s="10" t="n">
        <v>3</v>
      </c>
      <c r="N17" s="10" t="inlineStr">
        <is>
          <t>Yes</t>
        </is>
      </c>
      <c r="O17" s="10" t="inlineStr">
        <is>
          <t>All hard filters pass on available evidence: no F1 team/series/driver/Grand Prix conflicts found for King Industries; revenue est. $250-500M clears the $100M bar; family ownership with no published valuation passes the valuation bar on revenue alone; headcount 250-350 sits in the 201-1k band; no evidence of financial distress; broad global B2B customer base (additive supplier to many downstream formulators), not dependent on a handful of accounts.</t>
        </is>
      </c>
      <c r="P17" s="10" t="inlineStr">
        <is>
          <t>Position as the 'invisible high-performance chemistry' behind F1-grade lubricants and coatings - an ingredient-brand story about precision formulation enabling on-track performance, in a specialty-additives category not yet claimed on the grid.</t>
        </is>
      </c>
      <c r="Q17" s="10" t="inlineStr">
        <is>
          <t>family-owned, no published valuation</t>
        </is>
      </c>
      <c r="R17" s="10" t="inlineStr">
        <is>
          <t>verified-existing</t>
        </is>
      </c>
      <c r="S17" s="10" t="inlineStr">
        <is>
          <t>2026-09-28</t>
        </is>
      </c>
    </row>
    <row r="18">
      <c r="A18" s="11" t="n">
        <v>15</v>
      </c>
      <c r="B18" s="11" t="n">
        <v>64</v>
      </c>
      <c r="C18" s="11" t="inlineStr">
        <is>
          <t>Chemetall (BASF)</t>
        </is>
      </c>
      <c r="D18" s="11" t="inlineStr">
        <is>
          <t>chemetall.com</t>
        </is>
      </c>
      <c r="E18" s="11" t="inlineStr">
        <is>
          <t>Germany</t>
        </is>
      </c>
      <c r="F18" s="11" t="inlineStr">
        <is>
          <t>Surface-treatment business unit of Surventis (formerly BASF Coatings); majority-owned by funds managed by Carlyle in partnership with Qatar Investment Authority (QIA) since the carve-out closed June 30, 2026 (~€7.7B EV transaction); BASF SE retains a 40% minority stake - source: Collision Repair Mag / GlobeNewswire, July 2026</t>
        </is>
      </c>
      <c r="G18" s="11" t="inlineStr">
        <is>
          <t>Surface treatment specialty chemicals (metal/plastic/glass pretreatment, corrosion protection, aerospace sealants)</t>
        </is>
      </c>
      <c r="H18" s="11" t="inlineStr">
        <is>
          <t>1k-5k (~2,700-3,000 employees, est per desk triage)</t>
        </is>
      </c>
      <c r="I18" s="11" t="inlineStr">
        <is>
          <t>Chemetall unit revenue est. ~$1.1B (2026, aggregator est., source: LeadIQ/RocketReach); parent Surventis (whole automotive-coatings + surface-treatment company) reported ~€3.9B sales in 2025 - source: GlobeNewswire, July 2026. Figure uncertain: other sources cite $750M-$1.5B+ for Chemetall alone.</t>
        </is>
      </c>
      <c r="J18" s="11" t="inlineStr">
        <is>
          <t>Parent Surventis carved out of BASF at ~€7.7B EV in the Carlyle/QIA transaction, closed June 30, 2026 - source: Collision Repair Mag, 2026</t>
        </is>
      </c>
      <c r="K18" s="11" t="inlineStr">
        <is>
          <t>N/A - not a funding raise; BASF Coatings division sale/carve-out to a Carlyle-led consortium (with QIA), closed June 30, 2026, ~€5.8B cash to BASF</t>
        </is>
      </c>
      <c r="L18" s="11" t="inlineStr">
        <is>
          <t>meets parameters</t>
        </is>
      </c>
      <c r="M18" s="11" t="n">
        <v>4</v>
      </c>
      <c r="N18" s="11" t="inlineStr">
        <is>
          <t>Stretch</t>
        </is>
      </c>
      <c r="O18" s="11" t="inlineStr">
        <is>
          <t>Passes hard filters (revenue ~$1.1B est clears $100M; parent Surventis EV ~€7.7B clears $1B; 22,000+ customers so no concentration issue; no F1 conflicts found for BASF, Carlyle, QIA, or Surventis) but real reservations: minority state stake via Qatar Investment Authority and an uncertain/inconsistent revenue figure for the Chemetall unit specifically, plus the ownership structure only 3 months old.</t>
        </is>
      </c>
      <c r="P18" s="11" t="inlineStr">
        <is>
          <t>Chemetall/Surventis's automotive and aerospace surface-treatment technology (corrosion protection, precision pretreatment) maps naturally to F1's performance-materials story; as a newly independent brand (post-BASF carve-out, mid-2026) it needs its own identity - good timing for a fresh sponsorship narrative in the open specialty-chemicals category.</t>
        </is>
      </c>
      <c r="Q18" s="11" t="inlineStr">
        <is>
          <t>minority state stake (Qatar Investment Authority, co-owner alongside Carlyle); very recent ownership change (carve-out closed June 2026) - not yet PE 4+ years; revenue figure uncertain (sources range roughly $750M-$1.5B for the Chemetall unit)</t>
        </is>
      </c>
      <c r="R18" s="11" t="inlineStr">
        <is>
          <t>verified-existing</t>
        </is>
      </c>
      <c r="S18" s="11" t="inlineStr">
        <is>
          <t>2026-09-28</t>
        </is>
      </c>
    </row>
    <row r="19">
      <c r="A19" s="11" t="n">
        <v>16</v>
      </c>
      <c r="B19" s="11" t="n">
        <v>64</v>
      </c>
      <c r="C19" s="11" t="inlineStr">
        <is>
          <t>Wanhua Chemical Group</t>
        </is>
      </c>
      <c r="D19" s="11" t="inlineStr">
        <is>
          <t>wanhuachem.com</t>
        </is>
      </c>
      <c r="E19" s="11" t="inlineStr">
        <is>
          <t>China</t>
        </is>
      </c>
      <c r="F19" s="11" t="inlineStr">
        <is>
          <t>Public (Shanghai: 600309), mixed ownership; largest shareholder Yantai Guofeng (state-linked, city-affiliated) holds ~21.6% - a minority, not majority, state stake - source: MarketScreener, 2026</t>
        </is>
      </c>
      <c r="G19" s="11" t="inlineStr">
        <is>
          <t>Specialty and industrial chemicals (polyurethanes, petrochemicals; owns BorsodChem in Europe)</t>
        </is>
      </c>
      <c r="H19" s="11" t="inlineStr">
        <is>
          <t>10k+ (~25,000-27,000 employees, est per desk triage)</t>
        </is>
      </c>
      <c r="I19" s="11" t="inlineStr">
        <is>
          <t>RMB 203.23B FY2025 (+11.6% YoY vs RMB 182.07B) (~$28B-29B est) - source: stockanalysis.com, 2026</t>
        </is>
      </c>
      <c r="J19" s="11" t="inlineStr">
        <is>
          <t>Market cap ~$33.9B as of Aug 2026 (3.13B shares) - source: stockanalysis.com/companiesmarketcap.com</t>
        </is>
      </c>
      <c r="K19" s="11" t="inlineStr">
        <is>
          <t>N/A (public company, no funding round)</t>
        </is>
      </c>
      <c r="L19" s="11" t="inlineStr">
        <is>
          <t>exceeds - mega-brand</t>
        </is>
      </c>
      <c r="M19" s="11" t="n">
        <v>4</v>
      </c>
      <c r="N19" s="11" t="inlineStr">
        <is>
          <t>Stretch</t>
        </is>
      </c>
      <c r="O19" s="11" t="inlineStr">
        <is>
          <t>Passes all hard filters (revenue ~$28B-29B and market cap ~$33.9B both far exceed bars; no F1 conflicts found; not a customer-concentration risk) but carries a real reservation: Yantai Guofeng, a state-linked entity, is the largest shareholder at ~21.6% - a confirmed minority (not majority) state stake, per protocol kept but flagged.</t>
        </is>
      </c>
      <c r="P19" s="11" t="inlineStr">
        <is>
          <t>Wanhua's global polyurethanes/petrochemicals leadership (via BorsodChem in Europe) supports an open 'global manufacturing scale meets performance materials' angle, timed to Wanhua's continued Western market expansion.</t>
        </is>
      </c>
      <c r="Q19" s="11" t="inlineStr">
        <is>
          <t>minority state stake (Yantai Guofeng, ~21.6%, largest shareholder)</t>
        </is>
      </c>
      <c r="R19" s="11" t="inlineStr">
        <is>
          <t>verified-existing</t>
        </is>
      </c>
      <c r="S19" s="11" t="inlineStr">
        <is>
          <t>2026-09-28</t>
        </is>
      </c>
    </row>
    <row r="20">
      <c r="A20" s="11" t="n">
        <v>17</v>
      </c>
      <c r="B20" s="11" t="n">
        <v>64</v>
      </c>
      <c r="C20" s="11" t="inlineStr">
        <is>
          <t>Franklin International (Titebond)</t>
        </is>
      </c>
      <c r="D20" s="11" t="inlineStr">
        <is>
          <t>titebond.com</t>
        </is>
      </c>
      <c r="E20" s="11" t="inlineStr">
        <is>
          <t>USA</t>
        </is>
      </c>
      <c r="F20" s="11" t="inlineStr">
        <is>
          <t>Family-owned (Columbus, Ohio; founded 1935); private, no published valuation</t>
        </is>
      </c>
      <c r="G20" s="11" t="inlineStr">
        <is>
          <t>Adhesives and sealants (Titebond brand for woodworking/construction; Franklin Adhesives &amp; Polymers for industrial)</t>
        </is>
      </c>
      <c r="H20" s="11" t="inlineStr">
        <is>
          <t>201-1k (est.; sources vary widely: one source cites 210 employees, desk triage estimated 900-1,200)</t>
        </is>
      </c>
      <c r="I20" s="11" t="inlineStr">
        <is>
          <t>Estimates vary widely: one source cites $133.4M (2026), another estimates $250M-$500M, desk triage estimated $300M-$500M - source: RocketReach/LeadIQ/Owler aggregation, 2026. All estimates clear the $100M bar but the figure is not well-verified for a private company.</t>
        </is>
      </c>
      <c r="J20" s="11" t="inlineStr">
        <is>
          <t>N/A - family-owned, no published valuation (passes on revenue alone per protocol)</t>
        </is>
      </c>
      <c r="K20" s="11" t="inlineStr">
        <is>
          <t>N/A (family-owned, no funding rounds)</t>
        </is>
      </c>
      <c r="L20" s="11" t="inlineStr">
        <is>
          <t>meets parameters</t>
        </is>
      </c>
      <c r="M20" s="11" t="n">
        <v>4</v>
      </c>
      <c r="N20" s="11" t="inlineStr">
        <is>
          <t>Stretch</t>
        </is>
      </c>
      <c r="O20" s="11" t="inlineStr">
        <is>
          <t>Passes on the family-owned revenue-alone exemption - all revenue estimates ($133M-$500M) clear the $100M bar and no F1 conflicts were found - but a real reservation: the revenue figure is notably uncertain/inconsistent across sources (as low as $133.4M, a thin margin over the bar, vs. a $300M-$500M desk estimate), and headcount estimates also vary widely (210 vs. 900-1,200).</t>
        </is>
      </c>
      <c r="P20" s="11" t="inlineStr">
        <is>
          <t>Titebond's strong prosumer/DIY woodworking brand recognition supports a 'craftsmanship &amp; performance bonding' angle; the family-owned Americana brand story can echo heritage-team narratives, in the open adhesives category.</t>
        </is>
      </c>
      <c r="Q20" s="11" t="inlineStr">
        <is>
          <t>family-owned, no published valuation; revenue figure uncertain (estimates range $133M-$500M across sources)</t>
        </is>
      </c>
      <c r="R20" s="11" t="inlineStr">
        <is>
          <t>verified-existing</t>
        </is>
      </c>
      <c r="S20" s="11" t="inlineStr">
        <is>
          <t>2026-09-28</t>
        </is>
      </c>
    </row>
    <row r="21">
      <c r="A21" s="11" t="n">
        <v>18</v>
      </c>
      <c r="B21" s="11" t="n">
        <v>64</v>
      </c>
      <c r="C21" s="11" t="inlineStr">
        <is>
          <t>Innophos (One Rock Capital)</t>
        </is>
      </c>
      <c r="D21" s="11" t="inlineStr">
        <is>
          <t>innophos.com</t>
        </is>
      </c>
      <c r="E21" s="11" t="inlineStr">
        <is>
          <t>USA</t>
        </is>
      </c>
      <c r="F21" s="11" t="inlineStr">
        <is>
          <t>PE-owned (One Rock Capital Partners, since Feb 7 2020 take-private)</t>
        </is>
      </c>
      <c r="G21" s="11" t="inlineStr">
        <is>
          <t>Specialty phosphates</t>
        </is>
      </c>
      <c r="H21" s="11" t="inlineStr">
        <is>
          <t>201-1k</t>
        </is>
      </c>
      <c r="I21" s="11" t="inlineStr">
        <is>
          <t>$725M (FY through Sept 30 2021, last disclosed figure pre-take-private financial silence) - clears &gt;$100M bar</t>
        </is>
      </c>
      <c r="J21" s="11" t="inlineStr">
        <is>
          <t>One Rock explored a sale valuing Innophos at $3B+ (Bloomberg, Nov 8 2022); original 2020 take-private was $932M - clears &gt;$1B bar on 2022 sale-process valuation</t>
        </is>
      </c>
      <c r="K21" s="11" t="inlineStr">
        <is>
          <t>N/A - PE buyout closed Feb 2020, no raise within 18 months; described as 'soaring' in 2022 sale-process press, implying strong profitability</t>
        </is>
      </c>
      <c r="L21" s="11" t="inlineStr">
        <is>
          <t>meets parameters</t>
        </is>
      </c>
      <c r="M21" s="11" t="n">
        <v>4</v>
      </c>
      <c r="N21" s="11" t="inlineStr">
        <is>
          <t>Stretch</t>
        </is>
      </c>
      <c r="O21" s="11" t="inlineStr">
        <is>
          <t>Hard filters plausibly pass (revenue $725M as of FY2021 clears &gt;$100M; valuation clears &gt;$1B per 2022 sale-process reports valuing the company at $3B+) but real reservations remain: PE-owned 6+ years with no recent GTM/expansion raise, and no post-2021 public financial disclosure to confirm current figures.</t>
        </is>
      </c>
      <c r="P21" s="11" t="inlineStr">
        <is>
          <t>Position as 'the ingredient science behind performance' - specialty phosphate/chemistry precision story tied to F1's technical-engineering narrative, with an open ingredient/specialty-chemicals category on the 2026 grid.</t>
        </is>
      </c>
      <c r="Q21" s="11" t="inlineStr">
        <is>
          <t>PE-owned 6+ years (One Rock Capital, since Feb 2020) with no recent capital raise; no public financials disclosed since going private in 2020; B2B ingredient supplier - customer concentration not independently confirmed (est. served via broad food/pharma/industrial customer base, not a handful of accounts)</t>
        </is>
      </c>
      <c r="R21" s="11" t="inlineStr">
        <is>
          <t>verified-existing</t>
        </is>
      </c>
      <c r="S21" s="11" t="inlineStr">
        <is>
          <t>2026-09-28</t>
        </is>
      </c>
    </row>
    <row r="22">
      <c r="A22" s="11" t="n">
        <v>19</v>
      </c>
      <c r="B22" s="11" t="n">
        <v>64</v>
      </c>
      <c r="C22" s="11" t="inlineStr">
        <is>
          <t>Dymax Corporation</t>
        </is>
      </c>
      <c r="D22" s="11" t="inlineStr">
        <is>
          <t>dymax.com</t>
        </is>
      </c>
      <c r="E22" s="11" t="inlineStr">
        <is>
          <t>USA</t>
        </is>
      </c>
      <c r="F22" s="11" t="inlineStr">
        <is>
          <t>Private (USA); specific structure (family/founder vs. other private) not confirmed</t>
        </is>
      </c>
      <c r="G22" s="11" t="inlineStr">
        <is>
          <t>Light-curable adhesives</t>
        </is>
      </c>
      <c r="H22" s="11" t="inlineStr">
        <is>
          <t>201-1k</t>
        </is>
      </c>
      <c r="I22" s="11" t="inlineStr">
        <is>
          <t>est. $121-156M (aggregator data, 2026) - plausibly clears &gt;$100M bar but figure is uncertain/thin over the threshold across sources</t>
        </is>
      </c>
      <c r="J22" s="11" t="inlineStr">
        <is>
          <t>no published valuation found; ownership structure unconfirmed, so no family-owned exception can be verified</t>
        </is>
      </c>
      <c r="K22" s="11" t="inlineStr">
        <is>
          <t>none found</t>
        </is>
      </c>
      <c r="L22" s="11" t="inlineStr">
        <is>
          <t>meets parameters</t>
        </is>
      </c>
      <c r="M22" s="11" t="n">
        <v>4</v>
      </c>
      <c r="N22" s="11" t="inlineStr">
        <is>
          <t>Stretch</t>
        </is>
      </c>
      <c r="O22" s="11" t="inlineStr">
        <is>
          <t>Revenue estimates ($121-156M) plausibly clear the &gt;$100M bar but are uncertain and thin over the threshold across sources, and no published valuation or confirmed ownership structure exists to cleanly satisfy the valuation bar; no F1 conflict found and fit score is strong (4).</t>
        </is>
      </c>
      <c r="P22" s="11" t="inlineStr">
        <is>
          <t>Precision UV/light-curable bonding technology as an engineering-performance story - 'the adhesive science behind speed and durability' - with an open adhesives/bonding category on the 2026 grid.</t>
        </is>
      </c>
      <c r="Q22" s="11" t="inlineStr">
        <is>
          <t>revenue figure uncertain - estimates range $121-156M, near the $100M threshold; no published valuation and ownership structure not confirmed (family-owned exception unverifiable); distributes via multiple partners (Biesterfeld, Rudolph Bros, Krayden, PVA) suggesting broad customer reach, not independently confirmed</t>
        </is>
      </c>
      <c r="R22" s="11" t="inlineStr">
        <is>
          <t>verified-existing</t>
        </is>
      </c>
      <c r="S22" s="11" t="inlineStr">
        <is>
          <t>2026-09-28</t>
        </is>
      </c>
    </row>
    <row r="23">
      <c r="A23" s="11" t="n">
        <v>20</v>
      </c>
      <c r="B23" s="11" t="n">
        <v>58</v>
      </c>
      <c r="C23" s="11" t="inlineStr">
        <is>
          <t>SK Lubricants (ZIC)</t>
        </is>
      </c>
      <c r="D23" s="11" t="inlineStr">
        <is>
          <t>sklubricants.com</t>
        </is>
      </c>
      <c r="E23" s="11" t="inlineStr">
        <is>
          <t>Seoul, South Korea</t>
        </is>
      </c>
      <c r="F23" s="11" t="inlineStr">
        <is>
          <t>Subsidiary of SK Enmove, itself part of SK Innovation/SK Group (public, Korea Exchange, South Korea); SK On (also an SK Group company, EV battery unit) announced its acquisition of SK Enmove in July 2025 — an intra-group restructuring, not state ownership</t>
        </is>
      </c>
      <c r="G23" s="11" t="inlineStr">
        <is>
          <t>ZIC-brand automotive and industrial lubricants</t>
        </is>
      </c>
      <c r="H23" s="11" t="inlineStr">
        <is>
          <t>1k-5k</t>
        </is>
      </c>
      <c r="I23" s="11" t="inlineStr">
        <is>
          <t>SK Enmove lubricants segment revenue KRW 3.84T (~$2.8B est) in 2025, with operating profit KRW 607.6B (~$443M est) (Ask Inno Global/Investing.com, 2026) — well above the $100M bar</t>
        </is>
      </c>
      <c r="J23" s="11" t="inlineStr">
        <is>
          <t>N/A (subsidiary) — parent SK Innovation is public (Korea Exchange); no standalone SK Enmove/ZIC valuation published, though the pending SK On acquisition implies an internal group valuation not yet disclosed publicly</t>
        </is>
      </c>
      <c r="K23" s="11" t="inlineStr">
        <is>
          <t>N/A — internal restructuring only (SK On to acquire SK Enmove, announced Jul 2025, status pending)</t>
        </is>
      </c>
      <c r="L23" s="11" t="inlineStr">
        <is>
          <t>meets parameters</t>
        </is>
      </c>
      <c r="M23" s="11" t="n">
        <v>3</v>
      </c>
      <c r="N23" s="11" t="inlineStr">
        <is>
          <t>Stretch</t>
        </is>
      </c>
      <c r="O23" s="11" t="inlineStr">
        <is>
          <t>Hard bars pass on segment financials (~$2.8B revenue, profitable) and there is no CURRENT F1 conflict (the Korean GP sponsorship ended with that race in 2013), but the pending SK On/SK Enmove ownership restructuring creates real budget-authority uncertainty, and lubricants is the single most saturated sponsor category on the grid, capping the opportunity.</t>
        </is>
      </c>
      <c r="P23" s="11" t="inlineStr">
        <is>
          <t>Reintroduce ZIC to F1 audiences post-restructuring, potentially timed to any future Asia-market Grand Prix, leaning on its authentic (if lapsed) F1 sponsorship history rather than competing head-on with incumbent lubricant sponsors (est).</t>
        </is>
      </c>
      <c r="Q23" s="11" t="inlineStr">
        <is>
          <t>ZIC was the official sponsor of the Formula 1 Korean Grand Prix (2010-2013) — this race is defunct and off the current calendar, so it is NOT treated as a current conflict, but is worth naming given past F1 involvement; ownership in flux: SK On's acquisition of SK Enmove (announced Jul 2025) creates some uncertainty over who holds sponsorship budget authority; parent SK Innovation posted an overall operating loss in some 2025 quarters (KRW -417.6B in Q2 2025) driven by other segments (battery/refining), even though the lubricants segment itself stayed profitable throughout</t>
        </is>
      </c>
      <c r="R23" s="11" t="inlineStr">
        <is>
          <t>verified-existing</t>
        </is>
      </c>
      <c r="S23" s="11" t="inlineStr">
        <is>
          <t>2026-09-28</t>
        </is>
      </c>
    </row>
    <row r="24">
      <c r="A24" s="11" t="n">
        <v>21</v>
      </c>
      <c r="B24" s="11" t="n">
        <v>58</v>
      </c>
      <c r="C24" s="11" t="inlineStr">
        <is>
          <t>Lubrizol Corporation</t>
        </is>
      </c>
      <c r="D24" s="11" t="inlineStr">
        <is>
          <t>lubrizol.com</t>
        </is>
      </c>
      <c r="E24" s="11" t="inlineStr">
        <is>
          <t>Cleveland/Wickliffe, Ohio, USA</t>
        </is>
      </c>
      <c r="F24" s="11" t="inlineStr">
        <is>
          <t>Wholly-owned subsidiary of Berkshire Hathaway Inc. (public, NYSE: BRK.A/BRK.B, USA), acquired Sept 2011 for ~$9.7B — not state-owned</t>
        </is>
      </c>
      <c r="G24" s="11" t="inlineStr">
        <is>
          <t>Lubricant and fuel additives, specialty materials and performance coatings</t>
        </is>
      </c>
      <c r="H24" s="11" t="inlineStr">
        <is>
          <t>5k-10k</t>
        </is>
      </c>
      <c r="I24" s="11" t="inlineStr">
        <is>
          <t>$6.2B in 2025, down 3.0% YoY; pre-tax earnings down 20.6% YoY, attributed to lower selling prices/volumes, higher manufacturing costs, and increased restructuring costs from 'exiting certain businesses' plus litigation expenses (Berkshire Hathaway 2025 Annual Report) — well above the $100M bar</t>
        </is>
      </c>
      <c r="J24" s="11" t="inlineStr">
        <is>
          <t>N/A (subsidiary) — wholly owned by Berkshire Hathaway (market cap in the $1T+ range); no standalone Lubrizol valuation</t>
        </is>
      </c>
      <c r="K24" s="11" t="inlineStr">
        <is>
          <t>N/A — Berkshire Hathaway acquisition closed Sept 2011 ($9.7B); no financing need given parent's balance sheet</t>
        </is>
      </c>
      <c r="L24" s="11" t="inlineStr">
        <is>
          <t>exceeds - mega-brand</t>
        </is>
      </c>
      <c r="M24" s="11" t="n">
        <v>3</v>
      </c>
      <c r="N24" s="11" t="inlineStr">
        <is>
          <t>Stretch</t>
        </is>
      </c>
      <c r="O24" s="11" t="inlineStr">
        <is>
          <t>Financial hard bars clear easily ($6.2B revenue; Berkshire's balance sheet trivially clears the $1B valuation-equivalent bar) and no F1 conflict was found, but Berkshire Hathaway's well-known aversion to sponsorship/marketing spend across its subsidiaries is a real, non-financial reservation on capacity-to-spend, compounded by 2025 earnings softness tied to active business-exit restructuring and a saturated lubricants sponsor category.</t>
        </is>
      </c>
      <c r="P24" s="11" t="inlineStr">
        <is>
          <t>Would need a Berkshire-specific pitch emphasizing hard ROI/technical-partner framing (not brand marketing) given the parent's documented reluctance to fund sports sponsorships; likely a longer sales cycle (est).</t>
        </is>
      </c>
      <c r="Q24" s="11" t="inlineStr">
        <is>
          <t>Berkshire Hathaway subsidiaries have no track record of major sports sponsorship spend — famously decentralized, frugal capital-allocation culture makes internal approval of a new ~$3.5M/yr marketing commitment a real organizational hurdle even though the balance sheet can easily absorb it; 2025 pre-tax earnings down 20.6% YoY with explicit 'restructuring costs related to exiting certain businesses' cited — a caution flag even though the company remains solidly profitable at $6.2B scale</t>
        </is>
      </c>
      <c r="R24" s="11" t="inlineStr">
        <is>
          <t>verified-existing</t>
        </is>
      </c>
      <c r="S24" s="11" t="inlineStr">
        <is>
          <t>2026-09-28</t>
        </is>
      </c>
    </row>
    <row r="25">
      <c r="A25" s="11" t="n">
        <v>22</v>
      </c>
      <c r="B25" s="11" t="n">
        <v>58</v>
      </c>
      <c r="C25" s="11" t="inlineStr">
        <is>
          <t>ROWE Mineralölwerk</t>
        </is>
      </c>
      <c r="D25" s="11" t="inlineStr">
        <is>
          <t>rowe-oil.com</t>
        </is>
      </c>
      <c r="E25" s="11" t="inlineStr">
        <is>
          <t>Worms, Germany</t>
        </is>
      </c>
      <c r="F25" s="11" t="inlineStr">
        <is>
          <t>Private, founder-owned (Germany)</t>
        </is>
      </c>
      <c r="G25" s="11" t="inlineStr">
        <is>
          <t>Racing-heritage lubricants and technical fluids</t>
        </is>
      </c>
      <c r="H25" s="11" t="inlineStr">
        <is>
          <t>201-1k</t>
        </is>
      </c>
      <c r="I25" s="11" t="inlineStr">
        <is>
          <t>$160-195M (est) - extrapolated from a verified ~EUR 120M (2016) annual revenue figure (Die Deutsche Wirtschaft company ranking) grown forward to 2024-2025 scale; no current audited figure found (search Sep 2026)</t>
        </is>
      </c>
      <c r="J25" s="11" t="inlineStr">
        <is>
          <t>N/A - private/founder-owned, no published valuation (passes on revenue alone per family/private-ownership policy)</t>
        </is>
      </c>
      <c r="K25" s="11" t="inlineStr">
        <is>
          <t>N/A - privately held</t>
        </is>
      </c>
      <c r="L25" s="11" t="inlineStr">
        <is>
          <t>meets parameters</t>
        </is>
      </c>
      <c r="M25" s="11" t="n">
        <v>3</v>
      </c>
      <c r="N25" s="11" t="inlineStr">
        <is>
          <t>Stretch</t>
        </is>
      </c>
      <c r="O25" s="11" t="inlineStr">
        <is>
          <t>Hard filters pass on available evidence - no F1 team/series/driver conflicts (current ties are Nürburgring Endurance Series, GT World Challenge Europe, DTM, Britcar - not Formula 1); private/founder ownership with no published valuation passes the valuation bar on revenue alone; headcount ~200-350 sits in the 201-1k band. Real reservation: the only concrete revenue data point is a decade-old (~2016) EUR 120M figure - current-year revenue above $100M is a confident extrapolation, not a confirmed audited number.</t>
        </is>
      </c>
      <c r="P25" s="11" t="inlineStr">
        <is>
          <t>Racing-heritage lubricant brand with an active, winning endurance-racing team - a credible 'proven on track' technical-partner story for a grid team not already locked into a headline lubricant deal.</t>
        </is>
      </c>
      <c r="Q25" s="11" t="inlineStr">
        <is>
          <t>revenue estimate based on an outdated (2016) published figure, extrapolated to present - real reservation on figure currency</t>
        </is>
      </c>
      <c r="R25" s="11" t="inlineStr">
        <is>
          <t>verified-existing</t>
        </is>
      </c>
      <c r="S25" s="11" t="inlineStr">
        <is>
          <t>2026-09-28</t>
        </is>
      </c>
    </row>
    <row r="26">
      <c r="A26" s="11" t="n">
        <v>23</v>
      </c>
      <c r="B26" s="11" t="n">
        <v>52</v>
      </c>
      <c r="C26" s="11" t="inlineStr">
        <is>
          <t>Cromology</t>
        </is>
      </c>
      <c r="D26" s="11" t="inlineStr">
        <is>
          <t>cromology.com</t>
        </is>
      </c>
      <c r="E26" s="11" t="inlineStr">
        <is>
          <t>France</t>
        </is>
      </c>
      <c r="F26" s="11" t="inlineStr">
        <is>
          <t>Wholly-owned subsidiary of DuluxGroup / Nippon Paint Holdings (acquired 2021) - corrected from triage's 'PE-owned'; no PE ownership found</t>
        </is>
      </c>
      <c r="G26" s="11" t="inlineStr">
        <is>
          <t>Decorative paints</t>
        </is>
      </c>
      <c r="H26" s="11" t="inlineStr">
        <is>
          <t>1k-5k</t>
        </is>
      </c>
      <c r="I26" s="11" t="inlineStr">
        <is>
          <t>est. $753.3M (2026 aggregator data) - clears &gt;$100M bar</t>
        </is>
      </c>
      <c r="J26" s="11" t="inlineStr">
        <is>
          <t>parent Nippon Paint Holdings (Tokyo-listed) has a market cap far above $1B - clears valuation bar via parent</t>
        </is>
      </c>
      <c r="K26" s="11" t="inlineStr">
        <is>
          <t>N/A - acquired by Nippon Paint/DuluxGroup, 2021</t>
        </is>
      </c>
      <c r="L26" s="11" t="inlineStr">
        <is>
          <t>meets parameters</t>
        </is>
      </c>
      <c r="M26" s="11" t="n">
        <v>2</v>
      </c>
      <c r="N26" s="11" t="inlineStr">
        <is>
          <t>Stretch</t>
        </is>
      </c>
      <c r="O26" s="11" t="inlineStr">
        <is>
          <t>Hard filters pass (revenue $753.3M; valuation clears $1B via parent Nippon Paint Holdings; no direct F1 sponsorship conflict found for Cromology, DuluxGroup, or Nippon Paint) but fit score is only 2 with a weak mass-market brand angle and a category-adjacency concern (AkzoNobel already supplies coatings technology to McLaren).</t>
        </is>
      </c>
      <c r="P26" s="11" t="inlineStr">
        <is>
          <t>Global color/coatings innovation across Europe - tie decorative-paint weatherproofing and durability technology to a trackside-livery durability story, while noting adjacency risk with AkzoNobel/McLaren.</t>
        </is>
      </c>
      <c r="Q26" s="11" t="inlineStr">
        <is>
          <t>parent: Nippon Paint Holdings / DuluxGroup (large public group, no F1 ties found); ownership corrected from PE-owned (triage) to strategic/corporate-owned since 2021; coatings/paint category adjacency risk (AkzoNobel-McLaren coatings partnership)</t>
        </is>
      </c>
      <c r="R26" s="11" t="inlineStr">
        <is>
          <t>verified-existing</t>
        </is>
      </c>
      <c r="S26" s="11" t="inlineStr">
        <is>
          <t>2026-09-28</t>
        </is>
      </c>
    </row>
    <row r="27">
      <c r="A27" s="11" t="n">
        <v>24</v>
      </c>
      <c r="B27" s="11" t="n">
        <v>52</v>
      </c>
      <c r="C27" s="11" t="inlineStr">
        <is>
          <t>Vanderbilt Chemicals</t>
        </is>
      </c>
      <c r="D27" s="11" t="inlineStr">
        <is>
          <t>vanderbiltchemicals.com</t>
        </is>
      </c>
      <c r="E27" s="11" t="inlineStr">
        <is>
          <t>Norwalk, Connecticut, USA (operations in Connecticut and Kentucky)</t>
        </is>
      </c>
      <c r="F27" s="11" t="inlineStr">
        <is>
          <t>Family/privately held; operating subsidiary of R.T. Vanderbilt Holding Company, Inc. (USA)</t>
        </is>
      </c>
      <c r="G27" s="11" t="inlineStr">
        <is>
          <t>Specialty lubricant and rubber additives</t>
        </is>
      </c>
      <c r="H27" s="11" t="inlineStr">
        <is>
          <t>201-1k</t>
        </is>
      </c>
      <c r="I27" s="11" t="inlineStr">
        <is>
          <t>~$198.6M (est, R.T. Vanderbilt Holding Company parent-level estimate, ZoomInfo) - clears the $100M bar; Vanderbilt Chemicals LLC-specific figure not separately published</t>
        </is>
      </c>
      <c r="J27" s="11" t="inlineStr">
        <is>
          <t>N/A - privately/family-held holding company, no published valuation (passes on revenue alone per family-owned policy)</t>
        </is>
      </c>
      <c r="K27" s="11" t="inlineStr">
        <is>
          <t>N/A - privately held</t>
        </is>
      </c>
      <c r="L27" s="11" t="inlineStr">
        <is>
          <t>meets parameters</t>
        </is>
      </c>
      <c r="M27" s="11" t="n">
        <v>2</v>
      </c>
      <c r="N27" s="11" t="inlineStr">
        <is>
          <t>Stretch</t>
        </is>
      </c>
      <c r="O27" s="11" t="inlineStr">
        <is>
          <t>Hard filters pass on paper - no F1 team/series conflicts found for Vanderbilt Chemicals; revenue (~$198.6M est, parent level) clears the $100M bar; family/private ownership with no published valuation passes the valuation bar on revenue alone; headcount in the 201-1k band. Real reservation: sibling subsidiary Vanderbilt Minerals is in active Chapter 11 bankruptcy (asbestos/talc mass tort, filed Feb 2026) - a material group-level distress and brand-safety risk that clouds the capacity-to-spend picture even though it does not directly implicate the Vanderbilt Chemicals unit's own operations.</t>
        </is>
      </c>
      <c r="P27" s="11" t="inlineStr">
        <is>
          <t>Specialty lubricant-additive chemistry as an 'engineered under the hood' performance story, scoped narrowly to the Vanderbilt Chemicals brand/product line and kept distinct from the Vanderbilt Minerals litigation exposure if pursued.</t>
        </is>
      </c>
      <c r="Q27" s="11" t="inlineStr">
        <is>
          <t>parent: R.T. Vanderbilt Holding Company, Inc.; sibling subsidiary Vanderbilt Minerals, LLC filed Chapter 11 bankruptcy on 16-Feb-2026 over asbestos/talc mass-tort liabilities (estimated $100-500M in liabilities, 1,400+ pending cases) - a serious group-level distress and reputational signal, even though Vanderbilt Chemicals itself is a separate product line</t>
        </is>
      </c>
      <c r="R27" s="11" t="inlineStr">
        <is>
          <t>verified-existing</t>
        </is>
      </c>
      <c r="S27" s="11" t="inlineStr">
        <is>
          <t>2026-09-28</t>
        </is>
      </c>
    </row>
  </sheetData>
  <autoFilter ref="A3:S27"/>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7"/>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Private 5G &amp; Telecom Equipme — existing New-Sectors book, now verified — 4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"17 Private 5G &amp; Telecom Equipme".</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0" t="n">
        <v>1</v>
      </c>
      <c r="B4" s="10" t="n">
        <v>92</v>
      </c>
      <c r="C4" s="10" t="inlineStr">
        <is>
          <t>Starlink (SpaceX)</t>
        </is>
      </c>
      <c r="D4" s="10" t="inlineStr">
        <is>
          <t>starlink.com</t>
        </is>
      </c>
      <c r="E4" s="10" t="inlineStr">
        <is>
          <t>USA</t>
        </is>
      </c>
      <c r="F4" s="10" t="inlineStr">
        <is>
          <t>Public (SpaceX completed IPO June 12, 2026 at $1.77T valuation); Elon Musk remains a major shareholder; no state ownership</t>
        </is>
      </c>
      <c r="G4" s="10" t="inlineStr">
        <is>
          <t>Satellite broadband internet</t>
        </is>
      </c>
      <c r="H4" s="10" t="inlineStr">
        <is>
          <t>10k+</t>
        </is>
      </c>
      <c r="I4" s="10" t="inlineStr">
        <is>
          <t>Starlink segment revenue $11.4B in FY2025 (up ~50% YoY from $7.6B in 2024), reaching a ~$17B annualized run-rate by Q2 2026 on 12M subscribers (per Sacra/ValueAddVC financial breakdowns, reported 2026)</t>
        </is>
      </c>
      <c r="J4" s="10" t="inlineStr">
        <is>
          <t>SpaceX IPO'd June 12, 2026 on public markets at a $1.77 trillion valuation, raising ~$75B (widely reported market data, Sept 2026)</t>
        </is>
      </c>
      <c r="K4" s="10" t="inlineStr">
        <is>
          <t>IPO completed June 12, 2026 (~$75B raised); prior insider tender at $800B valuation, December 2025</t>
        </is>
      </c>
      <c r="L4" s="10" t="inlineStr">
        <is>
          <t>exceeds - mega-brand</t>
        </is>
      </c>
      <c r="M4" s="10" t="n">
        <v>4</v>
      </c>
      <c r="N4" s="10" t="inlineStr">
        <is>
          <t>Yes</t>
        </is>
      </c>
      <c r="O4" s="10" t="inlineStr">
        <is>
          <t>All hard filters pass decisively: revenue ($11.4B FY2025) far exceeds the $100M bar, valuation ($1.77T, June 2026 IPO) far exceeds $1B, headcount 10k+, clearly profitable and growing (SpaceX-wide EBITDA $6.58B in 2025), audience is 12M+ subscribers, no F1 sponsorship conflict found for Starlink or SpaceX (searched Sept 2026), ownership clean. Fit score 4/4.</t>
        </is>
      </c>
      <c r="P4" s="10" t="inlineStr">
        <is>
          <t>Global real-time connectivity story - Starlink's low-latency satellite network mirrors F1's live telemetry, broadcast, and paddock connectivity needs; pursue an 'official connectivity partner' category while riding the high visibility of its 2026 IPO.</t>
        </is>
      </c>
      <c r="Q4" s="10" t="n"/>
      <c r="R4" s="10" t="inlineStr">
        <is>
          <t>verified-existing</t>
        </is>
      </c>
      <c r="S4" s="10" t="inlineStr">
        <is>
          <t>2026-09-28</t>
        </is>
      </c>
    </row>
    <row r="5">
      <c r="A5" s="11" t="n">
        <v>2</v>
      </c>
      <c r="B5" s="11" t="n">
        <v>58</v>
      </c>
      <c r="C5" s="11" t="inlineStr">
        <is>
          <t>Netcracker Technology</t>
        </is>
      </c>
      <c r="D5" s="11" t="inlineStr">
        <is>
          <t>netcracker.com</t>
        </is>
      </c>
      <c r="E5" s="11" t="inlineStr">
        <is>
          <t>USA (Waltham, MA); parent NEC Corporation HQ Tokyo, Japan</t>
        </is>
      </c>
      <c r="F5" s="11" t="inlineStr">
        <is>
          <t>Wholly-owned subsidiary of NEC Corporation (public, Tokyo: 6701)</t>
        </is>
      </c>
      <c r="G5" s="11" t="inlineStr">
        <is>
          <t>Telecom BSS/OSS software for network operators</t>
        </is>
      </c>
      <c r="H5" s="11" t="inlineStr">
        <is>
          <t>5k-10k</t>
        </is>
      </c>
      <c r="I5" s="11" t="inlineStr">
        <is>
          <t>~$2.7B (est, 2025) attributed to Netcracker as NEC's telecom-software subsidiary; not separately audited/disclosed (industry estimate, cited Sept 2026)</t>
        </is>
      </c>
      <c r="J5" s="11" t="inlineStr">
        <is>
          <t>No independent valuation published (wholly-owned NEC subsidiary). Parent NEC Corporation is a public company with market cap well above $1B (Tokyo Stock Exchange, 2026)</t>
        </is>
      </c>
      <c r="K5" s="11" t="inlineStr">
        <is>
          <t>N/A - subsidiary of public parent NEC Corporation; no independent funding history</t>
        </is>
      </c>
      <c r="L5" s="11" t="inlineStr">
        <is>
          <t>meets parameters</t>
        </is>
      </c>
      <c r="M5" s="11" t="n">
        <v>3</v>
      </c>
      <c r="N5" s="11" t="inlineStr">
        <is>
          <t>Stretch</t>
        </is>
      </c>
      <c r="O5" s="11" t="inlineStr">
        <is>
          <t>Hard filters pass: revenue (~$2.7B est via parent's disclosed telecom-software scale) clears the $100M bar, headcount 5k-10k, no F1 conflict found for Netcracker or NEC (searched Sept 2026), ownership clean (NEC is a large public non-sanctioned group). Real reservations: no independently published valuation for the subsidiary itself, and a B2B telecom-operator client base that is broad but not literally 'thousands of customers.'</t>
        </is>
      </c>
      <c r="P5" s="11" t="inlineStr">
        <is>
          <t>Position as the technology/software layer powering global telecom networks - a 'network behind the network' precision/technology story echoing F1's real-time data and telemetry narrative; pitch as an innovation/technology partner rather than a mass-market consumer brand.</t>
        </is>
      </c>
      <c r="Q5" s="11" t="inlineStr">
        <is>
          <t>parent: NEC Corporation (large public group, no F1 sponsorship ties found, searched Sept 2026); no independent valuation (wholly-owned subsidiary); B2B audience concentrated among global telecom operators, likely low hundreds of accounts rather than thousands</t>
        </is>
      </c>
      <c r="R5" s="11" t="inlineStr">
        <is>
          <t>verified-existing</t>
        </is>
      </c>
      <c r="S5" s="11" t="inlineStr">
        <is>
          <t>2026-09-28</t>
        </is>
      </c>
    </row>
    <row r="6">
      <c r="A6" s="11" t="n">
        <v>3</v>
      </c>
      <c r="B6" s="11" t="n">
        <v>58</v>
      </c>
      <c r="C6" s="11" t="inlineStr">
        <is>
          <t>Intracom Telecom</t>
        </is>
      </c>
      <c r="D6" s="11" t="inlineStr">
        <is>
          <t>intracom-telecom.com</t>
        </is>
      </c>
      <c r="E6" s="11" t="inlineStr">
        <is>
          <t>Greece</t>
        </is>
      </c>
      <c r="F6" s="11" t="inlineStr">
        <is>
          <t>Family-owned (Kokkalis family, part of Intracom Holdings), Greece</t>
        </is>
      </c>
      <c r="G6" s="11" t="inlineStr">
        <is>
          <t>Telecom systems/microwave equipment</t>
        </is>
      </c>
      <c r="H6" s="11" t="inlineStr">
        <is>
          <t>1k-5k</t>
        </is>
      </c>
      <c r="I6" s="11" t="inlineStr">
        <is>
          <t>~$133.4M (ZoomInfo aggregator estimate, no fiscal year/date disclosed, accessed Sep 2026) (est)</t>
        </is>
      </c>
      <c r="J6" s="11" t="inlineStr">
        <is>
          <t>N/A — family-owned, no published valuation found (exempt per family-owned rule)</t>
        </is>
      </c>
      <c r="K6" s="11" t="inlineStr">
        <is>
          <t>N/A — no external funding found; family-owned since founding</t>
        </is>
      </c>
      <c r="L6" s="11" t="inlineStr">
        <is>
          <t>meets parameters</t>
        </is>
      </c>
      <c r="M6" s="11" t="n">
        <v>3</v>
      </c>
      <c r="N6" s="11" t="inlineStr">
        <is>
          <t>Stretch</t>
        </is>
      </c>
      <c r="O6" s="11" t="inlineStr">
        <is>
          <t>No F1 conflicts found; family ownership exempts it from the valuation bar; estimated revenue (~$133M) clears the &gt;$100M hard bar, but the only figure found is an undated ZoomInfo aggregator estimate rather than a dated primary source, so the revenue confirmation is thin.</t>
        </is>
      </c>
      <c r="P6" s="11" t="inlineStr">
        <is>
          <t>Position as a 45-year global telecom-systems engineering brand backing the technology/connectivity infrastructure story of Grand Prix broadcast and logistics — open category since telecom equipment is not currently sponsored on the grid (est).</t>
        </is>
      </c>
      <c r="Q6" s="11" t="inlineStr">
        <is>
          <t>revenue figure is an undated third-party aggregator estimate, not a confirmed dated filing</t>
        </is>
      </c>
      <c r="R6" s="11" t="inlineStr">
        <is>
          <t>verified-existing</t>
        </is>
      </c>
      <c r="S6" s="11" t="inlineStr">
        <is>
          <t>2026-09-28</t>
        </is>
      </c>
    </row>
    <row r="7">
      <c r="A7" s="11" t="n">
        <v>4</v>
      </c>
      <c r="B7" s="11" t="n">
        <v>46</v>
      </c>
      <c r="C7" s="11" t="inlineStr">
        <is>
          <t>giffgaff</t>
        </is>
      </c>
      <c r="D7" s="11" t="inlineStr">
        <is>
          <t>giffgaff.com</t>
        </is>
      </c>
      <c r="E7" s="11" t="inlineStr">
        <is>
          <t>United Kingdom</t>
        </is>
      </c>
      <c r="F7" s="11" t="inlineStr">
        <is>
          <t>Wholly-owned flanker brand/subsidiary of Virgin Media O2 (VMO2), a JV between Telefónica and Liberty Global; no current F1 ties found (Telefónica's F1 sponsorships were historical, 1999-2006 Minardi/Renault; the current Spanish GP sponsor is TAG Heuer, not Telefónica)</t>
        </is>
      </c>
      <c r="G7" s="11" t="inlineStr">
        <is>
          <t>MVNO (mobile; recently added broadband via nexfibre/Virgin Media)</t>
        </is>
      </c>
      <c r="H7" s="11" t="inlineStr">
        <is>
          <t>201-1k</t>
        </is>
      </c>
      <c r="I7" s="11" t="inlineStr">
        <is>
          <t>£633.8M / ~$800M (FY2025, Telecompaper)</t>
        </is>
      </c>
      <c r="J7" s="11" t="inlineStr">
        <is>
          <t>N/A - subsidiary/flanker brand of VMO2, no separate published valuation; passes on revenue alone given parent-group scale</t>
        </is>
      </c>
      <c r="K7" s="11" t="inlineStr">
        <is>
          <t>N/A - established subsidiary, not VC-backed</t>
        </is>
      </c>
      <c r="L7" s="11" t="inlineStr">
        <is>
          <t>meets parameters</t>
        </is>
      </c>
      <c r="M7" s="11" t="n">
        <v>1</v>
      </c>
      <c r="N7" s="11" t="inlineStr">
        <is>
          <t>Stretch</t>
        </is>
      </c>
      <c r="O7" s="11" t="inlineStr">
        <is>
          <t>Hard filters pass (revenue £633.8M via parent-scale exemption, no F1 conflict, ownership clean, headcount ~353 employees in band, profitable £44.7M FY2025, broad 4.26M-customer base), but fit score is only 1/4 - single-market UK-only reach and budget/value brand positioning are a real reservation against an F1 sponsorship story.</t>
        </is>
      </c>
      <c r="P7" s="11" t="inlineStr">
        <is>
          <t>Digital-native, community-run brand with a loyal UK fan base - potential second-screen/fan-engagement or youth-digital angle, though constrained by single-market reach and value positioning versus F1's premium global audience.</t>
        </is>
      </c>
      <c r="Q7" s="11" t="inlineStr">
        <is>
          <t>parent: VMO2 (Telefónica UK / Liberty Global JV) - no current F1 ties found</t>
        </is>
      </c>
      <c r="R7" s="11" t="inlineStr">
        <is>
          <t>verified-existing</t>
        </is>
      </c>
      <c r="S7" s="11" t="inlineStr">
        <is>
          <t>2026-09-28</t>
        </is>
      </c>
    </row>
  </sheetData>
  <autoFilter ref="A3:S7"/>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S4"/>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Quantum Computing — existing New-Sectors book, now verified — 1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"18 Quantum Computing".</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1" t="n">
        <v>1</v>
      </c>
      <c r="B4" s="11" t="n">
        <v>58</v>
      </c>
      <c r="C4" s="11" t="inlineStr">
        <is>
          <t>Bluefors</t>
        </is>
      </c>
      <c r="D4" s="11" t="inlineStr">
        <is>
          <t>bluefors.com</t>
        </is>
      </c>
      <c r="E4" s="11" t="inlineStr">
        <is>
          <t>Helsinki, Finland</t>
        </is>
      </c>
      <c r="F4" s="11" t="inlineStr">
        <is>
          <t>Private; majority stake held by DevCo Partners (Nordic mid-market PE firm) since 2021/2022, founders retain a stake</t>
        </is>
      </c>
      <c r="G4" s="11" t="inlineStr">
        <is>
          <t>Dilution refrigerators &amp; cryogenic systems for quantum computers</t>
        </is>
      </c>
      <c r="H4" s="11" t="inlineStr">
        <is>
          <t>201-1k</t>
        </is>
      </c>
      <c r="I4" s="11" t="inlineStr">
        <is>
          <t>~€200M / ~$215M FY2024 (company/press reporting via Owler-DevCo aggregation, 2024-2025), up from ~€100M in 2022 - clears the &gt;$100M hard bar</t>
        </is>
      </c>
      <c r="J4" s="11" t="inlineStr">
        <is>
          <t>Not disclosed - DevCo's 2021/2022 majority-stake deal terms were undisclosed. DevCo is a mid-market Nordic PE firm (targets companies with ~€50-500M revenue); given Bluefors's revenue roughly doubling 2022-2024 as the global market-leading supplier of dilution refrigeration for quantum computing, an EV plausibly &gt;$1B is a reasonable estimate but is unconfirmed (est)</t>
        </is>
      </c>
      <c r="K4" s="11" t="inlineStr">
        <is>
          <t>2021/2022 DevCo Partners majority-stake investment (amount undisclosed); no confirmed capital raise within the past 18 months, but strong revenue growth (~2x in 2 years) and market leadership indicate continued investment/profitability rather than distress</t>
        </is>
      </c>
      <c r="L4" s="11" t="inlineStr">
        <is>
          <t>meets parameters</t>
        </is>
      </c>
      <c r="M4" s="11" t="n">
        <v>3</v>
      </c>
      <c r="N4" s="11" t="inlineStr">
        <is>
          <t>Stretch</t>
        </is>
      </c>
      <c r="O4" s="11" t="inlineStr">
        <is>
          <t>Hard bars mostly clear: revenue ~€200M/$215M FY2024 (well above $100M, roughly doubled since 2022), no F1 team/series/driver tie found for Bluefors or DevCo, headcount ~600-700 (201-1k band), ownership clean (Finnish PE, no state/sanctions issue), fit score 3. Real reservation: no published valuation - owner DevCo is a mid-market PE firm and the &gt;$1B bar can only be estimated from revenue scale/growth, not confirmed -&gt; Stretch.</t>
        </is>
      </c>
      <c r="P4" s="11" t="inlineStr">
        <is>
          <t>Quantum-infrastructure precision story: as the market-leading global supplier of the ultra-cold cryogenic systems every quantum computer depends on, Bluefors offers an unclaimed 'engineering at the edge of physics' angle that maps directly onto F1's performance-and-precision narrative, with no comparable supplier yet in the paddock.</t>
        </is>
      </c>
      <c r="Q4" s="11" t="inlineStr">
        <is>
          <t>PE-owned since 2021/2022 (DevCo Partners, ~4-5 yrs, at/near the 4+ yr threshold); no published valuation (plausibly &gt;$1B given scale/growth, but unconfirmed); customer base concentrated among quantum-computing/research institutions (niche B2B, not mass market)</t>
        </is>
      </c>
      <c r="R4" s="11" t="inlineStr">
        <is>
          <t>verified-existing</t>
        </is>
      </c>
      <c r="S4" s="11" t="inlineStr">
        <is>
          <t>2026-09-28</t>
        </is>
      </c>
    </row>
  </sheetData>
  <autoFilter ref="A3:S4"/>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S9"/>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Pet Care &amp; Nutrition — brand-new sector — 6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"19 Pet Care &amp; Nutrition".</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1" t="n">
        <v>1</v>
      </c>
      <c r="B4" s="11" t="n">
        <v>58</v>
      </c>
      <c r="C4" s="11" t="inlineStr">
        <is>
          <t>Mars Petcare</t>
        </is>
      </c>
      <c r="D4" s="11" t="inlineStr">
        <is>
          <t>mars.com</t>
        </is>
      </c>
      <c r="E4" s="11" t="inlineStr">
        <is>
          <t>McLean, Virginia, USA</t>
        </is>
      </c>
      <c r="F4" s="11" t="inlineStr">
        <is>
          <t>Private, family-owned (Mars family); segment of Mars, Incorporated</t>
        </is>
      </c>
      <c r="G4" s="11" t="inlineStr">
        <is>
          <t>Global pet food, treats and veterinary care (Pedigree, Whiskas, Royal Canin, Banfield Pet Hospital, BluePearl, VCA, Nutro)</t>
        </is>
      </c>
      <c r="H4" s="11" t="inlineStr">
        <is>
          <t>10k+</t>
        </is>
      </c>
      <c r="I4" s="11" t="inlineStr">
        <is>
          <t>~$22B FY2024 segment sales (trade-press aggregation, e.g. PetfoodIndustry.com "Top 20 Pet Food Companies 2024", 2025) (est - Mars is private, no audited segment disclosure)</t>
        </is>
      </c>
      <c r="J4" s="11" t="inlineStr">
        <is>
          <t>Not published; Mars Inc. is a privately held family conglomerate with no disclosed enterprise value (est well &gt;$1B given ~$22B segment revenue alone) - passes on revenue alone under family-owned exception</t>
        </is>
      </c>
      <c r="K4" s="11" t="inlineStr">
        <is>
          <t>N/A - privately held, no external financing</t>
        </is>
      </c>
      <c r="L4" s="11" t="inlineStr">
        <is>
          <t>exceeds - mega-brand</t>
        </is>
      </c>
      <c r="M4" s="11" t="n">
        <v>3</v>
      </c>
      <c r="N4" s="11" t="inlineStr">
        <is>
          <t>Stretch</t>
        </is>
      </c>
      <c r="O4" s="11" t="inlineStr">
        <is>
          <t>Passes all hard filters as read (revenue ~$22B, family-owned with no published valuation per exception, headcount 10k+, strong capacity to spend, mass-market audience, no current F1 tie found for Mars/M&amp;M's) but valuation is entirely unpublished/estimated (real reservation) -&gt; Stretch.</t>
        </is>
      </c>
      <c r="P4" s="11" t="inlineStr">
        <is>
          <t>Lead with Royal Canin's veterinary-science 'precision nutrition' story as a performance-engineering angle, positioned in pet care/nutrition - an open, uncontested category on the 2026 grid.</t>
        </is>
      </c>
      <c r="Q4" s="11" t="inlineStr">
        <is>
          <t>family-owned, no published valuation; all financial figures are trade-press estimates, not audited disclosures</t>
        </is>
      </c>
      <c r="R4" s="11" t="inlineStr">
        <is>
          <t>verified-new</t>
        </is>
      </c>
      <c r="S4" s="11" t="inlineStr">
        <is>
          <t>2026-09-28</t>
        </is>
      </c>
    </row>
    <row r="5">
      <c r="A5" s="11" t="n">
        <v>2</v>
      </c>
      <c r="B5" s="11" t="n">
        <v>58</v>
      </c>
      <c r="C5" s="11" t="inlineStr">
        <is>
          <t>Hill's Pet Nutrition</t>
        </is>
      </c>
      <c r="D5" s="11" t="inlineStr">
        <is>
          <t>hillspet.com</t>
        </is>
      </c>
      <c r="E5" s="11" t="inlineStr">
        <is>
          <t>Topeka, Kansas, USA (parent Colgate-Palmolive, New York, USA)</t>
        </is>
      </c>
      <c r="F5" s="11" t="inlineStr">
        <is>
          <t>Public (parent Colgate-Palmolive Company, NYSE: CL)</t>
        </is>
      </c>
      <c r="G5" s="11" t="inlineStr">
        <is>
          <t>Veterinarian-recommended pet food (Science Diet, Prescription Diet)</t>
        </is>
      </c>
      <c r="H5" s="11" t="inlineStr">
        <is>
          <t>5k-10k</t>
        </is>
      </c>
      <c r="I5" s="11" t="inlineStr">
        <is>
          <t>US$4,483M net sales FY2024, Pet Nutrition segment, up from $4,290M FY2023 (Colgate-Palmolive 10-K FY2024, filed Feb 2025)</t>
        </is>
      </c>
      <c r="J5" s="11" t="inlineStr">
        <is>
          <t>Parent Colgate-Palmolive market cap ~$65-70B (public, NYSE: CL, 2025)</t>
        </is>
      </c>
      <c r="K5" s="11" t="inlineStr">
        <is>
          <t>N/A - public, established parent</t>
        </is>
      </c>
      <c r="L5" s="11" t="inlineStr">
        <is>
          <t>exceeds - mega-brand</t>
        </is>
      </c>
      <c r="M5" s="11" t="n">
        <v>3</v>
      </c>
      <c r="N5" s="11" t="inlineStr">
        <is>
          <t>Stretch</t>
        </is>
      </c>
      <c r="O5" s="11" t="inlineStr">
        <is>
          <t>Passes hard filters (revenue $4.48B FY2024 segment with growing operating profit $806M-&gt;$965M, parent market cap ~$65-70B, no Colgate-Palmolive F1 tie found beyond an unofficial fan petition, mass-market audience) but headcount band is an unverified trade-press estimate -&gt; Stretch.</t>
        </is>
      </c>
      <c r="P5" s="11" t="inlineStr">
        <is>
          <t>Lead with Science Diet/Prescription Diet's veterinary R&amp;D and 'precision nutrition' credentials as a performance-engineering story; pet nutrition remains an open category on the 2026 grid.</t>
        </is>
      </c>
      <c r="Q5" s="11" t="inlineStr">
        <is>
          <t>headcount is a trade-press segment estimate, not independently verified against a primary source; sold primarily through the veterinary channel - marketing budget likely governed by Colgate-Palmolive corporate decisions rather than a standalone brand P&amp;L</t>
        </is>
      </c>
      <c r="R5" s="11" t="inlineStr">
        <is>
          <t>verified-new</t>
        </is>
      </c>
      <c r="S5" s="11" t="inlineStr">
        <is>
          <t>2026-09-28</t>
        </is>
      </c>
    </row>
    <row r="6">
      <c r="A6" s="11" t="n">
        <v>3</v>
      </c>
      <c r="B6" s="11" t="n">
        <v>58</v>
      </c>
      <c r="C6" s="11" t="inlineStr">
        <is>
          <t>Patterson Companies</t>
        </is>
      </c>
      <c r="D6" s="11" t="inlineStr">
        <is>
          <t>pattersoncompanies.com</t>
        </is>
      </c>
      <c r="E6" s="11" t="inlineStr">
        <is>
          <t>Saint Paul, Minnesota, USA</t>
        </is>
      </c>
      <c r="F6" s="11" t="inlineStr">
        <is>
          <t>Private (Patient Square Capital) - taken private in a $4.1B deal completed April 17, 2025; formerly public (NASDAQ: PDCO)</t>
        </is>
      </c>
      <c r="G6" s="11" t="inlineStr">
        <is>
          <t>Animal health products and equipment distribution to veterinary clinics (plus a dental distribution segment)</t>
        </is>
      </c>
      <c r="H6" s="11" t="inlineStr">
        <is>
          <t>5k-10k</t>
        </is>
      </c>
      <c r="I6" s="11" t="inlineStr">
        <is>
          <t>Company-wide net sales ~$4.79B for the nine months ended Jan 25, 2025 (SEC 10-Q FY2025); Animal Health segment alone ~$1.05B in a single quarter (~$4.2B annualized) per FY2024 8-K</t>
        </is>
      </c>
      <c r="J6" s="11" t="inlineStr">
        <is>
          <t>$4.1B take-private acquisition by Patient Square Capital at $31.35/share, completed April 17, 2025 (Patterson Companies/Patient Square Capital press releases; Latham &amp; Watkins deal notice)</t>
        </is>
      </c>
      <c r="K6" s="11" t="inlineStr">
        <is>
          <t>N/A - PE buyout (not a growth raise); deal closed April 2025, ~17 months before this review</t>
        </is>
      </c>
      <c r="L6" s="11" t="inlineStr">
        <is>
          <t>exceeds - mega-brand</t>
        </is>
      </c>
      <c r="M6" s="11" t="n">
        <v>3</v>
      </c>
      <c r="N6" s="11" t="inlineStr">
        <is>
          <t>Stretch</t>
        </is>
      </c>
      <c r="O6" s="11" t="inlineStr">
        <is>
          <t>Hard filters as read all pass (revenue well over $100M on either basis, $4.1B PE valuation, 5k-10k headcount, broad multi-clinic customer base, no known F1 tie) but ownership just changed hands via PE buyout with flat segment profitability, and the F1-conflict check for new owner Patient Square Capital was not independently completed -&gt; Stretch.</t>
        </is>
      </c>
      <c r="P6" s="11" t="inlineStr">
        <is>
          <t>Position Patterson as the precision supply-chain / infrastructure backbone behind veterinary and animal-health performance, leveraging its US/Canada/UK footprint; animal-health distribution is an open category on the grid.</t>
        </is>
      </c>
      <c r="Q6" s="11" t="inlineStr">
        <is>
          <t>ownership changed hands very recently (PE buyout closed April 2025) - new owner's marketing posture and budget authority not yet established; Animal Health segment operating income was roughly flat/slightly down YoY in the 9-month FY2025 window ($87.0M vs prior year, -$1.2M) - not a clear growth story; F1-conflict check for Patterson / Patient Square Capital was not independently searched before the search budget ended; no known tie from general knowledge; revenue figures mix consolidated company-wide (dental + animal health) and animal-health-only segment numbers</t>
        </is>
      </c>
      <c r="R6" s="11" t="inlineStr">
        <is>
          <t>verified-new</t>
        </is>
      </c>
      <c r="S6" s="11" t="inlineStr">
        <is>
          <t>2026-09-28</t>
        </is>
      </c>
    </row>
    <row r="7">
      <c r="A7" s="11" t="n">
        <v>4</v>
      </c>
      <c r="B7" s="11" t="n">
        <v>58</v>
      </c>
      <c r="C7" s="11" t="inlineStr">
        <is>
          <t>Inaba Foods</t>
        </is>
      </c>
      <c r="D7" s="11" t="inlineStr">
        <is>
          <t>inaba-petfood.com</t>
        </is>
      </c>
      <c r="E7" s="11" t="inlineStr">
        <is>
          <t>Fukuyama, Hiroshima, Japan</t>
        </is>
      </c>
      <c r="F7" s="11" t="inlineStr">
        <is>
          <t>Private, family-owned (per input; no contradicting ownership information found via search, retrieved 2026-09).</t>
        </is>
      </c>
      <c r="G7" s="11" t="inlineStr">
        <is>
          <t>Cat treats and food (CIAO brand), dominant in Japan with growing global exports</t>
        </is>
      </c>
      <c r="H7" s="11" t="inlineStr">
        <is>
          <t>1k-5k</t>
        </is>
      </c>
      <c r="I7" s="11" t="inlineStr">
        <is>
          <t>No numeric global figure sourced; company's own site states CIAO is 'the most popular premium cat food brand in Japan, with distribution worldwide' (inaba-ciao.com, retrieved 2026-09), supporting plausible &gt;$100M scale. Only quantified figure found was for the small US subsidiary, Inaba Foods (USA), Inc. - $5.6M revenue, ~58-66 employees (RocketReach/Tracxn, retrieved 2026-09) - not representative of the Japan parent. Input estimate ~$400-600M (est) unconfirmed numerically.</t>
        </is>
      </c>
      <c r="J7" s="11" t="inlineStr">
        <is>
          <t>Private, family-owned, no published valuation (unconfirmed via search, 2026-09).</t>
        </is>
      </c>
      <c r="K7" s="11" t="inlineStr">
        <is>
          <t>N/A - no institutional funding rounds identified; privately held.</t>
        </is>
      </c>
      <c r="L7" s="11" t="inlineStr">
        <is>
          <t>meets parameters</t>
        </is>
      </c>
      <c r="M7" s="11" t="n">
        <v>3</v>
      </c>
      <c r="N7" s="11" t="inlineStr">
        <is>
          <t>Stretch</t>
        </is>
      </c>
      <c r="O7" s="11" t="inlineStr">
        <is>
          <t>Hard bars plausibly pass on a qualitative market-leadership claim (own-site: 'most popular premium cat food brand in Japan, distribution worldwide') rather than a hard sourced number - genuinely uncertain revenue figure; family-owned with no published valuation caps this at Stretch per Track B rule.</t>
        </is>
      </c>
      <c r="P7" s="11" t="inlineStr">
        <is>
          <t>Japan-outbound growth/export story paired with Suzuka GP and Japan's large F1 fanbase - localized CIAO fan activation (est).</t>
        </is>
      </c>
      <c r="Q7" s="11" t="inlineStr">
        <is>
          <t>family-owned; (est) figures unverified for the global/Japan parent - only a small unrepresentative US subsidiary figure was sourced</t>
        </is>
      </c>
      <c r="R7" s="11" t="inlineStr">
        <is>
          <t>verified-new</t>
        </is>
      </c>
      <c r="S7" s="11" t="inlineStr">
        <is>
          <t>2026-09-28</t>
        </is>
      </c>
    </row>
    <row r="8">
      <c r="A8" s="11" t="n">
        <v>5</v>
      </c>
      <c r="B8" s="11" t="n">
        <v>52</v>
      </c>
      <c r="C8" s="11" t="inlineStr">
        <is>
          <t>Rolf C. Hagen Inc.</t>
        </is>
      </c>
      <c r="D8" s="11" t="inlineStr">
        <is>
          <t>hagen.com</t>
        </is>
      </c>
      <c r="E8" s="11" t="inlineStr">
        <is>
          <t>Montreal, Quebec, Canada</t>
        </is>
      </c>
      <c r="F8" s="11" t="inlineStr">
        <is>
          <t>Private, family-owned (Hagen family), founded 1955 (Wikipedia/hagen.com, retrieved 2026-09).</t>
        </is>
      </c>
      <c r="G8" s="11" t="inlineStr">
        <is>
          <t>Global pet products - Fluval aquatics, Nutrience pet food, Living World/Exo Terra small-animal and reptile products</t>
        </is>
      </c>
      <c r="H8" s="11" t="inlineStr">
        <is>
          <t>1k-5k</t>
        </is>
      </c>
      <c r="I8" s="11" t="inlineStr">
        <is>
          <t>No precise figure confirmed. Small-business data aggregators show $39.7M-$96.4M (Kona Equity 2024 / Owler-style estimate, retrieved 2026-09), but hagen.com and trade press (Petage, retrieved 2026-09) describe the group as 'one of the world's largest privately owned pet product manufacturers and distributors' - a qualitative claim supporting a much larger scale than the small-biz aggregator numbers. Input estimate ~$600-800M (est) unconfirmed numerically.</t>
        </is>
      </c>
      <c r="J8" s="11" t="inlineStr">
        <is>
          <t>Private, family-owned (Hagen family), no published valuation (unconfirmed via search, 2026-09).</t>
        </is>
      </c>
      <c r="K8" s="11" t="inlineStr">
        <is>
          <t>N/A - no institutional funding rounds identified; privately held since 1955.</t>
        </is>
      </c>
      <c r="L8" s="11" t="inlineStr">
        <is>
          <t>meets parameters</t>
        </is>
      </c>
      <c r="M8" s="11" t="n">
        <v>2</v>
      </c>
      <c r="N8" s="11" t="inlineStr">
        <is>
          <t>Stretch</t>
        </is>
      </c>
      <c r="O8" s="11" t="inlineStr">
        <is>
          <t>Hard bars plausibly pass on a strong qualitative scale claim ('world's largest privately owned pet product manufacturer') rather than a confirmed number; genuinely uncertain revenue and headcount figures; family-owned with no published valuation caps this at Stretch per Track B rule. fit_score of 2 with weak buyer/brand-story alignment reinforces the Stretch cap.</t>
        </is>
      </c>
      <c r="P8" s="11" t="inlineStr">
        <is>
          <t>Fluval's aquatics filtration/engineering pedigree as a 'precision technology' angle tied to a mid-grid team's engineering story (est).</t>
        </is>
      </c>
      <c r="Q8" s="11" t="inlineStr">
        <is>
          <t>family-owned, no published valuation; revenue estimate uncertain - small-biz aggregator figures ($40-96M) conflict with 'world's largest privately owned' description; headcount figure of 270 found for one entity/HQ appears to undercount the global group</t>
        </is>
      </c>
      <c r="R8" s="11" t="inlineStr">
        <is>
          <t>verified-new</t>
        </is>
      </c>
      <c r="S8" s="11" t="inlineStr">
        <is>
          <t>2026-09-28</t>
        </is>
      </c>
    </row>
    <row r="9">
      <c r="A9" s="11" t="n">
        <v>6</v>
      </c>
      <c r="B9" s="11" t="n">
        <v>52</v>
      </c>
      <c r="C9" s="11" t="inlineStr">
        <is>
          <t>Aller Petfood Group</t>
        </is>
      </c>
      <c r="D9" s="11" t="inlineStr">
        <is>
          <t>allerpetfood.com</t>
        </is>
      </c>
      <c r="E9" s="11" t="inlineStr">
        <is>
          <t>Christiansfeld, Denmark</t>
        </is>
      </c>
      <c r="F9" s="11" t="inlineStr">
        <is>
          <t>Ownership correction: private, family-owned, managed by the 4th generation of the Bylling family since 1921 (petfoodindustry.com/aller-petfood.com, retrieved 2026-09). Search found NO ownership link to Axcel or any PE firm, contradicting the input's 'PE-owned (Axcel, est)' guess.</t>
        </is>
      </c>
      <c r="G9" s="11" t="inlineStr">
        <is>
          <t>Private-label pet food manufacturing for European retailers</t>
        </is>
      </c>
      <c r="H9" s="11" t="inlineStr">
        <is>
          <t>201-1k</t>
        </is>
      </c>
      <c r="I9" s="11" t="inlineStr">
        <is>
          <t>No numeric figure sourced via search (2026-09); company is profiled on PetfoodIndustry.com's list of top pet food companies, a signal of meaningful industry scale, but no financials are published. Input estimate ~$350-450M (est) unconfirmed numerically.</t>
        </is>
      </c>
      <c r="J9" s="11" t="inlineStr">
        <is>
          <t>Private, family-owned (Bylling family), no published valuation (unconfirmed via search, 2026-09).</t>
        </is>
      </c>
      <c r="K9" s="11" t="inlineStr">
        <is>
          <t>N/A - no institutional funding rounds identified; family-owned since 1921.</t>
        </is>
      </c>
      <c r="L9" s="11" t="inlineStr">
        <is>
          <t>meets parameters</t>
        </is>
      </c>
      <c r="M9" s="11" t="n">
        <v>2</v>
      </c>
      <c r="N9" s="11" t="inlineStr">
        <is>
          <t>Stretch</t>
        </is>
      </c>
      <c r="O9" s="11" t="inlineStr">
        <is>
          <t>Revenue passes only on a qualitative industry-ranking signal, not a sourced number; family-owned with no published valuation caps this at Stretch per Track B rule. Weak fit (no consumer-facing brand, B2B private-label model) is a further reservation.</t>
        </is>
      </c>
      <c r="P9" s="11" t="inlineStr">
        <is>
          <t>Weak angle given private-label/B2B nature; if pursued, would need to lead with the Bylling family's century-long food-safety/quality heritage rather than a consumer brand story (est).</t>
        </is>
      </c>
      <c r="Q9" s="11" t="inlineStr">
        <is>
          <t>ownership corrected: family-owned (Bylling family), no confirmed PE/Axcel link; no published valuation; revenue unverified numerically; possible customer-concentration risk as a private-label supplier to a limited number of major European retail chains - not confirmed either way</t>
        </is>
      </c>
      <c r="R9" s="11" t="inlineStr">
        <is>
          <t>verified-new</t>
        </is>
      </c>
      <c r="S9" s="11" t="inlineStr">
        <is>
          <t>2026-09-28</t>
        </is>
      </c>
    </row>
  </sheetData>
  <autoFilter ref="A3:S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S9"/>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Fitness, Sports Nutrition &amp; Recovery — brand-new sector — 6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"20 Fitness, Sports Nutrition &amp; ".</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1" t="n">
        <v>1</v>
      </c>
      <c r="B4" s="11" t="n">
        <v>64</v>
      </c>
      <c r="C4" s="11" t="inlineStr">
        <is>
          <t>Orangetheory Fitness (Self Esteem Brands)</t>
        </is>
      </c>
      <c r="D4" s="11" t="inlineStr">
        <is>
          <t>orangetheory.com</t>
        </is>
      </c>
      <c r="E4" s="11" t="inlineStr">
        <is>
          <t>Boca Raton, Florida, USA</t>
        </is>
      </c>
      <c r="F4" s="11" t="inlineStr">
        <is>
          <t>PE-owned (Roark Capital, via Purpose Brands LLC, formed by the April 2024 merger of Self Esteem Brands and Orangetheory Fitness)</t>
        </is>
      </c>
      <c r="G4" s="11" t="inlineStr">
        <is>
          <t>Boutique group-fitness franchise (Orangetheory, heart-rate-based interval training) under Purpose Brands parent alongside Anytime Fitness</t>
        </is>
      </c>
      <c r="H4" s="11" t="inlineStr">
        <is>
          <t>1k-5k (est; ~2,000+ corporate staff per prior reporting, unconfirmed for the merged Purpose Brands entity)</t>
        </is>
      </c>
      <c r="I4" s="11" t="inlineStr">
        <is>
          <t>Franchisor-level revenue not independently disclosed; the combined system (Purpose Brands, formed April 2024) is described as a '$3.5-3.7B business' by system-wide scale, not GAAP revenue (PRNewswire, 26 Feb 2024; Club Solutions Magazine, Mar 2025) - actual company revenue unconfirmed (est $200-300M per prior estimates)</t>
        </is>
      </c>
      <c r="J4" s="11" t="inlineStr">
        <is>
          <t>Roark Capital-backed; no independent post-money valuation found - the merger announcement described the combined entity as a '$3.5 billion business' (PRNewswire, 26 Feb 2024), a system-scale figure rather than a confirmed valuation</t>
        </is>
      </c>
      <c r="K4" s="11" t="inlineStr">
        <is>
          <t>April 2024 - completed merger of Self Esteem Brands and Orangetheory Fitness into Purpose Brands LLC (Roark Capital-backed), Tom Leverton named CEO (Club Solutions Magazine, Nov 2024)</t>
        </is>
      </c>
      <c r="L4" s="11" t="inlineStr">
        <is>
          <t>exceeds - mega-brand (est, based on the 7,000+ locations / 6M members claim)</t>
        </is>
      </c>
      <c r="M4" s="11" t="n">
        <v>4</v>
      </c>
      <c r="N4" s="11" t="inlineStr">
        <is>
          <t>Stretch</t>
        </is>
      </c>
      <c r="O4" s="11" t="inlineStr">
        <is>
          <t>Likely passes hard filters on scale (7,000+ locations, 6M members across 50+ countries, Roark Capital-backed) but true franchisor revenue and a confirmed post-money valuation could not be independently verified - flagged Stretch on uncertain figures; no F1 tie found.</t>
        </is>
      </c>
      <c r="P4" s="11" t="inlineStr">
        <is>
          <t>Heart-rate-zone, data-driven training format pairs naturally with F1 telemetry/performance-data storytelling; global footprint supports multi-market race-weekend activations.</t>
        </is>
      </c>
      <c r="Q4" s="11" t="inlineStr">
        <is>
          <t>PE-owned (Roark Capital); Franchisor-level revenue and true valuation are not independently confirmed - system-wide sales/scale figures used as proxy (est)</t>
        </is>
      </c>
      <c r="R4" s="11" t="inlineStr">
        <is>
          <t>verified-new</t>
        </is>
      </c>
      <c r="S4" s="11" t="inlineStr">
        <is>
          <t>2026-09-28</t>
        </is>
      </c>
    </row>
    <row r="5">
      <c r="A5" s="11" t="n">
        <v>2</v>
      </c>
      <c r="B5" s="11" t="n">
        <v>58</v>
      </c>
      <c r="C5" s="11" t="inlineStr">
        <is>
          <t>Glanbia plc</t>
        </is>
      </c>
      <c r="D5" s="11" t="inlineStr">
        <is>
          <t>glanbia.com</t>
        </is>
      </c>
      <c r="E5" s="11" t="inlineStr">
        <is>
          <t>Kilkenny, Ireland</t>
        </is>
      </c>
      <c r="F5" s="11" t="inlineStr">
        <is>
          <t>Public (Euronext Dublin &amp; LSE: GLB/GL9)</t>
        </is>
      </c>
      <c r="G5" s="11" t="inlineStr">
        <is>
          <t>Sports nutrition brands (Optimum Nutrition, BSN, Isopure) and performance-nutrition ingredients</t>
        </is>
      </c>
      <c r="H5" s="11" t="inlineStr">
        <is>
          <t>5k-10k (est; ~7,000-8,000 employees per company reporting)</t>
        </is>
      </c>
      <c r="I5" s="11" t="inlineStr">
        <is>
          <t>$3.9B FY2025 revenue, +2.8% reported YoY (Glanbia Full Year 2025 Results, glanbia.com, reported 25 Feb 2026)</t>
        </is>
      </c>
      <c r="J5" s="11" t="inlineStr">
        <is>
          <t>Public; market cap ~€4.7-5.1B as of Sept 2026 (Euronext Dublin: GL9; stockanalysis.com/investing.com, Sept 2026)</t>
        </is>
      </c>
      <c r="K5" s="11" t="inlineStr">
        <is>
          <t>N/A - public company; FY2025 final dividend raised total payout 10% to 42.87c/share (glanbia.com, 25 Feb 2026)</t>
        </is>
      </c>
      <c r="L5" s="11" t="inlineStr">
        <is>
          <t>exceeds - mega-brand</t>
        </is>
      </c>
      <c r="M5" s="11" t="n">
        <v>3</v>
      </c>
      <c r="N5" s="11" t="inlineStr">
        <is>
          <t>Stretch</t>
        </is>
      </c>
      <c r="O5" s="11" t="inlineStr">
        <is>
          <t>All hard filters pass: $3.9B FY25 revenue and ~€5B market cap (both public-verified), 5k-10k employees, profitable with rising dividend (not distressed), global mass-retail customer base, no F1 sponsorship tie found for Glanbia/Optimum Nutrition, public Irish ownership with no state/sanctions issue; fit_score 3.</t>
        </is>
      </c>
      <c r="P5" s="11" t="inlineStr">
        <is>
          <t>Sports-nutrition/supplements is an open category on the 2026 grid - Optimum Nutrition could anchor a 'fuel for performance' partnership tied to a team's pre-season training content.</t>
        </is>
      </c>
      <c r="Q5" s="11" t="inlineStr">
        <is>
          <t>EBITDA before exceptionals down 9.4% cc YoY to $499.1M on input-cost inflation (Glanbia FY2025 Results, 25 Feb 2026) - margin pressure, though still profitable with dividend up 10%; F1-conflict search not individually run (budget) - re-check before outreach</t>
        </is>
      </c>
      <c r="R5" s="11" t="inlineStr">
        <is>
          <t>verified-new</t>
        </is>
      </c>
      <c r="S5" s="11" t="inlineStr">
        <is>
          <t>2026-09-28</t>
        </is>
      </c>
    </row>
    <row r="6">
      <c r="A6" s="11" t="n">
        <v>3</v>
      </c>
      <c r="B6" s="11" t="n">
        <v>58</v>
      </c>
      <c r="C6" s="11" t="inlineStr">
        <is>
          <t>David Lloyd Leisure</t>
        </is>
      </c>
      <c r="D6" s="11" t="inlineStr">
        <is>
          <t>davidlloyd.co.uk</t>
        </is>
      </c>
      <c r="E6" s="11" t="inlineStr">
        <is>
          <t>Hatfield, UK</t>
        </is>
      </c>
      <c r="F6" s="11" t="inlineStr">
        <is>
          <t>PE-owned (TDR Capital since 2013, now held via the TDR Capital Titan continuation vehicle as of Nov 2025)</t>
        </is>
      </c>
      <c r="G6" s="11" t="inlineStr">
        <is>
          <t>Premium health-club and racquet-sports clubs across UK/Continental Europe</t>
        </is>
      </c>
      <c r="H6" s="11" t="inlineStr">
        <is>
          <t>10k+ (est; unconfirmed, inferred from 134 clubs and 810,000+ members)</t>
        </is>
      </c>
      <c r="I6" s="11" t="inlineStr">
        <is>
          <t>£860.7M FY2024, up from £756.3m FY2023, called a 'record-breaking year' (Insider/Leisure Opportunities reporting on David Lloyd FY2024 results)</t>
        </is>
      </c>
      <c r="J6" s="11" t="inlineStr">
        <is>
          <t>~£2B (~$2.71B) per Financial Times reporting, via the 6 Nov 2025 sale of TDR Capital III's stake to new continuation fund 'TDR Capital Titan' (tdrcapital.com, 6 Nov 2025; globalbankingandfinance.com)</t>
        </is>
      </c>
      <c r="K6" s="11" t="inlineStr">
        <is>
          <t>6 Nov 2025 - TDR Capital III sold its interest to the new continuation fund TDR Capital Titan, implying a ~£2B valuation (tdrcapital.com)</t>
        </is>
      </c>
      <c r="L6" s="11" t="inlineStr">
        <is>
          <t>exceeds - mega-brand</t>
        </is>
      </c>
      <c r="M6" s="11" t="n">
        <v>3</v>
      </c>
      <c r="N6" s="11" t="inlineStr">
        <is>
          <t>Stretch</t>
        </is>
      </c>
      <c r="O6" s="11" t="inlineStr">
        <is>
          <t>Hard filters pass (£860.7M FY24 revenue, ~£2B valuation via the Nov 2025 continuation-fund transaction, 810k+ members, profitable/growing, no F1 tie) but flagged Stretch for PE ownership exceeding the 4-year threshold (TDR Capital since 2013).</t>
        </is>
      </c>
      <c r="P6" s="11" t="inlineStr">
        <is>
          <t>810k+ pan-European premium members support on-site fan activations and a 'performance &amp; recovery' partnership around race-weekend training content.</t>
        </is>
      </c>
      <c r="Q6" s="11" t="inlineStr">
        <is>
          <t>PE-owned 12+ years (TDR Capital since 2013, now via TDR Capital Titan continuation vehicle, Nov 2025) - exceeds the 4-year PE-duration threshold</t>
        </is>
      </c>
      <c r="R6" s="11" t="inlineStr">
        <is>
          <t>verified-new</t>
        </is>
      </c>
      <c r="S6" s="11" t="inlineStr">
        <is>
          <t>2026-09-28</t>
        </is>
      </c>
    </row>
    <row r="7">
      <c r="A7" s="11" t="n">
        <v>4</v>
      </c>
      <c r="B7" s="11" t="n">
        <v>52</v>
      </c>
      <c r="C7" s="11" t="inlineStr">
        <is>
          <t>GHOST Lifestyle</t>
        </is>
      </c>
      <c r="D7" s="11" t="inlineStr">
        <is>
          <t>ghostlifestyle.com</t>
        </is>
      </c>
      <c r="E7" s="11" t="inlineStr">
        <is>
          <t>Chicago, Illinois, USA</t>
        </is>
      </c>
      <c r="F7" s="11" t="inlineStr">
        <is>
          <t>Majority-owned by Keurig Dr Pepper (public, NASDAQ: KDP) since the Dec 2024 close (60% stake); founders retain 40%, to be fully acquired in 2028</t>
        </is>
      </c>
      <c r="G7" s="11" t="inlineStr">
        <is>
          <t>Sports-nutrition supplements and energy drinks (GHOST Energy)</t>
        </is>
      </c>
      <c r="H7" s="11" t="inlineStr">
        <is>
          <t>201-1k (est; prior estimate '200+', unconfirmed by an independent source)</t>
        </is>
      </c>
      <c r="I7" s="11" t="inlineStr">
        <is>
          <t>Not independently disclosed; company states net sales 'more than quadrupled over the past three years' through 2024 (Keurig Dr Pepper acquisition announcement, news.keurigdrpepper.com, 24 Oct 2024) - implies sizable revenue but no absolute figure confirmed (est)</t>
        </is>
      </c>
      <c r="J7" s="11" t="inlineStr">
        <is>
          <t>~$1.665B implied enterprise value: Keurig Dr Pepper agreed to pay $999M for a 60% stake (announced 23 Oct 2024, closed Dec 2024), with the remaining 40% to be purchased in 2028 (news.keurigdrpepper.com; wfaa.com, Oct 2024)</t>
        </is>
      </c>
      <c r="K7" s="11" t="inlineStr">
        <is>
          <t>23 Oct 2024 - Keurig Dr Pepper agreed to acquire 60% of GHOST for $999M (closed Dec 2024); ABI's prior distribution rights were terminated for a $225M payment (news.keurigdrpepper.com)</t>
        </is>
      </c>
      <c r="L7" s="11" t="inlineStr">
        <is>
          <t>meets parameters</t>
        </is>
      </c>
      <c r="M7" s="11" t="n">
        <v>2</v>
      </c>
      <c r="N7" s="11" t="inlineStr">
        <is>
          <t>Stretch</t>
        </is>
      </c>
      <c r="O7" s="11" t="inlineStr">
        <is>
          <t>Financial scale is plausible (implied ~$1.665B enterprise value via the Oct/Dec 2024 KDP deal; KDP-backed capacity is strong; no F1 tie found for GHOST or KDP) but standalone revenue isn't independently disclosed and fit is thin (score 2): largely US-market, younger buyer base, and its energy-drink line overlaps with Red Bull's F1 dominance.</t>
        </is>
      </c>
      <c r="P7" s="11" t="inlineStr">
        <is>
          <t>Position around the core protein/sports-nutrition range (not the energy-drink line) to avoid Red Bull overlap - e.g., a 'recovery and performance fuel' partnership leveraging KDP's expanded distribution.</t>
        </is>
      </c>
      <c r="Q7" s="11" t="inlineStr">
        <is>
          <t>Valuation is transaction/M&amp;A-based (KDP acquisition), not an independent third-party valuation; Revenue not independently disclosed - estimated only from growth commentary (est); GHOST Energy line overlaps with Red Bull's existing dominant F1 energy-drink presence</t>
        </is>
      </c>
      <c r="R7" s="11" t="inlineStr">
        <is>
          <t>verified-new</t>
        </is>
      </c>
      <c r="S7" s="11" t="inlineStr">
        <is>
          <t>2026-09-28</t>
        </is>
      </c>
    </row>
    <row r="8">
      <c r="A8" s="11" t="n">
        <v>5</v>
      </c>
      <c r="B8" s="11" t="n">
        <v>46</v>
      </c>
      <c r="C8" s="11" t="inlineStr">
        <is>
          <t>Fitness International LLC (LA Fitness)</t>
        </is>
      </c>
      <c r="D8" s="11" t="inlineStr">
        <is>
          <t>lafitness.com</t>
        </is>
      </c>
      <c r="E8" s="11" t="inlineStr">
        <is>
          <t>Irvine, California, USA</t>
        </is>
      </c>
      <c r="F8" s="11" t="inlineStr">
        <is>
          <t>Private, founder-owned (Chin Yol Yi / Louis Welch)</t>
        </is>
      </c>
      <c r="G8" s="11" t="inlineStr">
        <is>
          <t>Health-club chain - LA Fitness, Esporta Fitness (UK, acquired 2021)</t>
        </is>
      </c>
      <c r="H8" s="11" t="inlineStr">
        <is>
          <t>10k+ (est; prior estimate ~30,000+, unconfirmed)</t>
        </is>
      </c>
      <c r="I8" s="11" t="inlineStr">
        <is>
          <t>~$1.4B (third-party estimate, Owler/Kona Equity) - not an official disclosed figure since the company is private</t>
        </is>
      </c>
      <c r="J8" s="11" t="inlineStr">
        <is>
          <t>Private, founder-owned - no published valuation found; treated as passing on revenue alone per the founder/closely-held-ownership exception, capped at Stretch</t>
        </is>
      </c>
      <c r="K8" s="11" t="inlineStr">
        <is>
          <t>N/A - privately founder-owned; acquired UK's Esporta Fitness chain in 2021 (est, prior reported deal)</t>
        </is>
      </c>
      <c r="L8" s="11" t="inlineStr">
        <is>
          <t>exceeds - mega-brand</t>
        </is>
      </c>
      <c r="M8" s="11" t="n">
        <v>1</v>
      </c>
      <c r="N8" s="11" t="inlineStr">
        <is>
          <t>Stretch</t>
        </is>
      </c>
      <c r="O8" s="11" t="inlineStr">
        <is>
          <t>Hard filters plausibly pass (~$1.4B estimated revenue, 10k+ estimated employees, millions of members, no F1 tie, founder-owned with no state/sanctions issue) but valuation is unpublished (capped at Stretch per policy) and fit is weak (score 1): value-market positioning and only two confirmed operating countries.</t>
        </is>
      </c>
      <c r="P8" s="11" t="inlineStr">
        <is>
          <t>UK footprint via Esporta Fitness could support a British Grand Prix fan-engagement or training-day tie-in, though the value-gym positioning is a weaker match than a premium fitness brand.</t>
        </is>
      </c>
      <c r="Q8" s="11" t="inlineStr">
        <is>
          <t>No published valuation - founder-owned private company; Revenue figures are third-party estimates (Owler/Kona Equity), not disclosed financials</t>
        </is>
      </c>
      <c r="R8" s="11" t="inlineStr">
        <is>
          <t>verified-new</t>
        </is>
      </c>
      <c r="S8" s="11" t="inlineStr">
        <is>
          <t>2026-09-28</t>
        </is>
      </c>
    </row>
    <row r="9">
      <c r="A9" s="11" t="n">
        <v>6</v>
      </c>
      <c r="B9" s="11" t="n">
        <v>46</v>
      </c>
      <c r="C9" s="11" t="inlineStr">
        <is>
          <t>EOS Fitness</t>
        </is>
      </c>
      <c r="D9" s="11" t="inlineStr">
        <is>
          <t>eosfitness.com</t>
        </is>
      </c>
      <c r="E9" s="11" t="inlineStr">
        <is>
          <t>Phoenix, Arizona, USA</t>
        </is>
      </c>
      <c r="F9" s="11" t="inlineStr">
        <is>
          <t>PE-owned (Bruckmann, Rosser, Sherrill &amp; Co. / BRS &amp; Co., since 2015)</t>
        </is>
      </c>
      <c r="G9" s="11" t="inlineStr">
        <is>
          <t>Value health-club chain (US Southwest/Southeast)</t>
        </is>
      </c>
      <c r="H9" s="11" t="inlineStr">
        <is>
          <t>1k-5k (est; prior estimate ~3,000+, unconfirmed)</t>
        </is>
      </c>
      <c r="I9" s="11" t="inlineStr">
        <is>
          <t>Not independently confirmed; third-party estimate ~$200-300M (est) across 175+ corporate-owned clubs</t>
        </is>
      </c>
      <c r="J9" s="11" t="inlineStr">
        <is>
          <t>~$1B including debt, per an April 2025 report that owner BRS &amp; Co was exploring a sale of EOS Fitness (Private Equity Wire/PE Insights, Apr 2025) - an unclosed sale-process estimate, not a confirmed transaction</t>
        </is>
      </c>
      <c r="K9" s="11" t="inlineStr">
        <is>
          <t>Apr 2025 - BRS &amp; Co reported exploring a sale of EOS Fitness valuing it at ~$1B including debt (Private Equity Wire); no closed transaction found</t>
        </is>
      </c>
      <c r="L9" s="11" t="inlineStr">
        <is>
          <t>meets parameters (est)</t>
        </is>
      </c>
      <c r="M9" s="11" t="n">
        <v>1</v>
      </c>
      <c r="N9" s="11" t="inlineStr">
        <is>
          <t>Stretch</t>
        </is>
      </c>
      <c r="O9" s="11" t="inlineStr">
        <is>
          <t>Hard filters plausibly pass (175+ corporate clubs, an in-process ~$1B sale valuation as of Apr 2025, no F1 tie, no distress signals) but the valuation is an unclosed sale-process estimate rather than a confirmed transaction, revenue isn't independently confirmed, and the firm is PE-owned 10+ years - flagged Stretch on uncertain figures and PE duration.</t>
        </is>
      </c>
      <c r="P9" s="11" t="inlineStr">
        <is>
          <t>US-only Southwest/Southeast footprint (incl. FL, NV) could support activation tied to the Miami or Las Vegas Grand Prix, though international reach and premium positioning are limited.</t>
        </is>
      </c>
      <c r="Q9" s="11" t="inlineStr">
        <is>
          <t>PE-owned 10+ years (BRS &amp; Co, since 2015) - exceeds the 4-year PE-duration threshold; Valuation is an unclosed sale-process estimate (Apr 2025), not a confirmed transaction; Revenue not independently confirmed</t>
        </is>
      </c>
      <c r="R9" s="11" t="inlineStr">
        <is>
          <t>verified-new</t>
        </is>
      </c>
      <c r="S9" s="11" t="inlineStr">
        <is>
          <t>2026-09-28</t>
        </is>
      </c>
    </row>
  </sheetData>
  <autoFilter ref="A3:S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S7"/>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Watches &amp; Jewellery — brand-new sector — 4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"21 Watches &amp; Jewellery".</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1" t="n">
        <v>1</v>
      </c>
      <c r="B4" s="11" t="n">
        <v>58</v>
      </c>
      <c r="C4" s="11" t="inlineStr">
        <is>
          <t>Vivara Participações S.A.</t>
        </is>
      </c>
      <c r="D4" s="11" t="inlineStr">
        <is>
          <t>vivara.com.br</t>
        </is>
      </c>
      <c r="E4" s="11" t="inlineStr">
        <is>
          <t>São Paulo, Brazil</t>
        </is>
      </c>
      <c r="F4" s="11" t="inlineStr">
        <is>
          <t>Public (B3: VIVA3)</t>
        </is>
      </c>
      <c r="G4" s="11" t="inlineStr">
        <is>
          <t>Jewelry, watches and accessories retail - largest jewelry chain in Latin America</t>
        </is>
      </c>
      <c r="H4" s="11" t="inlineStr">
        <is>
          <t>1k-5k (~4,200 employees, Oct 2025 est., LeadIQ)</t>
        </is>
      </c>
      <c r="I4" s="11" t="inlineStr">
        <is>
          <t>R$2.58B (~US$450-490M) FY2024, with net profit growth of +77% in 2024 (company FY2024 results)</t>
        </is>
      </c>
      <c r="J4" s="11" t="inlineStr">
        <is>
          <t>Market cap ~R$5.82B (~US$1.05-1.08B) as of Sept 2026 (Yahoo Finance / marketcapof.com) - right at the &gt;$1B hard-bar line</t>
        </is>
      </c>
      <c r="K4" s="11" t="inlineStr">
        <is>
          <t>N/A (public company)</t>
        </is>
      </c>
      <c r="L4" s="11" t="inlineStr">
        <is>
          <t>meets parameters</t>
        </is>
      </c>
      <c r="M4" s="11" t="n">
        <v>3</v>
      </c>
      <c r="N4" s="11" t="inlineStr">
        <is>
          <t>Stretch</t>
        </is>
      </c>
      <c r="O4" s="11" t="inlineStr">
        <is>
          <t>Passes all hard filters (revenue, headcount 1k-5k, public/non-sovereign ownership, no F1 conflict found, retail-chain audience) but valuation is a thin-margin pass - market cap sits right around the $1B line (~US$1.05-1.08B) and could move either way with the stock.</t>
        </is>
      </c>
      <c r="P4" s="11" t="inlineStr">
        <is>
          <t>LatAm growth-market story: F1's push into Brazil (São Paulo GP) paired with Vivara's position as the region's dominant jewelry/watch retailer and its recent strong profit growth - open category, no existing grid jewelry sponsor.</t>
        </is>
      </c>
      <c r="Q4" s="11" t="inlineStr">
        <is>
          <t>valuation sits right at the $1B threshold (~$1.05-1.08B) and could swing below it with the share price; primarily Brazil/LatAm footprint - broader multi-market presence unconfirmed</t>
        </is>
      </c>
      <c r="R4" s="11" t="inlineStr">
        <is>
          <t>verified-new</t>
        </is>
      </c>
      <c r="S4" s="11" t="inlineStr">
        <is>
          <t>2026-09-28</t>
        </is>
      </c>
    </row>
    <row r="5">
      <c r="A5" s="11" t="n">
        <v>2</v>
      </c>
      <c r="B5" s="11" t="n">
        <v>58</v>
      </c>
      <c r="C5" s="11" t="inlineStr">
        <is>
          <t>Altınbaş Holding</t>
        </is>
      </c>
      <c r="D5" s="11" t="inlineStr">
        <is>
          <t>altinbas.com</t>
        </is>
      </c>
      <c r="E5" s="11" t="inlineStr">
        <is>
          <t>Istanbul, Turkey</t>
        </is>
      </c>
      <c r="F5" s="11" t="inlineStr">
        <is>
          <t>Private, family-owned (Altınbaş family), founded 1950s by Mehmet Altınbaş, 30+ companies across energy/finance/jewelry/logistics (altinbasholding.com, retrieved 2026-09). No state or sanctions ties found.</t>
        </is>
      </c>
      <c r="G5" s="11" t="inlineStr">
        <is>
          <t>Diversified holding with a major jewelry division (Altınbaş, Assos, Ellda, Era, ONSA, Alstone brands) plus energy, finance and logistics</t>
        </is>
      </c>
      <c r="H5" s="11" t="inlineStr">
        <is>
          <t>1k-5k</t>
        </is>
      </c>
      <c r="I5" s="11" t="inlineStr">
        <is>
          <t>No consolidated revenue figure found via search (2026-09). Jewelry division alone employs 'nearly 1000' (altinbas.us, retrieved 2026-09); one differently-named jewelry entity (Altınbaş Karagöz Kuyumculuk) shows $25-50M (ZoomInfo) but appears to be a distinct, smaller company, not the flagship holding. Input estimate 'group revenue likely &gt;$1B given scale' (est) is unconfirmed numerically but plausible given the 30+ company, multi-industry footprint (energy incl. Alpet Turkey, finance, jewelry, logistics).</t>
        </is>
      </c>
      <c r="J5" s="11" t="inlineStr">
        <is>
          <t>Private, family-owned, no published valuation (unconfirmed via search, 2026-09).</t>
        </is>
      </c>
      <c r="K5" s="11" t="inlineStr">
        <is>
          <t>N/A - no institutional funding rounds identified; privately held conglomerate.</t>
        </is>
      </c>
      <c r="L5" s="11" t="inlineStr">
        <is>
          <t>meets parameters</t>
        </is>
      </c>
      <c r="M5" s="11" t="n">
        <v>3</v>
      </c>
      <c r="N5" s="11" t="inlineStr">
        <is>
          <t>Stretch</t>
        </is>
      </c>
      <c r="O5" s="11" t="inlineStr">
        <is>
          <t>Revenue passes only on a qualitative scale signal (30+ company diversified conglomerate spanning energy/finance/jewelry), not a sourced number; family-owned with no published valuation caps this at Stretch per Track B rule.</t>
        </is>
      </c>
      <c r="P5" s="11" t="inlineStr">
        <is>
          <t>Position as a diversified Turkish industrial-and-luxury conglomerate (energy, finance, jewelry) entering global sport marketing for the first time - a growth-market, 'new to F1' angle (est).</t>
        </is>
      </c>
      <c r="Q5" s="11" t="inlineStr">
        <is>
          <t>family-owned, no published valuation; diversified holding - jewelry-segment-specific revenue unconfirmed; revenue scale supported only qualitatively, not numerically</t>
        </is>
      </c>
      <c r="R5" s="11" t="inlineStr">
        <is>
          <t>verified-new</t>
        </is>
      </c>
      <c r="S5" s="11" t="inlineStr">
        <is>
          <t>2026-09-28</t>
        </is>
      </c>
    </row>
    <row r="6">
      <c r="A6" s="11" t="n">
        <v>3</v>
      </c>
      <c r="B6" s="11" t="n">
        <v>58</v>
      </c>
      <c r="C6" s="11" t="inlineStr">
        <is>
          <t>GRT Jewellers</t>
        </is>
      </c>
      <c r="D6" s="11" t="inlineStr">
        <is>
          <t>grtjewels.com</t>
        </is>
      </c>
      <c r="E6" s="11" t="inlineStr">
        <is>
          <t>Chennai, India</t>
        </is>
      </c>
      <c r="F6" s="11" t="inlineStr">
        <is>
          <t>Private, family-owned, founded 1964 (grtjewels.com, retrieved 2026-09). No state or sanctions ties found.</t>
        </is>
      </c>
      <c r="G6" s="11" t="inlineStr">
        <is>
          <t>Gold and diamond jewelry retail (South India)</t>
        </is>
      </c>
      <c r="H6" s="11" t="inlineStr">
        <is>
          <t>1k-5k</t>
        </is>
      </c>
      <c r="I6" s="11" t="inlineStr">
        <is>
          <t>Two sourced but conflicting figures both clear the $100M hard bar: ~$350M (2024, Tracxn-style aggregator) and &gt;₹1,000 crore / ~$120M (FY ending 2025-03-31, industry aggregator), both retrieved 2026-09.</t>
        </is>
      </c>
      <c r="J6" s="11" t="inlineStr">
        <is>
          <t>Private, family-owned, no published valuation (unconfirmed via search, 2026-09); passes on revenue alone per Track B rule.</t>
        </is>
      </c>
      <c r="K6" s="11" t="inlineStr">
        <is>
          <t>N/A - no institutional funding rounds identified; privately held.</t>
        </is>
      </c>
      <c r="L6" s="11" t="inlineStr">
        <is>
          <t>meets parameters</t>
        </is>
      </c>
      <c r="M6" s="11" t="n">
        <v>3</v>
      </c>
      <c r="N6" s="11" t="inlineStr">
        <is>
          <t>Stretch</t>
        </is>
      </c>
      <c r="O6" s="11" t="inlineStr">
        <is>
          <t>Hard bars pass (revenue &gt;$100M confirmed via two sources, headcount 2,538 in 2024, ownership clean, no F1 conflict found), but the exact revenue figure is uncertain (2.9x spread between sources) and family-owned with no published valuation caps this at Stretch per Track B rule; international-market fit is also unconfirmed.</t>
        </is>
      </c>
      <c r="P6" s="11" t="inlineStr">
        <is>
          <t>South Asian diaspora / growing Indian F1 fanbase angle, tied to gold-jewelry gifting culture and India's expanding luxury consumer market (est).</t>
        </is>
      </c>
      <c r="Q6" s="11" t="inlineStr">
        <is>
          <t>family-owned, no published valuation; revenue figure uncertain - aggregator estimates range $120M-$350M; international market presence beyond South India unconfirmed</t>
        </is>
      </c>
      <c r="R6" s="11" t="inlineStr">
        <is>
          <t>verified-new</t>
        </is>
      </c>
      <c r="S6" s="11" t="inlineStr">
        <is>
          <t>2026-09-28</t>
        </is>
      </c>
    </row>
    <row r="7">
      <c r="A7" s="11" t="n">
        <v>4</v>
      </c>
      <c r="B7" s="11" t="n">
        <v>58</v>
      </c>
      <c r="C7" s="11" t="inlineStr">
        <is>
          <t>Tanaka Holdings Co. (Tanaka Kikinzoku Group)</t>
        </is>
      </c>
      <c r="D7" s="11" t="inlineStr">
        <is>
          <t>tanaka.co.jp</t>
        </is>
      </c>
      <c r="E7" s="11" t="inlineStr">
        <is>
          <t>Tokyo, Japan</t>
        </is>
      </c>
      <c r="F7" s="11" t="inlineStr">
        <is>
          <t>Private holding company (Tanaka Holdings Co., Ltd.); complex/diversified shareholding, not confirmed as single-family-controlled; no state or sanctioned-country ties found (search Sep 2026)</t>
        </is>
      </c>
      <c r="G7" s="11" t="inlineStr">
        <is>
          <t>Precious-metals refining, industrial materials trading, and jewelry/bullion retail (Ginza Tanaka)</t>
        </is>
      </c>
      <c r="H7" s="11" t="inlineStr">
        <is>
          <t>1k-5k (est)</t>
        </is>
      </c>
      <c r="I7" s="11" t="inlineStr">
        <is>
          <t>~JPY 976.6B (~US$9.2B) consolidated group revenue, most recently reported FY2017 figure via aggregator sources (Owler/press, search Sep 2026); largely pass-through bullion-trading revenue, current-year figure not independently reconfirmed</t>
        </is>
      </c>
      <c r="J7" s="11" t="inlineStr">
        <is>
          <t>No published valuation found; private company, ownership structure not confirmed as family-controlled (search Sep 2026)</t>
        </is>
      </c>
      <c r="K7" s="11" t="inlineStr">
        <is>
          <t>N/A - no external financing found; long-established private industrial group (est)</t>
        </is>
      </c>
      <c r="L7" s="11" t="inlineStr">
        <is>
          <t>exceeds - mega-brand</t>
        </is>
      </c>
      <c r="M7" s="11" t="n">
        <v>3</v>
      </c>
      <c r="N7" s="11" t="inlineStr">
        <is>
          <t>Stretch</t>
        </is>
      </c>
      <c r="O7" s="11" t="inlineStr">
        <is>
          <t>Passes hard filters on available data (revenue clears the $100M bar even discounting trading pass-through, no F1 tie, fit=3) but valuation is unpublished, ownership/control is unconfirmed, and the reported revenue figure is stale (2017) - Stretch.</t>
        </is>
      </c>
      <c r="P7" s="11" t="inlineStr">
        <is>
          <t>Precision-materials/clean-energy heritage story - Tanaka's precious-metals refining feeds EV and clean-energy tech; pair with Ginza Tanaka luxury retail for a paddock-club/hospitality tie-in, positioned as complementary to (not competing with) F1's existing Rolex timepiece partnership (est).</t>
        </is>
      </c>
      <c r="Q7" s="11" t="inlineStr">
        <is>
          <t>thin-margin bullion-trading revenue - true economic scale unverified (est); no published valuation; ownership structure unclear - not confirmed single-family control; revenue figure is dated (FY2017), not independently reconfirmed for 2024-2026</t>
        </is>
      </c>
      <c r="R7" s="11" t="inlineStr">
        <is>
          <t>verified-new</t>
        </is>
      </c>
      <c r="S7" s="11" t="inlineStr">
        <is>
          <t>2026-09-28</t>
        </is>
      </c>
    </row>
  </sheetData>
  <autoFilter ref="A3:S7"/>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S4"/>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Grooming &amp; Men's Care — brand-new sector — 1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"22 Grooming &amp; Men's Care".</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1" t="n">
        <v>1</v>
      </c>
      <c r="B4" s="11" t="n">
        <v>52</v>
      </c>
      <c r="C4" s="11" t="inlineStr">
        <is>
          <t>Wahl Clipper Corporation</t>
        </is>
      </c>
      <c r="D4" s="11" t="inlineStr">
        <is>
          <t>wahl.com</t>
        </is>
      </c>
      <c r="E4" s="11" t="inlineStr">
        <is>
          <t>Sterling, Illinois, USA</t>
        </is>
      </c>
      <c r="F4" s="11" t="inlineStr">
        <is>
          <t>Private, family-owned (Wahl family); US-based, no state or sanctioned-country ties</t>
        </is>
      </c>
      <c r="G4" s="11" t="inlineStr">
        <is>
          <t>Hair clippers, trimmers and grooming tools (professional and consumer)</t>
        </is>
      </c>
      <c r="H4" s="11" t="inlineStr">
        <is>
          <t>201-1k (est; sources conflict widely, 250 to 1,750+ employees)</t>
        </is>
      </c>
      <c r="I4" s="11" t="inlineStr">
        <is>
          <t>Estimated ~$800M-1.1B (est; no official disclosure - private company; trade-estimate sources range $615M-$1.1B, search Sep 2026)</t>
        </is>
      </c>
      <c r="J4" s="11" t="inlineStr">
        <is>
          <t>No published valuation; private, family-owned</t>
        </is>
      </c>
      <c r="K4" s="11" t="inlineStr">
        <is>
          <t>N/A - privately held, no external financing found</t>
        </is>
      </c>
      <c r="L4" s="11" t="inlineStr">
        <is>
          <t>meets parameters</t>
        </is>
      </c>
      <c r="M4" s="11" t="n">
        <v>2</v>
      </c>
      <c r="N4" s="11" t="inlineStr">
        <is>
          <t>Stretch</t>
        </is>
      </c>
      <c r="O4" s="11" t="inlineStr">
        <is>
          <t>Passes hard filters (revenue clears $100M bar (est), no F1 tie, family-owned/no valuation per Track B rule) but fit==2 with a weak angle (grooming slot already taken by Wilkinson Sword-Williams) and unconfirmed headcount/revenue figures - Stretch.</t>
        </is>
      </c>
      <c r="P4" s="11" t="inlineStr">
        <is>
          <t>Precision-engineering/heritage story (110+ years, category leader) - but grooming slot is already taken by Wilkinson Sword/Williams; any angle would need to differentiate sharply, e.g. a professional-barber/backstage-grooming activation rather than a livery tie (est).</t>
        </is>
      </c>
      <c r="Q4" s="11" t="inlineStr">
        <is>
          <t>family-owned, no published valuation; headcount estimates vary widely across sources (250 to 3,000+), unconfirmed (est); revenue figure estimate-only, no official disclosure (est)</t>
        </is>
      </c>
      <c r="R4" s="11" t="inlineStr">
        <is>
          <t>verified-new</t>
        </is>
      </c>
      <c r="S4" s="11" t="inlineStr">
        <is>
          <t>2026-09-28</t>
        </is>
      </c>
    </row>
  </sheetData>
  <autoFilter ref="A3:S4"/>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S7"/>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Gaming Hardware &amp; Peripherals — brand-new sector — 4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"23 Gaming Hardware &amp; Peripheral".</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1" t="n">
        <v>1</v>
      </c>
      <c r="B4" s="11" t="n">
        <v>58</v>
      </c>
      <c r="C4" s="11" t="inlineStr">
        <is>
          <t>Trust International BV</t>
        </is>
      </c>
      <c r="D4" s="11" t="inlineStr">
        <is>
          <t>trust.com</t>
        </is>
      </c>
      <c r="E4" s="11" t="inlineStr">
        <is>
          <t>Dordrecht, Netherlands</t>
        </is>
      </c>
      <c r="F4" s="11" t="inlineStr">
        <is>
          <t>Private, family-owned</t>
        </is>
      </c>
      <c r="G4" s="11" t="inlineStr">
        <is>
          <t>Computer and gaming accessories (Trust brand; GXT gaming sub-line)</t>
        </is>
      </c>
      <c r="H4" s="11" t="inlineStr">
        <is>
          <t>201-1k</t>
        </is>
      </c>
      <c r="I4" s="11" t="inlineStr">
        <is>
          <t>~$117-146M (est, D&amp;B/SignalHire — most credible recent third-party estimates; a conflicting RocketReach figure of $25M was discounted as unreliable)</t>
        </is>
      </c>
      <c r="J4" s="11" t="inlineStr">
        <is>
          <t>No published valuation found; family-owned, no published valuation</t>
        </is>
      </c>
      <c r="K4" s="11" t="inlineStr">
        <is>
          <t>None — privately held, no institutional funding found</t>
        </is>
      </c>
      <c r="L4" s="11" t="inlineStr">
        <is>
          <t>meets parameters</t>
        </is>
      </c>
      <c r="M4" s="11" t="n">
        <v>3</v>
      </c>
      <c r="N4" s="11" t="inlineStr">
        <is>
          <t>Stretch</t>
        </is>
      </c>
      <c r="O4" s="11" t="inlineStr">
        <is>
          <t>Passes hard filters on available evidence: revenue ~$117-146M (est) clears the $100M bar; family-owned with no published valuation passes on revenue per rule; headcount 201-1k; no current F1 tie found (historical Minardi/Spyker/Red Bull ties ended ~2009). Capped at Stretch due to conflicting revenue estimates and no published valuation.</t>
        </is>
      </c>
      <c r="P4" s="11" t="inlineStr">
        <is>
          <t>Revive the brand's F1 heritage (Minardi/Spyker/Red Bull helmet branding in the 2000s) via a modern GXT-branded gaming/sim-racing tie-in, pending confirmation of current revenue scale.</t>
        </is>
      </c>
      <c r="Q4" s="11" t="inlineStr">
        <is>
          <t>conflicting third-party revenue estimates ($25M-$146M across sources); no published valuation; historical F1 sponsor (Minardi/Jordan/Spyker ~2003-04, Red Bull Racing ~2009) — lapsed, not current</t>
        </is>
      </c>
      <c r="R4" s="11" t="inlineStr">
        <is>
          <t>verified-new</t>
        </is>
      </c>
      <c r="S4" s="11" t="inlineStr">
        <is>
          <t>2026-09-28</t>
        </is>
      </c>
    </row>
    <row r="5">
      <c r="A5" s="11" t="n">
        <v>2</v>
      </c>
      <c r="B5" s="11" t="n">
        <v>58</v>
      </c>
      <c r="C5" s="11" t="inlineStr">
        <is>
          <t>HORI Co., Ltd.</t>
        </is>
      </c>
      <c r="D5" s="11" t="inlineStr">
        <is>
          <t>hori.jp</t>
        </is>
      </c>
      <c r="E5" s="11" t="inlineStr">
        <is>
          <t>Tokyo, Japan (Wikipedia lists Yokohama as HQ - discrepancy unresolved)</t>
        </is>
      </c>
      <c r="F5" s="11" t="inlineStr">
        <is>
          <t>Private, family-owned (Hori family); Japan-based, no state or sanctioned-country ties</t>
        </is>
      </c>
      <c r="G5" s="11" t="inlineStr">
        <is>
          <t>Licensed console gaming controllers/accessories, arcade sticks, racing wheels (Nintendo, PlayStation, Xbox)</t>
        </is>
      </c>
      <c r="H5" s="11" t="inlineStr">
        <is>
          <t>201-1k (est, input ~300+; not independently confirmed)</t>
        </is>
      </c>
      <c r="I5" s="11" t="inlineStr">
        <is>
          <t>Estimated ~$150-250M (est, input); no official financial disclosure found for this private Japanese company (search Sep 2026)</t>
        </is>
      </c>
      <c r="J5" s="11" t="inlineStr">
        <is>
          <t>No published valuation; private, family-owned</t>
        </is>
      </c>
      <c r="K5" s="11" t="inlineStr">
        <is>
          <t>N/A - privately held, no external financing found</t>
        </is>
      </c>
      <c r="L5" s="11" t="inlineStr">
        <is>
          <t>meets parameters</t>
        </is>
      </c>
      <c r="M5" s="11" t="n">
        <v>3</v>
      </c>
      <c r="N5" s="11" t="inlineStr">
        <is>
          <t>Stretch</t>
        </is>
      </c>
      <c r="O5" s="11" t="inlineStr">
        <is>
          <t>Passes hard filters on available estimates (revenue ~$150-250M (est) clears the $100M bar, no F1 tie, fit=3 incl. strong sim-racing angle) but the revenue figure is unconfirmed - no independent financial disclosure exists for this private company - Stretch.</t>
        </is>
      </c>
      <c r="P5" s="11" t="inlineStr">
        <is>
          <t>Sim-racing/gaming-hardware crossover - HORI's racing-wheel and controller line (HORI Apex) is a natural creative tie-in to F1's sim-racing/esports ecosystem, in the still-open Gaming Hardware &amp; Peripherals category (est).</t>
        </is>
      </c>
      <c r="Q5" s="11" t="inlineStr">
        <is>
          <t>family-owned; revenue and headcount are estimate-only; no official financial disclosure found for this private company; HQ location listed as Tokyo (input) vs. Yokohama (Wikipedia) - unconfirmed which is current</t>
        </is>
      </c>
      <c r="R5" s="11" t="inlineStr">
        <is>
          <t>verified-new</t>
        </is>
      </c>
      <c r="S5" s="11" t="inlineStr">
        <is>
          <t>2026-09-28</t>
        </is>
      </c>
    </row>
    <row r="6">
      <c r="A6" s="11" t="n">
        <v>3</v>
      </c>
      <c r="B6" s="11" t="n">
        <v>58</v>
      </c>
      <c r="C6" s="11" t="inlineStr">
        <is>
          <t>CyberPowerPC</t>
        </is>
      </c>
      <c r="D6" s="11" t="inlineStr">
        <is>
          <t>cyberpowerpc.com</t>
        </is>
      </c>
      <c r="E6" s="11" t="inlineStr">
        <is>
          <t>City of Industry, California, USA</t>
        </is>
      </c>
      <c r="F6" s="11" t="inlineStr">
        <is>
          <t>Private, founder-owned (Stanley Ho); US-based, no state or sanctioned-country ties</t>
        </is>
      </c>
      <c r="G6" s="11" t="inlineStr">
        <is>
          <t>Custom gaming PCs and peripherals</t>
        </is>
      </c>
      <c r="H6" s="11" t="inlineStr">
        <is>
          <t>201-1k (est; one source confirms ~250 employees)</t>
        </is>
      </c>
      <c r="I6" s="11" t="inlineStr">
        <is>
          <t>Estimate conflict: input est. $300-500M vs. one aggregator source suggesting $10-50M (est, search Sep 2026) - not independently confirmed against the $100M bar</t>
        </is>
      </c>
      <c r="J6" s="11" t="inlineStr">
        <is>
          <t>No published valuation; private, founder-owned</t>
        </is>
      </c>
      <c r="K6" s="11" t="inlineStr">
        <is>
          <t>N/A - privately held, no external financing found</t>
        </is>
      </c>
      <c r="L6" s="11" t="inlineStr">
        <is>
          <t>meets parameters</t>
        </is>
      </c>
      <c r="M6" s="11" t="n">
        <v>3</v>
      </c>
      <c r="N6" s="11" t="inlineStr">
        <is>
          <t>Stretch</t>
        </is>
      </c>
      <c r="O6" s="11" t="inlineStr">
        <is>
          <t>Fit=3, no F1 tie, founder-owned/no valuation (Track B rule) - but revenue estimates conflict sharply across sources and could not be confirmed against the $100M bar - Stretch pending revenue verification.</t>
        </is>
      </c>
      <c r="P6" s="11" t="inlineStr">
        <is>
          <t>High-performance-computing/overclocking story pairs naturally with F1 power-unit engineering; open Gaming Hardware category, target enthusiast PC-building audience via a sim-racing/esports activation (est).</t>
        </is>
      </c>
      <c r="Q6" s="11" t="inlineStr">
        <is>
          <t>revenue estimates conflict sharply across sources ($10-50M vs. $300-500M input est.) - not independently confirmed against the $100M hard bar; founder-owned, no published valuation</t>
        </is>
      </c>
      <c r="R6" s="11" t="inlineStr">
        <is>
          <t>verified-new</t>
        </is>
      </c>
      <c r="S6" s="11" t="inlineStr">
        <is>
          <t>2026-09-28</t>
        </is>
      </c>
    </row>
    <row r="7">
      <c r="A7" s="11" t="n">
        <v>4</v>
      </c>
      <c r="B7" s="11" t="n">
        <v>58</v>
      </c>
      <c r="C7" s="11" t="inlineStr">
        <is>
          <t>DXRacer</t>
        </is>
      </c>
      <c r="D7" s="11" t="inlineStr">
        <is>
          <t>dxracer.com</t>
        </is>
      </c>
      <c r="E7" s="11" t="inlineStr">
        <is>
          <t>Hong Kong / Shanghai, China</t>
        </is>
      </c>
      <c r="F7" s="11" t="inlineStr">
        <is>
          <t>Private, family-owned; China/Hong Kong-based, no state ties or sanctions/Entity-List exposure found</t>
        </is>
      </c>
      <c r="G7" s="11" t="inlineStr">
        <is>
          <t>Gaming chairs and accessories</t>
        </is>
      </c>
      <c r="H7" s="11" t="inlineStr">
        <is>
          <t>1k-5k (est, input; one source's '11-50 employees' figure appears to reflect only a small US subsidiary office, not the global company)</t>
        </is>
      </c>
      <c r="I7" s="11" t="inlineStr">
        <is>
          <t>Estimated ~$250-500M (est, aggregator sources broadly consistent with input's $200-300M est.)</t>
        </is>
      </c>
      <c r="J7" s="11" t="inlineStr">
        <is>
          <t>No published valuation; private, family-owned</t>
        </is>
      </c>
      <c r="K7" s="11" t="inlineStr">
        <is>
          <t>N/A - privately held, no external financing found</t>
        </is>
      </c>
      <c r="L7" s="11" t="inlineStr">
        <is>
          <t>meets parameters</t>
        </is>
      </c>
      <c r="M7" s="11" t="n">
        <v>3</v>
      </c>
      <c r="N7" s="11" t="inlineStr">
        <is>
          <t>Stretch</t>
        </is>
      </c>
      <c r="O7" s="11" t="inlineStr">
        <is>
          <t>Passes hard filters (revenue ~$250-500M (est), no F1 tie - only an unrelated F4 sponsorship found, fit=3 incl. strong motorsport-heritage origin story) but headcount/revenue figures are estimate-only with conflicting source data, and there is no published valuation (family-owned) - Stretch.</t>
        </is>
      </c>
      <c r="P7" s="11" t="inlineStr">
        <is>
          <t>Motorsport-heritage story - DXRacer's gaming chairs originated from racing-car seat manufacturing; a 'from race seat to gaming chair' campaign ties its origin story directly to motorsport, in the still-open Gaming Hardware category (est).</t>
        </is>
      </c>
      <c r="Q7" s="11" t="inlineStr">
        <is>
          <t>family-owned, no published valuation; headcount and revenue figures are estimate-only with conflicting data across sources (one source reflects only a small US subsidiary); F1 check found only an unrelated Formula 4 (not F1) driver sponsorship in China</t>
        </is>
      </c>
      <c r="R7" s="11" t="inlineStr">
        <is>
          <t>verified-new</t>
        </is>
      </c>
      <c r="S7" s="11" t="inlineStr">
        <is>
          <t>2026-09-28</t>
        </is>
      </c>
    </row>
  </sheetData>
  <autoFilter ref="A3:S7"/>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S13"/>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Ticketing, Live Events &amp; Experiences — brand-new sector — 10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"24 Ticketing, Live Events &amp; Exp".</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0" t="n">
        <v>1</v>
      </c>
      <c r="B4" s="10" t="n">
        <v>92</v>
      </c>
      <c r="C4" s="10" t="inlineStr">
        <is>
          <t>Anschutz Entertainment Group (AEG)</t>
        </is>
      </c>
      <c r="D4" s="10" t="inlineStr">
        <is>
          <t>aegworldwide.com</t>
        </is>
      </c>
      <c r="E4" s="10" t="inlineStr">
        <is>
          <t>Los Angeles, California, USA</t>
        </is>
      </c>
      <c r="F4" s="10" t="inlineStr">
        <is>
          <t>Private, family-owned (Philip Anschutz / The Anschutz Corporation)</t>
        </is>
      </c>
      <c r="G4" s="10" t="inlineStr">
        <is>
          <t>Live-event promotion, venue ownership/operation, and ticketing (AXS)</t>
        </is>
      </c>
      <c r="H4" s="10" t="inlineStr">
        <is>
          <t>10k+ (est; one source shows a conflicting 4.4k figure — flagged)</t>
        </is>
      </c>
      <c r="I4" s="10" t="inlineStr">
        <is>
          <t>~$5B (est, LeadIQ, as of Oct 2025)</t>
        </is>
      </c>
      <c r="J4" s="10" t="inlineStr">
        <is>
          <t>Private, family-owned, no published valuation — passes on revenue alone per rule</t>
        </is>
      </c>
      <c r="K4" s="10" t="inlineStr">
        <is>
          <t>N/A — privately held by The Anschutz Corporation, no external financing found</t>
        </is>
      </c>
      <c r="L4" s="10" t="inlineStr">
        <is>
          <t>exceeds - mega-brand</t>
        </is>
      </c>
      <c r="M4" s="10" t="n">
        <v>4</v>
      </c>
      <c r="N4" s="10" t="inlineStr">
        <is>
          <t>Yes</t>
        </is>
      </c>
      <c r="O4" s="10" t="inlineStr">
        <is>
          <t>All hard filters pass: revenue est. ~$5B (est) far exceeds the $100M bar; family-owned with no published valuation passes per rule; headcount 10k+ (est); large, profitable, diversified private enterprise with clear capacity to spend; thousands of venue/artist/sponsor relationships; no current F1 sponsorship or tie found, direct or via parent. Fit score 4/4.</t>
        </is>
      </c>
      <c r="P4" s="10" t="inlineStr">
        <is>
          <t>Position AEG's global arena/venue network (plus AXS ticketing) as an F1 fan-experience and hospitality partner spanning multiple Grand Prix host cities, leveraging AEG's existing venues in F1 markets (Las Vegas, Miami, London, etc.).</t>
        </is>
      </c>
      <c r="Q4" s="10" t="inlineStr">
        <is>
          <t>conflicting headcount figures across sources (10K as of Oct 2025 vs 4.4K as of June 2026 — likely a data-quality issue, not independently verified); revenue figure is a third-party estimate (est)</t>
        </is>
      </c>
      <c r="R4" s="10" t="inlineStr">
        <is>
          <t>verified-new</t>
        </is>
      </c>
      <c r="S4" s="10" t="inlineStr">
        <is>
          <t>2026-09-28</t>
        </is>
      </c>
    </row>
    <row r="5">
      <c r="A5" s="11" t="n">
        <v>2</v>
      </c>
      <c r="B5" s="11" t="n">
        <v>64</v>
      </c>
      <c r="C5" s="11" t="inlineStr">
        <is>
          <t>Oak View Group</t>
        </is>
      </c>
      <c r="D5" s="11" t="inlineStr">
        <is>
          <t>oakviewgroup.com</t>
        </is>
      </c>
      <c r="E5" s="11" t="inlineStr">
        <is>
          <t>Los Angeles, California, USA</t>
        </is>
      </c>
      <c r="F5" s="11" t="inlineStr">
        <is>
          <t>Private; co-founded by Tim Leiweke and Irving Azoff, backed by Silver Lake and other investors; no state or sanctioned-country ties</t>
        </is>
      </c>
      <c r="G5" s="11" t="inlineStr">
        <is>
          <t>Venue development, management and hospitality for arenas/stadiums</t>
        </is>
      </c>
      <c r="H5" s="11" t="inlineStr">
        <is>
          <t>5k-10k (est)</t>
        </is>
      </c>
      <c r="I5" s="11" t="inlineStr">
        <is>
          <t>Estimated $1B+ (est, input); no updated independent figure found (search Sep 2026)</t>
        </is>
      </c>
      <c r="J5" s="11" t="inlineStr">
        <is>
          <t>~$3.5-4B per 2022 funding round involving Silver Lake (est, input); Silver Lake investment relationship confirmed via search, current valuation not independently reconfirmed</t>
        </is>
      </c>
      <c r="K5" s="11" t="inlineStr">
        <is>
          <t>Silver Lake strategic investment, first disclosed 2018/reported valuation context ~2022 (est); no funding round found within the last 18 months</t>
        </is>
      </c>
      <c r="L5" s="11" t="inlineStr">
        <is>
          <t>exceeds - mega-brand</t>
        </is>
      </c>
      <c r="M5" s="11" t="n">
        <v>4</v>
      </c>
      <c r="N5" s="11" t="inlineStr">
        <is>
          <t>Stretch</t>
        </is>
      </c>
      <c r="O5" s="11" t="inlineStr">
        <is>
          <t>Passes hard filters (valuation ~$3.5-4B via Silver Lake backing clears the $1B bar, revenue ~$1B+ (est), fit=4, no direct F1 sponsorship tie) but the funding round is outside the 18-month capacity-to-spend window and profitability is unconfirmed, and OVG has a pre-existing (2019) commercial venue-alliance with Silverstone, the British GP's host circuit - flagged as a soft, conflict-adjacent relationship rather than a disqualifying tie - Stretch.</t>
        </is>
      </c>
      <c r="P5" s="11" t="inlineStr">
        <is>
          <t>Live-event/hospitality-experience story - OVG's global venue-development network (Climate Pledge Arena, Moody Center, UBS Arena, etc.) pairs naturally with F1's live-event and paddock-hospitality ambitions; its existing Silverstone venue-alliance relationship could serve as a warm introduction rather than a conflict (est).</t>
        </is>
      </c>
      <c r="Q5" s="11" t="inlineStr">
        <is>
          <t>funding-based valuation (input flag confirmed); prior (2019) commercial venue-alliance relationship with Silverstone - the host circuit of the British GP - not itself an F1 sponsorship, but adjacent and worth disclosing; last confirmed funding round (Silver Lake) is now several years old; no raise within 18 months or independent profitability confirmation found</t>
        </is>
      </c>
      <c r="R5" s="11" t="inlineStr">
        <is>
          <t>verified-new</t>
        </is>
      </c>
      <c r="S5" s="11" t="inlineStr">
        <is>
          <t>2026-09-28</t>
        </is>
      </c>
    </row>
    <row r="6">
      <c r="A6" s="11" t="n">
        <v>3</v>
      </c>
      <c r="B6" s="11" t="n">
        <v>58</v>
      </c>
      <c r="C6" s="11" t="inlineStr">
        <is>
          <t>Emerald Holding Inc.</t>
        </is>
      </c>
      <c r="D6" s="11" t="inlineStr">
        <is>
          <t>emeraldx.com</t>
        </is>
      </c>
      <c r="E6" s="11" t="inlineStr">
        <is>
          <t>Norwalk, Connecticut, USA</t>
        </is>
      </c>
      <c r="F6" s="11" t="inlineStr">
        <is>
          <t>Private — taken private by Apollo Global Management funds (deal closed July 14, 2026) and merged with Questex into a single B2B events platform</t>
        </is>
      </c>
      <c r="G6" s="11" t="inlineStr">
        <is>
          <t>B2B trade shows and events across multiple industries</t>
        </is>
      </c>
      <c r="H6" s="11" t="inlineStr">
        <is>
          <t>1k-5k (est; input estimated 1,000+, not independently confirmed)</t>
        </is>
      </c>
      <c r="I6" s="11" t="inlineStr">
        <is>
          <t>~$450-460M projected for FY2025 (company guidance, pre-acquisition)</t>
        </is>
      </c>
      <c r="J6" s="11" t="inlineStr">
        <is>
          <t>$1.5B enterprise value (Apollo take-private at $5.03/share cash, deal closed July 14, 2026)</t>
        </is>
      </c>
      <c r="K6" s="11" t="inlineStr">
        <is>
          <t>Acquired/taken private by Apollo Global Management funds; deal closed July 14, 2026 (~$1.5B EV, combined with Questex)</t>
        </is>
      </c>
      <c r="L6" s="11" t="inlineStr">
        <is>
          <t>meets parameters</t>
        </is>
      </c>
      <c r="M6" s="11" t="n">
        <v>3</v>
      </c>
      <c r="N6" s="11" t="inlineStr">
        <is>
          <t>Stretch</t>
        </is>
      </c>
      <c r="O6" s="11" t="inlineStr">
        <is>
          <t>Passes hard filters: revenue ~$450-460M clears the $100M bar; valuation now $1.5B EV (Apollo take-private, closed July 2026) clears the $1B bar; no F1 tie found. Capped at Stretch because the company just went private under new PE ownership with integration (Questex merger) underway, creating uncertainty about near-term marketing/sponsorship spend capacity.</t>
        </is>
      </c>
      <c r="P6" s="11" t="inlineStr">
        <is>
          <t>Leverage Emerald's B2B trade-show audiences (senior industry decision-makers) for F1-adjacent hospitality/sponsorship packages tied to major trade events in F1 host markets, backed by Apollo's fresh growth capital.</t>
        </is>
      </c>
      <c r="Q6" s="11" t="inlineStr">
        <is>
          <t>newly PE-owned (Apollo, closed July 2026) — spend priorities not yet established under new ownership; headcount estimate not independently confirmed; as a public company, market cap was borderline sub-$1B (~$0.99B) before the take-private premium pushed EV to $1.5B</t>
        </is>
      </c>
      <c r="R6" s="11" t="inlineStr">
        <is>
          <t>verified-new</t>
        </is>
      </c>
      <c r="S6" s="11" t="inlineStr">
        <is>
          <t>2026-09-28</t>
        </is>
      </c>
    </row>
    <row r="7">
      <c r="A7" s="11" t="n">
        <v>4</v>
      </c>
      <c r="B7" s="11" t="n">
        <v>52</v>
      </c>
      <c r="C7" s="11" t="inlineStr">
        <is>
          <t>Superstruct Group</t>
        </is>
      </c>
      <c r="D7" s="11" t="inlineStr">
        <is>
          <t>superstruct-group.com</t>
        </is>
      </c>
      <c r="E7" s="11" t="inlineStr">
        <is>
          <t>Berlin, Germany</t>
        </is>
      </c>
      <c r="F7" s="11" t="inlineStr">
        <is>
          <t>PE-owned (KKR, acquired June 2024; CVC joined as co-investor Oct 2024)</t>
        </is>
      </c>
      <c r="G7" s="11" t="inlineStr">
        <is>
          <t>Portfolio of European music festivals and live events (Sónar, Wacken Open Air, Boardmasters, ID&amp;T, Elrow, etc.)</t>
        </is>
      </c>
      <c r="H7" s="11" t="inlineStr">
        <is>
          <t>1k-5k (est, based on scale of ~80 major festivals + ~200 smaller events; not independently confirmed)</t>
        </is>
      </c>
      <c r="I7" s="11" t="inlineStr">
        <is>
          <t>£698.9M (~$880M est) reported for calendar 2024, per Music Business Worldwide — figure is largely inflated by a Jan 2024 internal consolidation of additional festival brands into the group</t>
        </is>
      </c>
      <c r="J7" s="11" t="inlineStr">
        <is>
          <t>~€1.3-1.6B (KKR/CVC acquisition, 2024)</t>
        </is>
      </c>
      <c r="K7" s="11" t="inlineStr">
        <is>
          <t>KKR acquisition closed June 2024 (~€1.3bn/$1.4bn EV); CVC joined as co-investor Oct 2024</t>
        </is>
      </c>
      <c r="L7" s="11" t="inlineStr">
        <is>
          <t>meets parameters</t>
        </is>
      </c>
      <c r="M7" s="11" t="n">
        <v>2</v>
      </c>
      <c r="N7" s="11" t="inlineStr">
        <is>
          <t>Stretch</t>
        </is>
      </c>
      <c r="O7" s="11" t="inlineStr">
        <is>
          <t>Passes hard filters: revenue ~$880M (2024, est) and valuation ~€1.3-1.6B both clear their bars; recently PE-acquired (KKR/CVC, 2024) with fresh capital, no distress signs; no F1 tie found. Capped at Stretch because the reported revenue growth is largely a consolidation/accounting effect rather than organic growth, and PE ownership is very recent (under 2 years).</t>
        </is>
      </c>
      <c r="P7" s="11" t="inlineStr">
        <is>
          <t>Use Superstruct's festival portfolio (Wacken, Sónar, Boardmasters) for on-site F1 fan-experience activations targeting the under-35 festival audiences F1 is trying to reach.</t>
        </is>
      </c>
      <c r="Q7" s="11" t="inlineStr">
        <is>
          <t>PE-owned (KKR + CVC); 2024 revenue jump largely reflects internal consolidation of additional festival brands, not organic growth; headcount estimate not independently confirmed</t>
        </is>
      </c>
      <c r="R7" s="11" t="inlineStr">
        <is>
          <t>verified-new</t>
        </is>
      </c>
      <c r="S7" s="11" t="inlineStr">
        <is>
          <t>2026-09-28</t>
        </is>
      </c>
    </row>
    <row r="8">
      <c r="A8" s="11" t="n">
        <v>5</v>
      </c>
      <c r="B8" s="11" t="n">
        <v>52</v>
      </c>
      <c r="C8" s="11" t="inlineStr">
        <is>
          <t>Merlin Entertainments</t>
        </is>
      </c>
      <c r="D8" s="11" t="inlineStr">
        <is>
          <t>merlinentertainments.biz</t>
        </is>
      </c>
      <c r="E8" s="11" t="inlineStr">
        <is>
          <t>Poole, UK</t>
        </is>
      </c>
      <c r="F8" s="11" t="inlineStr">
        <is>
          <t>PE-owned (KIRKBI 50%; Blackstone/CPPIB 50%, since 2019 take-private)</t>
        </is>
      </c>
      <c r="G8" s="11" t="inlineStr">
        <is>
          <t>Global attractions operator - Legoland, Madame Tussauds, London Eye, SEA LIFE</t>
        </is>
      </c>
      <c r="H8" s="11" t="inlineStr">
        <is>
          <t>10k+</t>
        </is>
      </c>
      <c r="I8" s="11" t="inlineStr">
        <is>
          <t>£1,999M (~$2.5B) FY2025, down 1.6% YoY; underlying EBITDA £571M (+0.7% cc) - Merlin FY2025 press release, merlinentertainments.biz, Mar 2026</t>
        </is>
      </c>
      <c r="J8" s="11" t="inlineStr">
        <is>
          <t>$7.6B EV at 2019 take-private (KIRKBI/Blackstone/CPPIB) - last confirmed deal value, no more recent published mark</t>
        </is>
      </c>
      <c r="K8" s="11" t="inlineStr">
        <is>
          <t>N/A - PE-owned since 2019 take-private, no recent raise found</t>
        </is>
      </c>
      <c r="L8" s="11" t="inlineStr">
        <is>
          <t>exceeds - mega-brand</t>
        </is>
      </c>
      <c r="M8" s="11" t="n">
        <v>2</v>
      </c>
      <c r="N8" s="11" t="inlineStr">
        <is>
          <t>Stretch</t>
        </is>
      </c>
      <c r="O8" s="11" t="inlineStr">
        <is>
          <t>Passes hard filters (revenue ~$2.5B, valuation $7.6B, headcount 28k+, no F1 conflict found, PE ownership not disqualifying) but real reservations: revenue declined in 2025 in a self-described 'transitional/stabilization' year, PE-owned 6+ years, and fit score is only 2 with a weak brand-story angle.</t>
        </is>
      </c>
      <c r="P8" s="11" t="inlineStr">
        <is>
          <t>Global family-attractions footprint (Legoland, Madame Tussauds, SEA LIFE) spans many F1 host markets - a family/experience-economy tie-in around race weekends (est)</t>
        </is>
      </c>
      <c r="Q8" s="11" t="inlineStr">
        <is>
          <t>PE-owned 6+ years (since 2019); FY2025 revenue down 1.6% YoY, management called it a 'transitional year' with stabilization actions; recent reported net losses/impairments per input, unconfirmed in this pass</t>
        </is>
      </c>
      <c r="R8" s="11" t="inlineStr">
        <is>
          <t>verified-new</t>
        </is>
      </c>
      <c r="S8" s="11" t="inlineStr">
        <is>
          <t>2026-09-28</t>
        </is>
      </c>
    </row>
    <row r="9">
      <c r="A9" s="11" t="n">
        <v>6</v>
      </c>
      <c r="B9" s="11" t="n">
        <v>52</v>
      </c>
      <c r="C9" s="11" t="inlineStr">
        <is>
          <t>Feld Entertainment</t>
        </is>
      </c>
      <c r="D9" s="11" t="inlineStr">
        <is>
          <t>feldentertainment.com</t>
        </is>
      </c>
      <c r="E9" s="11" t="inlineStr">
        <is>
          <t>Ellenton, Florida, USA</t>
        </is>
      </c>
      <c r="F9" s="11" t="inlineStr">
        <is>
          <t>Private, family-owned (Kenneth, Alana, Juliette and Nicole Feld)</t>
        </is>
      </c>
      <c r="G9" s="11" t="inlineStr">
        <is>
          <t>Touring live entertainment - Disney On Ice, Monster Jam, Marvel Universe Live</t>
        </is>
      </c>
      <c r="H9" s="11" t="inlineStr">
        <is>
          <t>1k-5k</t>
        </is>
      </c>
      <c r="I9" s="11" t="inlineStr">
        <is>
          <t>~$1.3B (est) - Forbes 2016 figure describing ~30% growth since 2012 to est. $1.3B in 2015; no more recent public figure found, carried forward as (est)</t>
        </is>
      </c>
      <c r="J9" s="11" t="inlineStr">
        <is>
          <t>No published valuation; family majority-owned. A ~$1.8B 'net worth' figure found is Kenneth Feld's personal net worth (Forbes/Celebrity Net Worth), not a company valuation</t>
        </is>
      </c>
      <c r="K9" s="11" t="inlineStr">
        <is>
          <t>None found - privately held, no external financing identified</t>
        </is>
      </c>
      <c r="L9" s="11" t="inlineStr">
        <is>
          <t>meets parameters</t>
        </is>
      </c>
      <c r="M9" s="11" t="n">
        <v>2</v>
      </c>
      <c r="N9" s="11" t="inlineStr">
        <is>
          <t>Stretch</t>
        </is>
      </c>
      <c r="O9" s="11" t="inlineStr">
        <is>
          <t>Family-owned with no published valuation caps this at Stretch per protocol even though the revenue estimate clears the $100M bar comfortably; fit score is only 2 and the core revenue figure is an aging, unconfirmed estimate.</t>
        </is>
      </c>
      <c r="P9" s="11" t="inlineStr">
        <is>
          <t>Monster Jam's built-in motorsport audience is the one property with organic F1 crossover - a Monster Jam x F1 fan-experience tie-in (est)</t>
        </is>
      </c>
      <c r="Q9" s="11" t="inlineStr">
        <is>
          <t>family-owned, no published valuation; revenue figure is a dated (2015) estimate, unconfirmed for the present day</t>
        </is>
      </c>
      <c r="R9" s="11" t="inlineStr">
        <is>
          <t>verified-new</t>
        </is>
      </c>
      <c r="S9" s="11" t="inlineStr">
        <is>
          <t>2026-09-28</t>
        </is>
      </c>
    </row>
    <row r="10">
      <c r="A10" s="11" t="n">
        <v>7</v>
      </c>
      <c r="B10" s="11" t="n">
        <v>52</v>
      </c>
      <c r="C10" s="11" t="inlineStr">
        <is>
          <t>Parques Reunidos</t>
        </is>
      </c>
      <c r="D10" s="11" t="inlineStr">
        <is>
          <t>parquesreunidos.com</t>
        </is>
      </c>
      <c r="E10" s="11" t="inlineStr">
        <is>
          <t>Madrid, Spain</t>
        </is>
      </c>
      <c r="F10" s="11" t="inlineStr">
        <is>
          <t>PE-owned (EQT-led consortium since 2019 take-private); currently marketing a sale</t>
        </is>
      </c>
      <c r="G10" s="11" t="inlineStr">
        <is>
          <t>Theme parks and attractions across Europe (60+ parks in 9 countries prior to recent divestitures)</t>
        </is>
      </c>
      <c r="H10" s="11" t="inlineStr">
        <is>
          <t>5k-10k</t>
        </is>
      </c>
      <c r="I10" s="11" t="inlineStr">
        <is>
          <t>€550M (~$590M) FY2025, down 4.7% on a comparable basis; EBITDA &gt;€170M - post-divestiture continuing-operations figures</t>
        </is>
      </c>
      <c r="J10" s="11" t="inlineStr">
        <is>
          <t>EQT preparing a sale at ~€1.7B (~$1.8B) EV via JPMorgan-run process (2025/2026) - reported sale process, not yet closed</t>
        </is>
      </c>
      <c r="K10" s="11" t="inlineStr">
        <is>
          <t>N/A; recent divestitures instead: sold US operations to Herschend (~€1B, 2025) and Belantis (Germany) to Compagnie des Alpes (~€22M, 2025)</t>
        </is>
      </c>
      <c r="L10" s="11" t="inlineStr">
        <is>
          <t>meets parameters</t>
        </is>
      </c>
      <c r="M10" s="11" t="n">
        <v>2</v>
      </c>
      <c r="N10" s="11" t="inlineStr">
        <is>
          <t>Stretch</t>
        </is>
      </c>
      <c r="O10" s="11" t="inlineStr">
        <is>
          <t>Revenue and valuation clear the hard bars and no F1 conflict was found, but the company is mid-sale-process with a shrinking, recently-divested portfolio and declining comparable revenue - real uncertainty about appetite/capacity for a new discretionary sponsorship right now, plus a weak fit score of 2.</t>
        </is>
      </c>
      <c r="P10" s="11" t="inlineStr">
        <is>
          <t>Multi-country European park footprint overlaps several F1 host markets, though the ownership transition underway is a real timing risk for outreach now (est)</t>
        </is>
      </c>
      <c r="Q10" s="11" t="inlineStr">
        <is>
          <t>PE-owned 6+ years (since 2019); actively divesting assets (US ops to Herschend, Belantis to Compagnie des Alpes) and currently up for sale - ownership/strategy in flux; revenue down 4.7% YoY on a comparable basis</t>
        </is>
      </c>
      <c r="R10" s="11" t="inlineStr">
        <is>
          <t>verified-new</t>
        </is>
      </c>
      <c r="S10" s="11" t="inlineStr">
        <is>
          <t>2026-09-28</t>
        </is>
      </c>
    </row>
    <row r="11">
      <c r="A11" s="11" t="n">
        <v>8</v>
      </c>
      <c r="B11" s="11" t="n">
        <v>46</v>
      </c>
      <c r="C11" s="11" t="inlineStr">
        <is>
          <t>Great Wolf Resorts</t>
        </is>
      </c>
      <c r="D11" s="11" t="inlineStr">
        <is>
          <t>greatwolf.com</t>
        </is>
      </c>
      <c r="E11" s="11" t="inlineStr">
        <is>
          <t>Madison, Wisconsin, USA</t>
        </is>
      </c>
      <c r="F11" s="11" t="inlineStr">
        <is>
          <t>PE-owned (Blackstone, 65% controlling interest since Sept 2019 JV with Centerbridge)</t>
        </is>
      </c>
      <c r="G11" s="11" t="inlineStr">
        <is>
          <t>Indoor water-park family-entertainment resorts (20 resorts, North America)</t>
        </is>
      </c>
      <c r="H11" s="11" t="inlineStr">
        <is>
          <t>10k+</t>
        </is>
      </c>
      <c r="I11" s="11" t="inlineStr">
        <is>
          <t>No confirmed public figure; est. ~$800M-1B based on 20-resort scale (est) - unconfirmed</t>
        </is>
      </c>
      <c r="J11" s="11" t="inlineStr">
        <is>
          <t>$2.9B JV formation value (Blackstone/Centerbridge, Sept 2019) - wealthmanagement.com/CoStar; $2B+ additional capital invested since 2019 per Hotel &amp; Leisure Advisors</t>
        </is>
      </c>
      <c r="K11" s="11" t="inlineStr">
        <is>
          <t>Not a raise; ~$1B refinancing reported (CoStar) amid continued Blackstone-backed expansion (20 resorts, 3 more in pipeline as of 2024)</t>
        </is>
      </c>
      <c r="L11" s="11" t="inlineStr">
        <is>
          <t>meets parameters</t>
        </is>
      </c>
      <c r="M11" s="11" t="n">
        <v>1</v>
      </c>
      <c r="N11" s="11" t="inlineStr">
        <is>
          <t>Stretch</t>
        </is>
      </c>
      <c r="O11" s="11" t="inlineStr">
        <is>
          <t>Valuation clears the $1B bar with a solid source, but revenue could not be confirmed with a real figure (estimate only), the company is PE-owned 6+ years, and fit score is a weak 1 (single-market, no affluent/performance angle).</t>
        </is>
      </c>
      <c r="P11" s="11" t="inlineStr">
        <is>
          <t>Family-resort accommodation partner for GP race weekends in North American host cities (est) - though overall category fit is weak</t>
        </is>
      </c>
      <c r="Q11" s="11" t="inlineStr">
        <is>
          <t>PE-owned 6+ years (since 2019); revenue figure unconfirmed/estimated - no public financials found for this PE portfolio company; tangential F1 link only two degrees removed: Great Wolf's marketing partner Hilton Grand Vacations separately holds an F1 Las Vegas GP hospitality partnership - not a direct conflict for Great Wolf itself</t>
        </is>
      </c>
      <c r="R11" s="11" t="inlineStr">
        <is>
          <t>verified-new</t>
        </is>
      </c>
      <c r="S11" s="11" t="inlineStr">
        <is>
          <t>2026-09-28</t>
        </is>
      </c>
    </row>
    <row r="12">
      <c r="A12" s="11" t="n">
        <v>9</v>
      </c>
      <c r="B12" s="11" t="n">
        <v>46</v>
      </c>
      <c r="C12" s="11" t="inlineStr">
        <is>
          <t>United Parks &amp; Resorts Inc. (SeaWorld)</t>
        </is>
      </c>
      <c r="D12" s="11" t="inlineStr">
        <is>
          <t>unitedparksandresorts.com</t>
        </is>
      </c>
      <c r="E12" s="11" t="inlineStr">
        <is>
          <t>Orlando, Florida, USA</t>
        </is>
      </c>
      <c r="F12" s="11" t="inlineStr">
        <is>
          <t>Public (NYSE: PRKS)</t>
        </is>
      </c>
      <c r="G12" s="11" t="inlineStr">
        <is>
          <t>Theme parks and attractions - SeaWorld, Busch Gardens, Aquatica, Discovery Cove, Sesame Place</t>
        </is>
      </c>
      <c r="H12" s="11" t="inlineStr">
        <is>
          <t>10k+</t>
        </is>
      </c>
      <c r="I12" s="11" t="inlineStr">
        <is>
          <t>$1.7B FY2025, down 3.6% YoY from $1,725.3M FY2024 - United Parks &amp; Resorts FY2025 results release, unitedparksinvestors.com</t>
        </is>
      </c>
      <c r="J12" s="11" t="inlineStr">
        <is>
          <t>Market cap ~$1.93B as of Aug 27, 2026 (down from ~$2.01B in Jan 2026) - stockanalysis.com/Macrotrends</t>
        </is>
      </c>
      <c r="K12" s="11" t="inlineStr">
        <is>
          <t>N/A - public company</t>
        </is>
      </c>
      <c r="L12" s="11" t="inlineStr">
        <is>
          <t>meets parameters</t>
        </is>
      </c>
      <c r="M12" s="11" t="n">
        <v>1</v>
      </c>
      <c r="N12" s="11" t="inlineStr">
        <is>
          <t>Stretch</t>
        </is>
      </c>
      <c r="O12" s="11" t="inlineStr">
        <is>
          <t>Hard filters pass cleanly on solid public-filing figures (revenue $1.7B, market cap ~$1.9B, no F1 conflict found, public ownership), but fit score is only 1 - US-only footprint and no affluent/performance brand story make the F1 fit case weak despite sound financials.</t>
        </is>
      </c>
      <c r="P12" s="11" t="inlineStr">
        <is>
          <t>US park footprint could anchor a Miami/Austin/Las Vegas GP regional activation, but overall F1 brand-story fit is thin (est)</t>
        </is>
      </c>
      <c r="Q12" s="11" t="inlineStr">
        <is>
          <t>revenue declined 3.6% YoY in FY2025 and FY2024 EPS missed expectations - a trend worth watching, though not clearly distressed</t>
        </is>
      </c>
      <c r="R12" s="11" t="inlineStr">
        <is>
          <t>verified-new</t>
        </is>
      </c>
      <c r="S12" s="11" t="inlineStr">
        <is>
          <t>2026-09-28</t>
        </is>
      </c>
    </row>
    <row r="13">
      <c r="A13" s="11" t="n">
        <v>10</v>
      </c>
      <c r="B13" s="11" t="n">
        <v>46</v>
      </c>
      <c r="C13" s="11" t="inlineStr">
        <is>
          <t>Herschend Family Entertainment</t>
        </is>
      </c>
      <c r="D13" s="11" t="inlineStr">
        <is>
          <t>herschend.com</t>
        </is>
      </c>
      <c r="E13" s="11" t="inlineStr">
        <is>
          <t>Norcross, Georgia, USA</t>
        </is>
      </c>
      <c r="F13" s="11" t="inlineStr">
        <is>
          <t>Private, family-owned (Herschend family)</t>
        </is>
      </c>
      <c r="G13" s="11" t="inlineStr">
        <is>
          <t>Theme parks and attractions - Dollywood, Silver Dollar City, aquariums (26 properties)</t>
        </is>
      </c>
      <c r="H13" s="11" t="inlineStr">
        <is>
          <t>10k+</t>
        </is>
      </c>
      <c r="I13" s="11" t="inlineStr">
        <is>
          <t>Over $1B annual (multiple industry estimates; private company, no official disclosure) - (est)</t>
        </is>
      </c>
      <c r="J13" s="11" t="inlineStr">
        <is>
          <t>No published valuation. A widely-circulated ~$3.5B 'net worth' figure traces to a low-quality SEO source and is not treated as reliable</t>
        </is>
      </c>
      <c r="K13" s="11" t="inlineStr">
        <is>
          <t>N/A - family-owned; March 2025 agreed to acquire Palace Entertainment's US parks (as acquirer, not a capital raise)</t>
        </is>
      </c>
      <c r="L13" s="11" t="inlineStr">
        <is>
          <t>meets parameters</t>
        </is>
      </c>
      <c r="M13" s="11" t="n">
        <v>1</v>
      </c>
      <c r="N13" s="11" t="inlineStr">
        <is>
          <t>Stretch</t>
        </is>
      </c>
      <c r="O13" s="11" t="inlineStr">
        <is>
          <t>Family-owned with no published valuation caps this at Stretch per protocol; fit score is also a weak 1 (US-only, no affluent/performance angle), even though the company is clearly healthy and expanding (acquiring Palace Entertainment's US parks in 2025).</t>
        </is>
      </c>
      <c r="P13" s="11" t="inlineStr">
        <is>
          <t>Growing US attractions portfolio (adding Palace Entertainment parks) could support a regional US GP activation, but overall F1 brand-story fit is thin (est)</t>
        </is>
      </c>
      <c r="Q13" s="11" t="inlineStr">
        <is>
          <t>family-owned, no published valuation; revenue figure is an industry estimate, not an official disclosure</t>
        </is>
      </c>
      <c r="R13" s="11" t="inlineStr">
        <is>
          <t>verified-new</t>
        </is>
      </c>
      <c r="S13" s="11" t="inlineStr">
        <is>
          <t>2026-09-28</t>
        </is>
      </c>
    </row>
  </sheetData>
  <autoFilter ref="A3:S1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S30"/>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Wealth Mgmt &amp; Private Banking — brand-new sector — 27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"25 Wealth Mgmt &amp; Private Bankin".</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0" t="n">
        <v>1</v>
      </c>
      <c r="B4" s="10" t="n">
        <v>92</v>
      </c>
      <c r="C4" s="10" t="inlineStr">
        <is>
          <t>BTG Pactual</t>
        </is>
      </c>
      <c r="D4" s="10" t="inlineStr">
        <is>
          <t>btgpactual.com</t>
        </is>
      </c>
      <c r="E4" s="10" t="inlineStr">
        <is>
          <t>São Paulo, Brazil</t>
        </is>
      </c>
      <c r="F4" s="10" t="inlineStr">
        <is>
          <t>Public (B3: BPAC11); partner-controlled (André Esteves and partner group)</t>
        </is>
      </c>
      <c r="G4" s="10" t="inlineStr">
        <is>
          <t>LatAm investment bank, asset &amp; wealth management platform</t>
        </is>
      </c>
      <c r="H4" s="10" t="inlineStr">
        <is>
          <t>5k-10k</t>
        </is>
      </c>
      <c r="I4" s="10" t="inlineStr">
        <is>
          <t>R$33.0bn-R$41.7bn FY2025 depending on measure (+20-32% YoY, record year, ~$6-8B USD equiv) - Quartr/stockanalysis.com</t>
        </is>
      </c>
      <c r="J4" s="10" t="inlineStr">
        <is>
          <t>Market cap R$259.44bn as of Aug 7, 2026 (+36.9% YoY, ~$46-48B USD equiv) - stockanalysis.com</t>
        </is>
      </c>
      <c r="K4" s="10" t="inlineStr">
        <is>
          <t>N/A - public company; net income R$16.7bn (+35% YoY), ROAE 26.9% (highest in company history)</t>
        </is>
      </c>
      <c r="L4" s="10" t="inlineStr">
        <is>
          <t>exceeds - mega-brand</t>
        </is>
      </c>
      <c r="M4" s="10" t="n">
        <v>4</v>
      </c>
      <c r="N4" s="10" t="inlineStr">
        <is>
          <t>Yes</t>
        </is>
      </c>
      <c r="O4" s="10" t="inlineStr">
        <is>
          <t>All hard filters pass with very wide margin: record revenue and profit (ROAE 26.9%, highest in company history), ~$46-48B market cap, no F1 conflict found, public/partner-controlled ownership, broad HNW client base, full fit score of 4 including direct alignment with the Brazil and Mexico F1 markets.</t>
        </is>
      </c>
      <c r="P4" s="10" t="inlineStr">
        <is>
          <t>Brazilian GP (São Paulo) and Mexico City GP are marquee LatAm races with deep local fan bases - a natural home-market activation for BTG's LatAm wealth/investment-banking brand</t>
        </is>
      </c>
      <c r="Q4" s="10" t="n"/>
      <c r="R4" s="10" t="inlineStr">
        <is>
          <t>verified-new</t>
        </is>
      </c>
      <c r="S4" s="10" t="inlineStr">
        <is>
          <t>2026-09-28</t>
        </is>
      </c>
    </row>
    <row r="5">
      <c r="A5" s="10" t="n">
        <v>2</v>
      </c>
      <c r="B5" s="10" t="n">
        <v>92</v>
      </c>
      <c r="C5" s="10" t="inlineStr">
        <is>
          <t>Focus Financial Partners</t>
        </is>
      </c>
      <c r="D5" s="10" t="inlineStr">
        <is>
          <t>focusfinancialpartners.com</t>
        </is>
      </c>
      <c r="E5" s="10" t="inlineStr">
        <is>
          <t>New York, NY, USA</t>
        </is>
      </c>
      <c r="F5" s="10" t="inlineStr">
        <is>
          <t>Private, 100% owned by Clayton, Dubilier &amp; Rice (CD&amp;R) since take-private completed Aug 31, 2023</t>
        </is>
      </c>
      <c r="G5" s="10" t="inlineStr">
        <is>
          <t>US-based wealth management partnership platform (RIA aggregator) with $350B+ AUM (2023) and partner firms across the US, UK, Canada, Switzerland and Australia</t>
        </is>
      </c>
      <c r="H5" s="10" t="inlineStr">
        <is>
          <t>1k-5k</t>
        </is>
      </c>
      <c r="I5" s="10" t="inlineStr">
        <is>
          <t>$2.14B FY2022 (last public figure pre take-private; net income $125.3M, up 19% YoY) - Financial Planning/Statista, reported early 2023</t>
        </is>
      </c>
      <c r="J5" s="10" t="inlineStr">
        <is>
          <t>$7B, CD&amp;R take-private deal completed Aug 31, 2023 ($53/share cash, ~36% premium) - Financier Worldwide / CD&amp;R press release</t>
        </is>
      </c>
      <c r="K5" s="10" t="inlineStr">
        <is>
          <t>CD&amp;R take-private transaction, $7B all-cash, closed Aug 31, 2023</t>
        </is>
      </c>
      <c r="L5" s="10" t="inlineStr">
        <is>
          <t>exceeds - mega-brand</t>
        </is>
      </c>
      <c r="M5" s="10" t="n">
        <v>4</v>
      </c>
      <c r="N5" s="10" t="inlineStr">
        <is>
          <t>Yes</t>
        </is>
      </c>
      <c r="O5" s="10" t="inlineStr">
        <is>
          <t>All hard filters clear with margin: revenue $2.14B far exceeds the $100M bar; valuation $7B far exceeds the $1B bar; headcount 1k-5k; no F1 conflict found; ownership clean (CD&amp;R, no state/sanctions ties); capacity strong (profitable pre-buyout, continued M&amp;A growth); fit score 4/4.</t>
        </is>
      </c>
      <c r="P5" s="10" t="inlineStr">
        <is>
          <t>Open wealth-management category plus a genuinely multi-market footprint (US/UK/Canada/Switzerland/Australia) - position as the 'global wealth partner' story, tying international fiduciary-wealth growth to F1's global calendar and affluent fanbase.</t>
        </is>
      </c>
      <c r="Q5" s="10" t="inlineStr">
        <is>
          <t>PE-owned since 2023 (under 4 years, not yet a soft-flag threshold); revenue figure is the last public (FY2022) number since the company went private in 2023</t>
        </is>
      </c>
      <c r="R5" s="10" t="inlineStr">
        <is>
          <t>verified-new</t>
        </is>
      </c>
      <c r="S5" s="10" t="inlineStr">
        <is>
          <t>2026-09-28</t>
        </is>
      </c>
    </row>
    <row r="6">
      <c r="A6" s="10" t="n">
        <v>3</v>
      </c>
      <c r="B6" s="10" t="n">
        <v>84</v>
      </c>
      <c r="C6" s="10" t="inlineStr">
        <is>
          <t>Union Bancaire Privée (UBP)</t>
        </is>
      </c>
      <c r="D6" s="10" t="inlineStr">
        <is>
          <t>ubp.com</t>
        </is>
      </c>
      <c r="E6" s="10" t="inlineStr">
        <is>
          <t>Geneva, Switzerland</t>
        </is>
      </c>
      <c r="F6" s="10" t="inlineStr">
        <is>
          <t>Private, de Picciotto family — no state ties</t>
        </is>
      </c>
      <c r="G6" s="10" t="inlineStr">
        <is>
          <t>Swiss private bank / global wealth and asset management (~$160B AUM)</t>
        </is>
      </c>
      <c r="H6" s="10" t="inlineStr">
        <is>
          <t>1k-5k</t>
        </is>
      </c>
      <c r="I6" s="10" t="inlineStr">
        <is>
          <t>CHF 1.342bn total income FY2024, +9.4% YoY; group profit CHF 257.4M, +15% YoY (UBP/PR Newswire, 27 Jan 2025)</t>
        </is>
      </c>
      <c r="J6" s="10" t="inlineStr">
        <is>
          <t>No published valuation (private, family-owned) — passes on revenue alone</t>
        </is>
      </c>
      <c r="K6" s="10" t="inlineStr">
        <is>
          <t>N/A — privately held, no external raise; self-funded, profitable</t>
        </is>
      </c>
      <c r="L6" s="10" t="inlineStr">
        <is>
          <t>meets parameters</t>
        </is>
      </c>
      <c r="M6" s="10" t="n">
        <v>3</v>
      </c>
      <c r="N6" s="10" t="inlineStr">
        <is>
          <t>Yes</t>
        </is>
      </c>
      <c r="O6" s="10" t="inlineStr">
        <is>
          <t>All hard filters pass: revenue far above the $100M bar, clearly profitable and growing (+15% YoY), no F1 tie found (direct or via parent), private family ownership with no state/compliance issue, headcount and audience scale support capacity; fit=3.</t>
        </is>
      </c>
      <c r="P6" s="10" t="inlineStr">
        <is>
          <t>Discreet Swiss-precision partner for team-ownership/paddock UHNW hospitality, leaning on its $160B AUM global client base and de Picciotto family heritage — 'old-money stewardship meets F1's new era' (est).</t>
        </is>
      </c>
      <c r="Q6" s="10" t="inlineStr">
        <is>
          <t>family-owned, no published valuation</t>
        </is>
      </c>
      <c r="R6" s="10" t="inlineStr">
        <is>
          <t>verified-new</t>
        </is>
      </c>
      <c r="S6" s="10" t="inlineStr">
        <is>
          <t>2026-09-28</t>
        </is>
      </c>
    </row>
    <row r="7">
      <c r="A7" s="10" t="n">
        <v>4</v>
      </c>
      <c r="B7" s="10" t="n">
        <v>84</v>
      </c>
      <c r="C7" s="10" t="inlineStr">
        <is>
          <t>Berenberg (Joh. Berenberg, Gossler &amp; Co.)</t>
        </is>
      </c>
      <c r="D7" s="10" t="inlineStr">
        <is>
          <t>berenberg.com</t>
        </is>
      </c>
      <c r="E7" s="10" t="inlineStr">
        <is>
          <t>Hamburg, Germany</t>
        </is>
      </c>
      <c r="F7" s="10" t="inlineStr">
        <is>
          <t>Private, partner-owned (est. 1590) — no state ties</t>
        </is>
      </c>
      <c r="G7" s="10" t="inlineStr">
        <is>
          <t>Germany's oldest private bank; wealth management, asset management, investment banking</t>
        </is>
      </c>
      <c r="H7" s="10" t="inlineStr">
        <is>
          <t>1k-5k</t>
        </is>
      </c>
      <c r="I7" s="10" t="inlineStr">
        <is>
          <t>Net commission income €387.9M + net interest income €140.8M FY2024; net profit €81.6M, +47.2% YoY; 1,528 employees (Berenberg annual results press release, 29 Jan 2025)</t>
        </is>
      </c>
      <c r="J7" s="10" t="inlineStr">
        <is>
          <t>No published valuation (private, partner-owned) — passes on revenue alone</t>
        </is>
      </c>
      <c r="K7" s="10" t="inlineStr">
        <is>
          <t>N/A — privately held, no external raise</t>
        </is>
      </c>
      <c r="L7" s="10" t="inlineStr">
        <is>
          <t>meets parameters</t>
        </is>
      </c>
      <c r="M7" s="10" t="n">
        <v>3</v>
      </c>
      <c r="N7" s="10" t="inlineStr">
        <is>
          <t>Yes</t>
        </is>
      </c>
      <c r="O7" s="10" t="inlineStr">
        <is>
          <t>All hard filters pass: revenue clearly above $100M, profit up 47% YoY (clearly improving, not distressed), no F1 tie found, private partner ownership with no state ties, headcount 1,528; fit=3.</t>
        </is>
      </c>
      <c r="P7" s="10" t="inlineStr">
        <is>
          <t>434-year continuity narrative paired with its growing UK/US investment-banking arm — a challenger-bank growth story entering F1 sponsorship the way Standard Chartered and UBS already have (est).</t>
        </is>
      </c>
      <c r="Q7" s="10" t="inlineStr">
        <is>
          <t>family/partner-owned, no published valuation</t>
        </is>
      </c>
      <c r="R7" s="10" t="inlineStr">
        <is>
          <t>verified-new</t>
        </is>
      </c>
      <c r="S7" s="10" t="inlineStr">
        <is>
          <t>2026-09-28</t>
        </is>
      </c>
    </row>
    <row r="8">
      <c r="A8" s="10" t="n">
        <v>5</v>
      </c>
      <c r="B8" s="10" t="n">
        <v>84</v>
      </c>
      <c r="C8" s="10" t="inlineStr">
        <is>
          <t>ODDO BHF</t>
        </is>
      </c>
      <c r="D8" s="10" t="inlineStr">
        <is>
          <t>oddo-bhf.com</t>
        </is>
      </c>
      <c r="E8" s="10" t="inlineStr">
        <is>
          <t>Paris/Frankfurt</t>
        </is>
      </c>
      <c r="F8" s="10" t="inlineStr">
        <is>
          <t>Private, Oddo family majority — no state ties</t>
        </is>
      </c>
      <c r="G8" s="10" t="inlineStr">
        <is>
          <t>Franco-German private bank; wealth management, asset management, investment banking</t>
        </is>
      </c>
      <c r="H8" s="10" t="inlineStr">
        <is>
          <t>1k-5k</t>
        </is>
      </c>
      <c r="I8" s="10" t="inlineStr">
        <is>
          <t>~$896M revenue and €70.12M net income FY2024 (thebanks.eu bank-profile database, 2024 figures) — clears the $100M bar with a wide margin (est., directory-sourced, broadly consistent with prior public net-banking-income figures of €700-750M)</t>
        </is>
      </c>
      <c r="J8" s="10" t="inlineStr">
        <is>
          <t>No published valuation (private, family-majority owned) — passes on revenue alone</t>
        </is>
      </c>
      <c r="K8" s="10" t="inlineStr">
        <is>
          <t>N/A — privately held, no external raise</t>
        </is>
      </c>
      <c r="L8" s="10" t="inlineStr">
        <is>
          <t>meets parameters</t>
        </is>
      </c>
      <c r="M8" s="10" t="n">
        <v>3</v>
      </c>
      <c r="N8" s="10" t="inlineStr">
        <is>
          <t>Yes</t>
        </is>
      </c>
      <c r="O8" s="10" t="inlineStr">
        <is>
          <t>All hard filters pass: revenue well above $100M (multiple consistent sources), profitable (€70M net income 2024), no F1 tie found, private family-majority ownership with no state ties, headcount 1,000-5,000; fit=3.</t>
        </is>
      </c>
      <c r="P8" s="10" t="inlineStr">
        <is>
          <t>Franco-German engineering/precision narrative tied to the French GP heritage — the cross-border 'European champion' private bank filling the wealth-management gap outside the already-sponsored UBS/Standard Chartered lanes (est).</t>
        </is>
      </c>
      <c r="Q8" s="10" t="inlineStr">
        <is>
          <t>family-owned, no published valuation; revenue figure is directory-sourced (est.) rather than a primary annual-report figure</t>
        </is>
      </c>
      <c r="R8" s="10" t="inlineStr">
        <is>
          <t>verified-new</t>
        </is>
      </c>
      <c r="S8" s="10" t="inlineStr">
        <is>
          <t>2026-09-28</t>
        </is>
      </c>
    </row>
    <row r="9">
      <c r="A9" s="10" t="n">
        <v>6</v>
      </c>
      <c r="B9" s="10" t="n">
        <v>84</v>
      </c>
      <c r="C9" s="10" t="inlineStr">
        <is>
          <t>iFAST Corporation</t>
        </is>
      </c>
      <c r="D9" s="10" t="inlineStr">
        <is>
          <t>ifastcorp.com</t>
        </is>
      </c>
      <c r="E9" s="10" t="inlineStr">
        <is>
          <t>Singapore</t>
        </is>
      </c>
      <c r="F9" s="10" t="inlineStr">
        <is>
          <t>Public (SGX: iFAST); founder-controlled (Lim Chung Chun); no state/PE ownership</t>
        </is>
      </c>
      <c r="G9" s="10" t="inlineStr">
        <is>
          <t>Digital wealth management / B2B2C investing platform across Singapore, Hong Kong, Malaysia, China and the UK</t>
        </is>
      </c>
      <c r="H9" s="10" t="inlineStr">
        <is>
          <t>1k-5k</t>
        </is>
      </c>
      <c r="I9" s="10" t="inlineStr">
        <is>
          <t>S$514.72M (~$380M), FY2025, +34.4% YoY; net profit S$100.01M, +50.1% YoY (Minichart / iFAST FY2025 results presentation, 12 Feb 2026) — clears &gt;$100M bar comfortably</t>
        </is>
      </c>
      <c r="J9" s="10" t="inlineStr">
        <is>
          <t>Not independently reconfirmed this cycle; historically traded around SGD 2-3B market cap with AUA up 27.9% YoY to $31.98B (FY2025 results, Feb 2026) implying continued growth — est. market cap &gt;$1.5-2B (est), passes &gt;$1B bar</t>
        </is>
      </c>
      <c r="K9" s="10" t="inlineStr">
        <is>
          <t>N/A (public company)</t>
        </is>
      </c>
      <c r="L9" s="10" t="inlineStr">
        <is>
          <t>meets parameters</t>
        </is>
      </c>
      <c r="M9" s="10" t="n">
        <v>3</v>
      </c>
      <c r="N9" s="10" t="inlineStr">
        <is>
          <t>Yes</t>
        </is>
      </c>
      <c r="O9" s="10" t="inlineStr">
        <is>
          <t>All hard bars pass cleanly: revenue $380M and net profit both growing &gt;30-50% YoY, likely &gt;$1B market cap, ~1,000 employees, thousands of retail/adviser clients, founder-controlled public ownership, no F1 conflict. Fit score 3/4 on multi-market digital platform story.</t>
        </is>
      </c>
      <c r="P9" s="10" t="inlineStr">
        <is>
          <t>Asia-Pacific digital wealth/fintech precision story tied to F1's growth in Asian markets (Singapore, Japan, China GPs), positioned distinctly from Standard Chartered's global wealth-partner deal (est).</t>
        </is>
      </c>
      <c r="Q9" s="10" t="inlineStr">
        <is>
          <t>valuation figure not independently reconfirmed this cycle (est); F1 already has an official Wealth Partner (Standard Chartered) — category partially taken</t>
        </is>
      </c>
      <c r="R9" s="10" t="inlineStr">
        <is>
          <t>verified-new</t>
        </is>
      </c>
      <c r="S9" s="10" t="inlineStr">
        <is>
          <t>2026-09-28</t>
        </is>
      </c>
    </row>
    <row r="10">
      <c r="A10" s="10" t="n">
        <v>7</v>
      </c>
      <c r="B10" s="10" t="n">
        <v>84</v>
      </c>
      <c r="C10" s="10" t="inlineStr">
        <is>
          <t>Charles Schwab Corporation</t>
        </is>
      </c>
      <c r="D10" s="10" t="inlineStr">
        <is>
          <t>schwab.com</t>
        </is>
      </c>
      <c r="E10" s="10" t="inlineStr">
        <is>
          <t>Westlake, TX, USA</t>
        </is>
      </c>
      <c r="F10" s="10" t="inlineStr">
        <is>
          <t>Public (NYSE: SCHW)</t>
        </is>
      </c>
      <c r="G10" s="10" t="inlineStr">
        <is>
          <t>Brokerage, wealth management and custody platform for retail and RIA clients</t>
        </is>
      </c>
      <c r="H10" s="10" t="inlineStr">
        <is>
          <t>10k+</t>
        </is>
      </c>
      <c r="I10" s="10" t="inlineStr">
        <is>
          <t>$5.9B in Q2 2025 alone (+25% YoY, record quarter) - Schwab Q2 2025 earnings release, content.schwab.com; ~$19.7B FY2024 per input</t>
        </is>
      </c>
      <c r="J10" s="10" t="inlineStr">
        <is>
          <t>~$150B market cap (public, NYSE: SCHW), consistent with large-cap financial status</t>
        </is>
      </c>
      <c r="K10" s="10" t="inlineStr">
        <is>
          <t>N/A - public company, no recent capital raise; record 2Q25 results, $10.76T total client assets (+14% YoY)</t>
        </is>
      </c>
      <c r="L10" s="10" t="inlineStr">
        <is>
          <t>exceeds - mega-brand</t>
        </is>
      </c>
      <c r="M10" s="10" t="n">
        <v>3</v>
      </c>
      <c r="N10" s="10" t="inlineStr">
        <is>
          <t>Yes</t>
        </is>
      </c>
      <c r="O10" s="10" t="inlineStr">
        <is>
          <t>All hard filters pass with strong margin: record revenue and profits (+25% YoY Q2 2025), market cap ~$150B, 35,000+ employees, no F1 conflict found, public ownership, broad affluent client base, fit score 3.</t>
        </is>
      </c>
      <c r="P10" s="10" t="inlineStr">
        <is>
          <t>Position Schwab as the 'financial performance' partner - trading/investing growth story paired with F1's precision-engineering narrative, targeting its affluent 25-54 retail-investor base (est)</t>
        </is>
      </c>
      <c r="Q10" s="10" t="n"/>
      <c r="R10" s="10" t="inlineStr">
        <is>
          <t>verified-new</t>
        </is>
      </c>
      <c r="S10" s="10" t="inlineStr">
        <is>
          <t>2026-09-28</t>
        </is>
      </c>
    </row>
    <row r="11">
      <c r="A11" s="10" t="n">
        <v>8</v>
      </c>
      <c r="B11" s="10" t="n">
        <v>84</v>
      </c>
      <c r="C11" s="10" t="inlineStr">
        <is>
          <t>Creative Planning</t>
        </is>
      </c>
      <c r="D11" s="10" t="inlineStr">
        <is>
          <t>creativeplanning.com</t>
        </is>
      </c>
      <c r="E11" s="10" t="inlineStr">
        <is>
          <t>Overland Park, KS, USA</t>
        </is>
      </c>
      <c r="F11" s="10" t="inlineStr">
        <is>
          <t>Private; majority founder-owned (Peter Mallouk) with minority PE stakes (General Atlantic since 2020, TPG since Oct 2024)</t>
        </is>
      </c>
      <c r="G11" s="10" t="inlineStr">
        <is>
          <t>US independent RIA / wealth management platform (~$370B AUM; ~$700B combined AUM/advisement as of Jan 2026)</t>
        </is>
      </c>
      <c r="H11" s="10" t="inlineStr">
        <is>
          <t>1k-5k</t>
        </is>
      </c>
      <c r="I11" s="10" t="inlineStr">
        <is>
          <t>No official figure disclosed; est. ~$700M+ (input estimate, plausible given ~$370B AUM scale) - unconfirmed (est)</t>
        </is>
      </c>
      <c r="J11" s="10" t="inlineStr">
        <is>
          <t>~$16B (TPG minority-stake deal, announced Oct 2024, per Reuters) - a published valuation exists, superseding the input's 'no published valuation' assumption</t>
        </is>
      </c>
      <c r="K11" s="10" t="inlineStr">
        <is>
          <t>TPG Capital minority investment announced Oct 2024 (~23 months ago); also reportedly pursuing a capital raise of up to $4B (2025, Citywire)</t>
        </is>
      </c>
      <c r="L11" s="10" t="inlineStr">
        <is>
          <t>meets parameters</t>
        </is>
      </c>
      <c r="M11" s="10" t="n">
        <v>3</v>
      </c>
      <c r="N11" s="10" t="inlineStr">
        <is>
          <t>Yes</t>
        </is>
      </c>
      <c r="O11" s="10" t="inlineStr">
        <is>
          <t>Valuation is confirmed at ~$16B (Oct 2024 TPG deal), comfortably above the $1B bar; revenue is unconfirmed but the ~$370B AUM scale makes the $100M bar a near-certainty; the company is aggressively expanding via acquisitions and a fresh capital raise; fit score 3 with a genuine affluent-client, open-category angle. The revenue estimate and aging PE-round timing are flagged as minor caveats rather than disqualifying.</t>
        </is>
      </c>
      <c r="P11" s="10" t="inlineStr">
        <is>
          <t>Fast-growing independent RIA consolidator with a strong founder-led growth story - pair with F1's precision-performance narrative targeting Creative Planning's HNW/affluent client base (est)</t>
        </is>
      </c>
      <c r="Q11" s="10" t="inlineStr">
        <is>
          <t>revenue figure not officially disclosed - estimate only, though far above the $100M bar given ~$370B AUM; minority PE ownership (General Atlantic) in place 6 years; TPG deal (Oct 2024) is ~23 months old, just past the ideal 18-month GTM-raise window, though the firm is clearly profitable and growing organically via acquisitions regardless</t>
        </is>
      </c>
      <c r="R11" s="10" t="inlineStr">
        <is>
          <t>verified-new</t>
        </is>
      </c>
      <c r="S11" s="10" t="inlineStr">
        <is>
          <t>2026-09-28</t>
        </is>
      </c>
    </row>
    <row r="12">
      <c r="A12" s="10" t="n">
        <v>9</v>
      </c>
      <c r="B12" s="10" t="n">
        <v>76</v>
      </c>
      <c r="C12" s="10" t="inlineStr">
        <is>
          <t>Nippon Life India Asset Management</t>
        </is>
      </c>
      <c r="D12" s="10" t="inlineStr">
        <is>
          <t>mf.nipponindiaim.com</t>
        </is>
      </c>
      <c r="E12" s="10" t="inlineStr">
        <is>
          <t>Mumbai, India</t>
        </is>
      </c>
      <c r="F12" s="10" t="inlineStr">
        <is>
          <t>Public (NSE: NAM-INDIA); majority owned (71.8%) by Nippon Life Insurance Company (Japan) — corporate strategic parent, not state or PE</t>
        </is>
      </c>
      <c r="G12" s="10" t="inlineStr">
        <is>
          <t>India asset management platform (Nippon India Mutual Fund)</t>
        </is>
      </c>
      <c r="H12" s="10" t="inlineStr">
        <is>
          <t>1k-5k</t>
        </is>
      </c>
      <c r="I12" s="10" t="inlineStr">
        <is>
          <t>~₹2,521 cr (~$300M), FY2025, +23.7% YoY (aggregated stockanalysis/tipranks data, Sep 2026) — clears &gt;$100M bar</t>
        </is>
      </c>
      <c r="J12" s="10" t="inlineStr">
        <is>
          <t>Market cap ₹74,053 cr (~$8.9B), up 35.2% YoY (screener.in, Sep 2026) — passes &gt;$1B bar</t>
        </is>
      </c>
      <c r="K12" s="10" t="inlineStr">
        <is>
          <t>N/A (public company)</t>
        </is>
      </c>
      <c r="L12" s="10" t="inlineStr">
        <is>
          <t>exceeds - mega-brand</t>
        </is>
      </c>
      <c r="M12" s="10" t="n">
        <v>2</v>
      </c>
      <c r="N12" s="10" t="inlineStr">
        <is>
          <t>Yes</t>
        </is>
      </c>
      <c r="O12" s="10" t="inlineStr">
        <is>
          <t>Hard bars pass strongly: revenue ~$300M, market cap ~$8.9B, thousands of retail investors, no F1 tie, majority owned by a stable corporate (non-state, non-PE) Japanese parent. Fit score 2/4 clears the bar via buyer profile and the Japan-India brand-story angle.</t>
        </is>
      </c>
      <c r="P12" s="10" t="inlineStr">
        <is>
          <t>"From Suzuka to Mumbai" — leverage Nippon Life Japan parentage for a Japan-India cross-market storyline tied to F1's Japanese GP and its growing Indian fanbase (est).</t>
        </is>
      </c>
      <c r="Q12" s="10" t="inlineStr">
        <is>
          <t>employee count in one public aggregator (31,192) appears anomalous for an AMC of this scale — used conservative ~1,500 estimate instead (est); single-market (India) AMC operations limit fit; F1 already has an official Wealth Partner (Standard Chartered) — category partially taken</t>
        </is>
      </c>
      <c r="R12" s="10" t="inlineStr">
        <is>
          <t>verified-new</t>
        </is>
      </c>
      <c r="S12" s="10" t="inlineStr">
        <is>
          <t>2026-09-28</t>
        </is>
      </c>
    </row>
    <row r="13">
      <c r="A13" s="11" t="n">
        <v>10</v>
      </c>
      <c r="B13" s="11" t="n">
        <v>58</v>
      </c>
      <c r="C13" s="11" t="inlineStr">
        <is>
          <t>Mirabaud Group</t>
        </is>
      </c>
      <c r="D13" s="11" t="inlineStr">
        <is>
          <t>mirabaud.com</t>
        </is>
      </c>
      <c r="E13" s="11" t="inlineStr">
        <is>
          <t>Geneva, Switzerland</t>
        </is>
      </c>
      <c r="F13" s="11" t="inlineStr">
        <is>
          <t>Private, Mirabaud family partnership — no state ties</t>
        </is>
      </c>
      <c r="G13" s="11" t="inlineStr">
        <is>
          <t>Swiss private banking, asset management and brokerage</t>
        </is>
      </c>
      <c r="H13" s="11" t="inlineStr">
        <is>
          <t>201-1k</t>
        </is>
      </c>
      <c r="I13" s="11" t="inlineStr">
        <is>
          <t>CHF 282.2M group revenue FY2024, down from CHF 309.9M in 2023 (Mirabaud annual results press release, 28 Mar 2025)</t>
        </is>
      </c>
      <c r="J13" s="11" t="inlineStr">
        <is>
          <t>No published valuation (private partnership) — passes on revenue alone</t>
        </is>
      </c>
      <c r="K13" s="11" t="inlineStr">
        <is>
          <t>N/A — privately held, no external raise</t>
        </is>
      </c>
      <c r="L13" s="11" t="inlineStr">
        <is>
          <t>meets parameters</t>
        </is>
      </c>
      <c r="M13" s="11" t="n">
        <v>3</v>
      </c>
      <c r="N13" s="11" t="inlineStr">
        <is>
          <t>Stretch</t>
        </is>
      </c>
      <c r="O13" s="11" t="inlineStr">
        <is>
          <t>Hard filters technically pass (revenue CHF282M clears $100M, no F1 tie, family ownership, no compliance issue) but capacity-to-spend is a genuine reservation: profit fell 34% YoY and a business line was discontinued in the same year, short of a clean 'clearly improving' read.</t>
        </is>
      </c>
      <c r="P13" s="11" t="inlineStr">
        <is>
          <t>Scale its existing sailing sponsorship (Bol d'Or Mirabaud) into a single-GP hospitality/paddock activation sized to its more modest but real profitability, rather than a full-season team deal (est).</t>
        </is>
      </c>
      <c r="Q13" s="11" t="inlineStr">
        <is>
          <t>family-owned, no published valuation; net profit down 34% YoY (CHF31.3M→20.5M, 2024) and discontinued its brokerage business Sept 2024 — a real reservation on spend capacity/discipline</t>
        </is>
      </c>
      <c r="R13" s="11" t="inlineStr">
        <is>
          <t>verified-new</t>
        </is>
      </c>
      <c r="S13" s="11" t="inlineStr">
        <is>
          <t>2026-09-28</t>
        </is>
      </c>
    </row>
    <row r="14">
      <c r="A14" s="11" t="n">
        <v>11</v>
      </c>
      <c r="B14" s="11" t="n">
        <v>58</v>
      </c>
      <c r="C14" s="11" t="inlineStr">
        <is>
          <t>PhillipCapital</t>
        </is>
      </c>
      <c r="D14" s="11" t="inlineStr">
        <is>
          <t>phillipcapital.com</t>
        </is>
      </c>
      <c r="E14" s="11" t="inlineStr">
        <is>
          <t>Singapore</t>
        </is>
      </c>
      <c r="F14" s="11" t="inlineStr">
        <is>
          <t>Private (Lim family); no state, PE, or sanctions exposure</t>
        </is>
      </c>
      <c r="G14" s="11" t="inlineStr">
        <is>
          <t>Pan-Asian brokerage, wealth and asset management network across 15+ countries</t>
        </is>
      </c>
      <c r="H14" s="11" t="inlineStr">
        <is>
          <t>5k-10k</t>
        </is>
      </c>
      <c r="I14" s="11" t="inlineStr">
        <is>
          <t>Estimates conflict across sources: ~$200M-$1.3B (Owler/Revelio, Sep 2026); AUM &gt;US$85B across 1.9M clients suggests group revenue in the low-to-mid hundreds of millions — treated as (est) ~$300-500M, likely clears &gt;$100M bar but figure is uncertain</t>
        </is>
      </c>
      <c r="J14" s="11" t="inlineStr">
        <is>
          <t>No published valuation (private, family-owned) — passes on revenue alone per rule; flagged "family-owned, no published valuation"</t>
        </is>
      </c>
      <c r="K14" s="11" t="inlineStr">
        <is>
          <t>N/A (private, family-owned; no external funding rounds identified)</t>
        </is>
      </c>
      <c r="L14" s="11" t="inlineStr">
        <is>
          <t>meets parameters</t>
        </is>
      </c>
      <c r="M14" s="11" t="n">
        <v>3</v>
      </c>
      <c r="N14" s="11" t="inlineStr">
        <is>
          <t>Stretch</t>
        </is>
      </c>
      <c r="O14" s="11" t="inlineStr">
        <is>
          <t>Likely clears the revenue bar and passes headcount/audience/ownership/F1 checks, and family-ownership caps the valuation bar rather than failing it, but the revenue figure is genuinely uncertain (conflicting sources by 5-6x) and profitability is undisclosed as a private firm — real reservations despite fit score 3/4.</t>
        </is>
      </c>
      <c r="P14" s="11" t="inlineStr">
        <is>
          <t>Pan-Asian trading precision story — execution speed/technology parallels with F1 engineering, positioned as a regional (Asia-Pacific) rather than global wealth sponsorship given Standard Chartered's existing series-level deal (est).</t>
        </is>
      </c>
      <c r="Q14" s="11" t="inlineStr">
        <is>
          <t>family-owned, no published valuation; revenue estimate conflicting across sources — treated as uncertain (est); limited financial disclosure as a private family firm — profitability not independently confirmed</t>
        </is>
      </c>
      <c r="R14" s="11" t="inlineStr">
        <is>
          <t>verified-new</t>
        </is>
      </c>
      <c r="S14" s="11" t="inlineStr">
        <is>
          <t>2026-09-28</t>
        </is>
      </c>
    </row>
    <row r="15">
      <c r="A15" s="11" t="n">
        <v>12</v>
      </c>
      <c r="B15" s="11" t="n">
        <v>58</v>
      </c>
      <c r="C15" s="11" t="inlineStr">
        <is>
          <t>J. Safra Sarasin (Bank J. Safra Sarasin)</t>
        </is>
      </c>
      <c r="D15" s="11" t="inlineStr">
        <is>
          <t>jsafrasarasin.com</t>
        </is>
      </c>
      <c r="E15" s="11" t="inlineStr">
        <is>
          <t>Basel, Switzerland</t>
        </is>
      </c>
      <c r="F15" s="11" t="inlineStr">
        <is>
          <t>Private (Safra family); no state, PE, or sanctions exposure</t>
        </is>
      </c>
      <c r="G15" s="11" t="inlineStr">
        <is>
          <t>Swiss private bank; wealth and asset management (~CHF 200B+ AUM)</t>
        </is>
      </c>
      <c r="H15" s="11" t="inlineStr">
        <is>
          <t>1k-5k</t>
        </is>
      </c>
      <c r="I15" s="11" t="inlineStr">
        <is>
          <t>No confirmed figure this cycle; est. CHF 500-700M (~$580-800M) based on AUM scale and typical private-banking fee ratios (est) — likely clears &gt;$100M bar</t>
        </is>
      </c>
      <c r="J15" s="11" t="inlineStr">
        <is>
          <t>No published valuation (private, family-owned) — passes on revenue alone per rule; flagged "family-owned, no published valuation"</t>
        </is>
      </c>
      <c r="K15" s="11" t="inlineStr">
        <is>
          <t>N/A (private, family-owned; no external funding identified)</t>
        </is>
      </c>
      <c r="L15" s="11" t="inlineStr">
        <is>
          <t>meets parameters</t>
        </is>
      </c>
      <c r="M15" s="11" t="n">
        <v>3</v>
      </c>
      <c r="N15" s="11" t="inlineStr">
        <is>
          <t>Stretch</t>
        </is>
      </c>
      <c r="O15" s="11" t="inlineStr">
        <is>
          <t>Likely clears the revenue bar on AUM-based estimate and passes headcount/audience/ownership/F1 checks (no CURRENT F1 conflict — only a historic 1998 sponsorship of Tyrrell), with family-ownership capping the valuation bar rather than failing it; per Track B rule, private firms with no published valuation are capped at Stretch regardless of fit score (here 3/4).</t>
        </is>
      </c>
      <c r="P15" s="11" t="inlineStr">
        <is>
          <t>Renew historic F1 ties — the bank sponsored Tyrrell in 1998; a modern revival narrative ("Swiss precision banking returns to the grid") paired with UHNW hospitality across Swiss/Monaco/Middle East GPs (est).</t>
        </is>
      </c>
      <c r="Q15" s="11" t="inlineStr">
        <is>
          <t>family-owned, no published valuation; revenue estimate not independently confirmed (est, based on AUM scale); employee count (2,408, Revelio Labs, 2025) more confidently sourced than revenue</t>
        </is>
      </c>
      <c r="R15" s="11" t="inlineStr">
        <is>
          <t>verified-new</t>
        </is>
      </c>
      <c r="S15" s="11" t="inlineStr">
        <is>
          <t>2026-09-28</t>
        </is>
      </c>
    </row>
    <row r="16">
      <c r="A16" s="11" t="n">
        <v>13</v>
      </c>
      <c r="B16" s="11" t="n">
        <v>58</v>
      </c>
      <c r="C16" s="11" t="inlineStr">
        <is>
          <t>Mercer Advisors</t>
        </is>
      </c>
      <c r="D16" s="11" t="inlineStr">
        <is>
          <t>merceradvisors.com</t>
        </is>
      </c>
      <c r="E16" s="11" t="inlineStr">
        <is>
          <t>Denver, CO, USA</t>
        </is>
      </c>
      <c r="F16" s="11" t="inlineStr">
        <is>
          <t>Private; majority-owned by PE firms Oak Hill Capital, Genstar Capital and Altas Partners, with a minority stake held by Singapore's GIC (sovereign wealth fund); growing internal employee ownership (&gt;50% of associates hold equity as of June 2025, per Businesswire)</t>
        </is>
      </c>
      <c r="G16" s="11" t="inlineStr">
        <is>
          <t>US independent RIA / wealth management platform (~$96B AUM as of Dec 2025, per Morningstar/company press)</t>
        </is>
      </c>
      <c r="H16" s="11" t="inlineStr">
        <is>
          <t>1k-5k</t>
        </is>
      </c>
      <c r="I16" s="11" t="inlineStr">
        <is>
          <t>~$400-500M+ (est); no audited figure published as of Sept 2026</t>
        </is>
      </c>
      <c r="J16" s="11" t="inlineStr">
        <is>
          <t>~$3B, per 2023 recapitalization adding Altas Partners as investor (WealthManagement.com/InvestmentNews, 2023) — no more recent published figure found</t>
        </is>
      </c>
      <c r="K16" s="11" t="inlineStr">
        <is>
          <t>2023 recapitalization: &gt;$1B common equity raised, adding Altas Partners alongside Oak Hill Capital and Genstar Capital (closed ~Q3 2023)</t>
        </is>
      </c>
      <c r="L16" s="11" t="inlineStr">
        <is>
          <t>meets parameters</t>
        </is>
      </c>
      <c r="M16" s="11" t="n">
        <v>3</v>
      </c>
      <c r="N16" s="11" t="inlineStr">
        <is>
          <t>Stretch</t>
        </is>
      </c>
      <c r="O16" s="11" t="inlineStr">
        <is>
          <t>Hard filters pass (valuation ~$3B clears &gt;$1B bar, Sept 2023; headcount 1k-5k; no F1 team/series tie found; capacity strong via continued 2026 expansion) but minority state stake (GIC) is a listed reservation trigger, and the valuation figure is 3 years stale.</t>
        </is>
      </c>
      <c r="P16" s="11" t="inlineStr">
        <is>
          <t>Open category (no wealth manager/RIA platform on the 2026 grid) - pitch 'precision wealth planning for global winners,' pairing HNW client hospitality experiences with a data-driven financial-performance narrative (est).</t>
        </is>
      </c>
      <c r="Q16" s="11" t="inlineStr">
        <is>
          <t>minority state stake (GIC, Singapore sovereign wealth fund); valuation figure is 3 years old (2023); PE-owned since ~2019 (Genstar) - 6+ years</t>
        </is>
      </c>
      <c r="R16" s="11" t="inlineStr">
        <is>
          <t>verified-new</t>
        </is>
      </c>
      <c r="S16" s="11" t="inlineStr">
        <is>
          <t>2026-09-28</t>
        </is>
      </c>
    </row>
    <row r="17">
      <c r="A17" s="11" t="n">
        <v>14</v>
      </c>
      <c r="B17" s="11" t="n">
        <v>52</v>
      </c>
      <c r="C17" s="11" t="inlineStr">
        <is>
          <t>Bordier &amp; Cie</t>
        </is>
      </c>
      <c r="D17" s="11" t="inlineStr">
        <is>
          <t>bordier.com</t>
        </is>
      </c>
      <c r="E17" s="11" t="inlineStr">
        <is>
          <t>Geneva, Switzerland</t>
        </is>
      </c>
      <c r="F17" s="11" t="inlineStr">
        <is>
          <t>Private partnership, Bordier family (unlimited-liability partners) — no state ties</t>
        </is>
      </c>
      <c r="G17" s="11" t="inlineStr">
        <is>
          <t>Swiss private bank (est. 1844), last fully family-owned Geneva private banker</t>
        </is>
      </c>
      <c r="H17" s="11" t="inlineStr">
        <is>
          <t>201-1k</t>
        </is>
      </c>
      <c r="I17" s="11" t="inlineStr">
        <is>
          <t>Not independently confirmed — ~320 employees (craft.co/Wikipedia, 2025) and CHF 18.2-21bn AUM (2024-2026); input estimate ~CHF150-200M (est) could not be verified against a primary source before the search budget ran out</t>
        </is>
      </c>
      <c r="J17" s="11" t="inlineStr">
        <is>
          <t>No published valuation (private partnership) — would pass on revenue alone if revenue is confirmed</t>
        </is>
      </c>
      <c r="K17" s="11" t="inlineStr">
        <is>
          <t>N/A — privately held, no external raise</t>
        </is>
      </c>
      <c r="L17" s="11" t="inlineStr">
        <is>
          <t>meets parameters (est)</t>
        </is>
      </c>
      <c r="M17" s="11" t="n">
        <v>2</v>
      </c>
      <c r="N17" s="11" t="inlineStr">
        <is>
          <t>Stretch</t>
        </is>
      </c>
      <c r="O17" s="11" t="inlineStr">
        <is>
          <t>F1 check is clean and ownership/headcount pass, but the $100M revenue hard bar could not be independently confirmed (search budget exhausted before a primary-source figure was found), and fit is only 2/4 with a mostly domestic footprint — an uncertain figure plus weak angles.</t>
        </is>
      </c>
      <c r="P17" s="11" t="inlineStr">
        <is>
          <t>Boutique 'last fully family-owned Geneva bank' story as a paddock-club hospitality tie rather than headline sponsorship, contingent on confirming revenue scale (est).</t>
        </is>
      </c>
      <c r="Q17" s="11" t="inlineStr">
        <is>
          <t>family/partnership-owned, no published valuation; the &gt;$100M revenue hard bar rests on an unverified (est) figure — a dedicated confirming search failed when the session's search budget ran out</t>
        </is>
      </c>
      <c r="R17" s="11" t="inlineStr">
        <is>
          <t>verified-new</t>
        </is>
      </c>
      <c r="S17" s="11" t="inlineStr">
        <is>
          <t>2026-09-28</t>
        </is>
      </c>
    </row>
    <row r="18">
      <c r="A18" s="11" t="n">
        <v>15</v>
      </c>
      <c r="B18" s="11" t="n">
        <v>52</v>
      </c>
      <c r="C18" s="11" t="inlineStr">
        <is>
          <t>B. Metzler seel. Sohn &amp; Co.</t>
        </is>
      </c>
      <c r="D18" s="11" t="inlineStr">
        <is>
          <t>metzler.com</t>
        </is>
      </c>
      <c r="E18" s="11" t="inlineStr">
        <is>
          <t>Frankfurt, Germany</t>
        </is>
      </c>
      <c r="F18" s="11" t="inlineStr">
        <is>
          <t>Private, Metzler family (13th generation) — no state ties</t>
        </is>
      </c>
      <c r="G18" s="11" t="inlineStr">
        <is>
          <t>German private bank; wealth and asset management (est. 1674)</t>
        </is>
      </c>
      <c r="H18" s="11" t="inlineStr">
        <is>
          <t>1k-5k</t>
        </is>
      </c>
      <c r="I18" s="11" t="inlineStr">
        <is>
          <t>Exact FY2024 figure not found before search budget ran out; qualitative confirmation of 'revenues and net commission income increased' and Asset Management AUM growth to €77bn (from €70bn) in its 350th-anniversary year (Metzler press materials, 2025); input estimate ~€300-400M (est)</t>
        </is>
      </c>
      <c r="J18" s="11" t="inlineStr">
        <is>
          <t>No published valuation (private) — passes on revenue alone if the estimate holds</t>
        </is>
      </c>
      <c r="K18" s="11" t="inlineStr">
        <is>
          <t>N/A — privately held, no external raise</t>
        </is>
      </c>
      <c r="L18" s="11" t="inlineStr">
        <is>
          <t>meets parameters (est)</t>
        </is>
      </c>
      <c r="M18" s="11" t="n">
        <v>2</v>
      </c>
      <c r="N18" s="11" t="inlineStr">
        <is>
          <t>Stretch</t>
        </is>
      </c>
      <c r="O18" s="11" t="inlineStr">
        <is>
          <t>F1 check is clean, ownership is fine, and indirect signals (headcount growth, €77bn AUM, record anniversary year) suggest revenue is comfortably above $100M, but no primary-source figure was confirmed — an uncertain figure — and fit is only 2/4 given its largely domestic footprint.</t>
        </is>
      </c>
      <c r="P18" s="11" t="inlineStr">
        <is>
          <t>350th-anniversary heritage plus a growing €77bn pension/asset-management book — a multi-generational stewardship angle distinct from newer banking F1 sponsors (est).</t>
        </is>
      </c>
      <c r="Q18" s="11" t="inlineStr">
        <is>
          <t>family-owned, no published valuation; exact FY2024 revenue figure unconfirmed — only qualitative 'revenue increased' language found before the search budget ran out</t>
        </is>
      </c>
      <c r="R18" s="11" t="inlineStr">
        <is>
          <t>verified-new</t>
        </is>
      </c>
      <c r="S18" s="11" t="inlineStr">
        <is>
          <t>2026-09-28</t>
        </is>
      </c>
    </row>
    <row r="19">
      <c r="A19" s="11" t="n">
        <v>16</v>
      </c>
      <c r="B19" s="11" t="n">
        <v>52</v>
      </c>
      <c r="C19" s="11" t="inlineStr">
        <is>
          <t>Motilal Oswal Financial Services</t>
        </is>
      </c>
      <c r="D19" s="11" t="inlineStr">
        <is>
          <t>motilaloswal.com</t>
        </is>
      </c>
      <c r="E19" s="11" t="inlineStr">
        <is>
          <t>Mumbai, India</t>
        </is>
      </c>
      <c r="F19" s="11" t="inlineStr">
        <is>
          <t>Public (NSE: MOTILALOFS); founder-controlled — no state ties</t>
        </is>
      </c>
      <c r="G19" s="11" t="inlineStr">
        <is>
          <t>India broking, wealth management and asset management platform</t>
        </is>
      </c>
      <c r="H19" s="11" t="inlineStr">
        <is>
          <t>10k+</t>
        </is>
      </c>
      <c r="I19" s="11" t="inlineStr">
        <is>
          <t>₹70.4bn (~$838M est., FY25, companiesmarketcap.com/screener.in) — clears the $100M bar with a wide margin</t>
        </is>
      </c>
      <c r="J19" s="11" t="inlineStr">
        <is>
          <t>₹582.54bn market cap (~$6.9B est., Jul 2026, companiesmarketcap.com) — clears the $1B bar</t>
        </is>
      </c>
      <c r="K19" s="11" t="inlineStr">
        <is>
          <t>N/A — public company</t>
        </is>
      </c>
      <c r="L19" s="11" t="inlineStr">
        <is>
          <t>exceeds - mega-brand</t>
        </is>
      </c>
      <c r="M19" s="11" t="n">
        <v>2</v>
      </c>
      <c r="N19" s="11" t="inlineStr">
        <is>
          <t>Stretch</t>
        </is>
      </c>
      <c r="O19" s="11" t="inlineStr">
        <is>
          <t>Hard filters pass comfortably (revenue ~$838M, market cap ~$6.9B, headcount 13,000, no F1 tie, founder-controlled, no compliance issue) but fit is only 2/4 — a mostly India-domestic footprint weakens the multi-market criterion, and the category is already taken.</t>
        </is>
      </c>
      <c r="P19" s="11" t="inlineStr">
        <is>
          <t>India-growth-story angle timed to F1's active courtship of the Indian market (recurring talk of a future Indian GP) — flagship Indian financial brand riding the country's wealth-creation boom (est).</t>
        </is>
      </c>
      <c r="Q19" s="11" t="inlineStr">
        <is>
          <t>revenue/market-cap figures converted at an approximate INR/USD rate (est.)</t>
        </is>
      </c>
      <c r="R19" s="11" t="inlineStr">
        <is>
          <t>verified-new</t>
        </is>
      </c>
      <c r="S19" s="11" t="inlineStr">
        <is>
          <t>2026-09-28</t>
        </is>
      </c>
    </row>
    <row r="20">
      <c r="A20" s="11" t="n">
        <v>17</v>
      </c>
      <c r="B20" s="11" t="n">
        <v>52</v>
      </c>
      <c r="C20" s="11" t="inlineStr">
        <is>
          <t>Nuvama Wealth Management</t>
        </is>
      </c>
      <c r="D20" s="11" t="inlineStr">
        <is>
          <t>nuvama.com</t>
        </is>
      </c>
      <c r="E20" s="11" t="inlineStr">
        <is>
          <t>Mumbai, India</t>
        </is>
      </c>
      <c r="F20" s="11" t="inlineStr">
        <is>
          <t>Public (NSE: NUVAMA); PAG (Hong Kong-based PE) holds 54.74% majority stake (nuvama.com corporate overview, Nov 2025) — no state ties</t>
        </is>
      </c>
      <c r="G20" s="11" t="inlineStr">
        <is>
          <t>India independent wealth management platform (demerged from Edelweiss, 2023)</t>
        </is>
      </c>
      <c r="H20" s="11" t="inlineStr">
        <is>
          <t>1k-5k</t>
        </is>
      </c>
      <c r="I20" s="11" t="inlineStr">
        <is>
          <t>₹2,901 crore (~$345M est., FY25); net income ₹986 crore (~$118M est.) (Nuvama FY24-25 annual report) — clears the $100M bar</t>
        </is>
      </c>
      <c r="J20" s="11" t="inlineStr">
        <is>
          <t>₹31,024 crore market cap (~$3.7B est.) — clears the $1B bar</t>
        </is>
      </c>
      <c r="K20" s="11" t="inlineStr">
        <is>
          <t>N/A — public company; PAG holds majority stake but no recent raise identified</t>
        </is>
      </c>
      <c r="L20" s="11" t="inlineStr">
        <is>
          <t>meets parameters</t>
        </is>
      </c>
      <c r="M20" s="11" t="n">
        <v>2</v>
      </c>
      <c r="N20" s="11" t="inlineStr">
        <is>
          <t>Stretch</t>
        </is>
      </c>
      <c r="O20" s="11" t="inlineStr">
        <is>
          <t>Hard filters pass (revenue ~$345M FY25, market cap ~$3.7B, headcount 3,414, profitable and growing, no F1 tie) but fit is only 2/4 (India-domestic footprint, category already taken), compounded by majority PE ownership (PAG, 54.74%) as a real reservation.</t>
        </is>
      </c>
      <c r="P20" s="11" t="inlineStr">
        <is>
          <t>Fastest-growing independent Indian wealth platform post its 2023 Edelweiss demerger — a 'challenger brand enters the global stage' angle, distinct from the older, more legacy-heavy Motilal Oswal (est).</t>
        </is>
      </c>
      <c r="Q20" s="11" t="inlineStr">
        <is>
          <t>PE-owned (PAG, majority 54.74% stake) — decision-making horizon may sit with the financial sponsor rather than founders; revenue/market-cap figures converted at an approximate INR/USD rate (est.)</t>
        </is>
      </c>
      <c r="R20" s="11" t="inlineStr">
        <is>
          <t>verified-new</t>
        </is>
      </c>
      <c r="S20" s="11" t="inlineStr">
        <is>
          <t>2026-09-28</t>
        </is>
      </c>
    </row>
    <row r="21">
      <c r="A21" s="11" t="n">
        <v>18</v>
      </c>
      <c r="B21" s="11" t="n">
        <v>52</v>
      </c>
      <c r="C21" s="11" t="inlineStr">
        <is>
          <t>Edelman Financial Engines</t>
        </is>
      </c>
      <c r="D21" s="11" t="inlineStr">
        <is>
          <t>edelmanfinancialengines.com</t>
        </is>
      </c>
      <c r="E21" s="11" t="inlineStr">
        <is>
          <t>Sunnyvale, CA, USA</t>
        </is>
      </c>
      <c r="F21" s="11" t="inlineStr">
        <is>
          <t>Private; majority Hellman &amp; Friedman (since 2018), minority Warburg Pincus (since 2021), also CPP Investments, Mubadala (UAE sovereign fund, minority/indirect via investor syndicate) and Glynn Capital</t>
        </is>
      </c>
      <c r="G21" s="11" t="inlineStr">
        <is>
          <t>US independent RIA / financial planning platform (workplace retirement + wealth advice)</t>
        </is>
      </c>
      <c r="H21" s="11" t="inlineStr">
        <is>
          <t>1k-5k</t>
        </is>
      </c>
      <c r="I21" s="11" t="inlineStr">
        <is>
          <t>No confirmed figure this cycle; AUM $326B and ~1.24M clients as of Dec 2025 (Edelman Financial Engines/Warburg Pincus materials) imply revenue in the ~$1-1.6B range at typical RIA fee rates (est) — clears &gt;$100M bar comfortably</t>
        </is>
      </c>
      <c r="J21" s="11" t="inlineStr">
        <is>
          <t>$7.3B post-money at the 2021 Warburg Pincus investment (Warburg Pincus press release) — dated (5 years old) but still the most recent confirmed figure; likely higher now given AUM growth from ~$250B to $326B — passes &gt;$1B bar decisively either way</t>
        </is>
      </c>
      <c r="K21" s="11" t="inlineStr">
        <is>
          <t>Warburg Pincus minority investment, 2021 (valued company at $7.3B); a 2025 sale process was explored and then halted (Oct 2025) in favor of continued organic scaling — no new raise since 2021</t>
        </is>
      </c>
      <c r="L21" s="11" t="inlineStr">
        <is>
          <t>exceeds - mega-brand</t>
        </is>
      </c>
      <c r="M21" s="11" t="n">
        <v>2</v>
      </c>
      <c r="N21" s="11" t="inlineStr">
        <is>
          <t>Stretch</t>
        </is>
      </c>
      <c r="O21" s="11" t="inlineStr">
        <is>
          <t>Hard bars pass (revenue est. $1B+, valuation $7.3B+, ~1.24M clients, no F1 tie, halted-sale signals stability not distress), fit score 2/4 clears the bar, but PE-owned 4+ years is an explicit Stretch trigger and the valuation figure itself is a stale (2021) data point.</t>
        </is>
      </c>
      <c r="P21" s="11" t="inlineStr">
        <is>
          <t>US-market "engineering your financial future" precision-tech narrative tied to F1's rapid US fanbase growth (Miami, Austin, Las Vegas GPs) (est).</t>
        </is>
      </c>
      <c r="Q21" s="11" t="inlineStr">
        <is>
          <t>PE-owned 4+ years (Hellman &amp; Friedman since 2018 = 8 yrs); valuation figure dated to 2021 — not reconfirmed (est); minor indirect exposure to UAE sovereign capital (Mubadala) via investor syndicate — not a controlling stake, not flagged as a compliance fail; note: unrelated to the PR firm Edelman, which does F1 communications consulting work — no actual F1 sponsorship tie for either entity</t>
        </is>
      </c>
      <c r="R21" s="11" t="inlineStr">
        <is>
          <t>verified-new</t>
        </is>
      </c>
      <c r="S21" s="11" t="inlineStr">
        <is>
          <t>2026-09-28</t>
        </is>
      </c>
    </row>
    <row r="22">
      <c r="A22" s="11" t="n">
        <v>19</v>
      </c>
      <c r="B22" s="11" t="n">
        <v>52</v>
      </c>
      <c r="C22" s="11" t="inlineStr">
        <is>
          <t>Hightower Advisors</t>
        </is>
      </c>
      <c r="D22" s="11" t="inlineStr">
        <is>
          <t>hightoweradvisors.com</t>
        </is>
      </c>
      <c r="E22" s="11" t="inlineStr">
        <is>
          <t>Chicago, IL, USA</t>
        </is>
      </c>
      <c r="F22" s="11" t="inlineStr">
        <is>
          <t>Private, majority-owned by Thomas H. Lee Partners (THL) since 2007, with subsequent secondary transactions; THL reportedly explored a 2026 sale via Goldman Sachs, though two major RIA acquirers passed for now (RIABiz, June 2026)</t>
        </is>
      </c>
      <c r="G22" s="11" t="inlineStr">
        <is>
          <t>US independent RIA / wealth management platform, ~$350B AUM as of Sept 2025</t>
        </is>
      </c>
      <c r="H22" s="11" t="inlineStr">
        <is>
          <t>1k-5k</t>
        </is>
      </c>
      <c r="I22" s="11" t="inlineStr">
        <is>
          <t>~$1.2B (est, LeadIQ, as of April 2026); no audited figure published</t>
        </is>
      </c>
      <c r="J22" s="11" t="inlineStr">
        <is>
          <t>No current published valuation; THL's original 2007 majority-stake price (~$250-350M) is long outdated; 2026 sale process reportedly stalled</t>
        </is>
      </c>
      <c r="K22" s="11" t="inlineStr">
        <is>
          <t>THL secondary transaction (date unconfirmed per THL website); 2026 sale process (Goldman Sachs advising) reportedly did not close as of June 2026</t>
        </is>
      </c>
      <c r="L22" s="11" t="inlineStr">
        <is>
          <t>meets parameters</t>
        </is>
      </c>
      <c r="M22" s="11" t="n">
        <v>2</v>
      </c>
      <c r="N22" s="11" t="inlineStr">
        <is>
          <t>Stretch</t>
        </is>
      </c>
      <c r="O22" s="11" t="inlineStr">
        <is>
          <t>Revenue passes on estimate alone (~$1.2B, far above the $100M bar) but no published valuation; fit score only 2/4 with a weak, generic brand-story angle; a 2026 sale process reportedly stalled, adding ownership uncertainty.</t>
        </is>
      </c>
      <c r="P22" s="11" t="inlineStr">
        <is>
          <t>11-time Inc. 5000 fastest-growing honoree with $350B AUM - angle around client-hospitality experiences for HNW advisors' books, but the weak brand hook and stalled sale process make this a lower-priority candidate versus peers.</t>
        </is>
      </c>
      <c r="Q22" s="11" t="inlineStr">
        <is>
          <t>no published valuation; PE-owned 18+ years (THL, since 2007); 2026 sale process reportedly fell through with major acquirers passing - some ownership-transition uncertainty</t>
        </is>
      </c>
      <c r="R22" s="11" t="inlineStr">
        <is>
          <t>verified-new</t>
        </is>
      </c>
      <c r="S22" s="11" t="inlineStr">
        <is>
          <t>2026-09-28</t>
        </is>
      </c>
    </row>
    <row r="23">
      <c r="A23" s="11" t="n">
        <v>20</v>
      </c>
      <c r="B23" s="11" t="n">
        <v>52</v>
      </c>
      <c r="C23" s="11" t="inlineStr">
        <is>
          <t>Cetera Financial Group</t>
        </is>
      </c>
      <c r="D23" s="11" t="inlineStr">
        <is>
          <t>cetera.com</t>
        </is>
      </c>
      <c r="E23" s="11" t="inlineStr">
        <is>
          <t>El Segundo, CA, USA</t>
        </is>
      </c>
      <c r="F23" s="11" t="inlineStr">
        <is>
          <t>Private, majority-owned by Genstar Capital (since Oct 2018); Genstar completed an equity reinvestment in Cetera in 2024</t>
        </is>
      </c>
      <c r="G23" s="11" t="inlineStr">
        <is>
          <t>US independent broker-dealer / wealth management network, ~11,400 affiliated financial professionals, ~$640B client assets (2025)</t>
        </is>
      </c>
      <c r="H23" s="11" t="inlineStr">
        <is>
          <t>1k-5k</t>
        </is>
      </c>
      <c r="I23" s="11" t="inlineStr">
        <is>
          <t>$2.7B as of FY2022 (Wikipedia/company disclosure); no more recent figure found</t>
        </is>
      </c>
      <c r="J23" s="11" t="inlineStr">
        <is>
          <t>No current published valuation found</t>
        </is>
      </c>
      <c r="K23" s="11" t="inlineStr">
        <is>
          <t>Genstar Capital equity reinvestment, closed 2024 (Genstar Capital press release)</t>
        </is>
      </c>
      <c r="L23" s="11" t="inlineStr">
        <is>
          <t>meets parameters</t>
        </is>
      </c>
      <c r="M23" s="11" t="n">
        <v>2</v>
      </c>
      <c r="N23" s="11" t="inlineStr">
        <is>
          <t>Stretch</t>
        </is>
      </c>
      <c r="O23" s="11" t="inlineStr">
        <is>
          <t>Revenue clears the bar on a stale figure ($2.7B FY2022, far above $100M) but no published valuation; fit score only 2/4 with a generic brand story; PE-owned 8 years.</t>
        </is>
      </c>
      <c r="P23" s="11" t="inlineStr">
        <is>
          <t>Growing AUM story (~$640B, up from prior years) and advisory-technology platform could support a 'performance analytics for advisors' narrative, but weak brand distinctiveness and category crowding among wealth-management candidates limit priority.</t>
        </is>
      </c>
      <c r="Q23" s="11" t="inlineStr">
        <is>
          <t>no published valuation; PE-owned since 2018 (8 years, well past the 4-year soft-flag threshold); revenue figure is 4 years old (FY2022)</t>
        </is>
      </c>
      <c r="R23" s="11" t="inlineStr">
        <is>
          <t>verified-new</t>
        </is>
      </c>
      <c r="S23" s="11" t="inlineStr">
        <is>
          <t>2026-09-28</t>
        </is>
      </c>
    </row>
    <row r="24">
      <c r="A24" s="11" t="n">
        <v>21</v>
      </c>
      <c r="B24" s="11" t="n">
        <v>52</v>
      </c>
      <c r="C24" s="11" t="inlineStr">
        <is>
          <t>Osaic (formerly Advisor Group)</t>
        </is>
      </c>
      <c r="D24" s="11" t="inlineStr">
        <is>
          <t>osaic.com</t>
        </is>
      </c>
      <c r="E24" s="11" t="inlineStr">
        <is>
          <t>Phoenix, AZ, USA</t>
        </is>
      </c>
      <c r="F24" s="11" t="inlineStr">
        <is>
          <t>Private, majority-owned by Reverence Capital Partners (75% stake acquired 2019 for $2.3B); Reverence reportedly seeking to sell up to 20% of its stake (worth up to $2.5B) as of 2025 reporting</t>
        </is>
      </c>
      <c r="G24" s="11" t="inlineStr">
        <is>
          <t>US wealth management / broker-dealer network, ~11,000 financial professionals, $700B+ client assets</t>
        </is>
      </c>
      <c r="H24" s="11" t="inlineStr">
        <is>
          <t>1k-5k</t>
        </is>
      </c>
      <c r="I24" s="11" t="inlineStr">
        <is>
          <t>Est. $1.0-5.0B range (broad third-party estimate, Owler); no precise published figure; input estimate ~$3B+</t>
        </is>
      </c>
      <c r="J24" s="11" t="inlineStr">
        <is>
          <t>~$12.5B implied (2025), based on Reverence's reported $2.5B stake sale for ~20% of the company - AdvisorHub/WealthManagement, 2025</t>
        </is>
      </c>
      <c r="K24" s="11" t="inlineStr">
        <is>
          <t>Reverence Capital completed a &gt;$2B recapitalization of Osaic (date per Reverence Capital news); 2025 reports of Reverence seeking a buyer for a partial stake</t>
        </is>
      </c>
      <c r="L24" s="11" t="inlineStr">
        <is>
          <t>exceeds - mega-brand</t>
        </is>
      </c>
      <c r="M24" s="11" t="n">
        <v>2</v>
      </c>
      <c r="N24" s="11" t="inlineStr">
        <is>
          <t>Stretch</t>
        </is>
      </c>
      <c r="O24" s="11" t="inlineStr">
        <is>
          <t>Valuation clears the bar comfortably (~$12.5B implied, 2025) but fit score only 2/4 with a generic brand story; PE-owned 6+ years.</t>
        </is>
      </c>
      <c r="P24" s="11" t="inlineStr">
        <is>
          <t>Scale story ($700B+ platform, 11,000 advisors) and 'built to last, not rushing to IPO' narrative could support a challenger-growth angle, but needs a sharper performance/precision hook to compete for an open wealth-management slot.</t>
        </is>
      </c>
      <c r="Q24" s="11" t="inlineStr">
        <is>
          <t>PE-owned since 2019 (6+ years); revenue figure is a broad, unverified third-party estimate</t>
        </is>
      </c>
      <c r="R24" s="11" t="inlineStr">
        <is>
          <t>verified-new</t>
        </is>
      </c>
      <c r="S24" s="11" t="inlineStr">
        <is>
          <t>2026-09-28</t>
        </is>
      </c>
    </row>
    <row r="25">
      <c r="A25" s="11" t="n">
        <v>22</v>
      </c>
      <c r="B25" s="11" t="n">
        <v>52</v>
      </c>
      <c r="C25" s="11" t="inlineStr">
        <is>
          <t>CAPTRUST Financial Advisors</t>
        </is>
      </c>
      <c r="D25" s="11" t="inlineStr">
        <is>
          <t>captrust.com</t>
        </is>
      </c>
      <c r="E25" s="11" t="inlineStr">
        <is>
          <t>Raleigh, NC, USA</t>
        </is>
      </c>
      <c r="F25" s="11" t="inlineStr">
        <is>
          <t>Private; GTCR holds a 25% minority growth investment (since June 2020, at a $1.25B valuation); Carlyle acquired an additional minority stake in fall 2025</t>
        </is>
      </c>
      <c r="G25" s="11" t="inlineStr">
        <is>
          <t>US RIA / retirement-plan and wealth advisory platform, $1T total client assets (June 2025), $220B AUM</t>
        </is>
      </c>
      <c r="H25" s="11" t="inlineStr">
        <is>
          <t>1k-5k</t>
        </is>
      </c>
      <c r="I25" s="11" t="inlineStr">
        <is>
          <t>$576.2M (est, growjo/company data, ~2025)</t>
        </is>
      </c>
      <c r="J25" s="11" t="inlineStr">
        <is>
          <t>$1.25B, per GTCR's 25% minority investment (June 2020) - likely higher now given AUM/assets growth from $390B AUA (2020) to $1T (2025), but no updated figure published</t>
        </is>
      </c>
      <c r="K25" s="11" t="inlineStr">
        <is>
          <t>Carlyle minority stake investment, closed fall 2025 (per RIA industry reporting)</t>
        </is>
      </c>
      <c r="L25" s="11" t="inlineStr">
        <is>
          <t>meets parameters</t>
        </is>
      </c>
      <c r="M25" s="11" t="n">
        <v>2</v>
      </c>
      <c r="N25" s="11" t="inlineStr">
        <is>
          <t>Stretch</t>
        </is>
      </c>
      <c r="O25" s="11" t="inlineStr">
        <is>
          <t>Revenue clears the bar ($576M) and the last published valuation ($1.25B, 2020) also clears &gt;$1B, but that figure is stale (5+ years, while total client assets have roughly doubled since); fit score only 2/4 with a weak brand-story angle.</t>
        </is>
      </c>
      <c r="P25" s="11" t="inlineStr">
        <is>
          <t>Position around 'the long game' - retirement/long-term wealth stewardship theme paired with F1 team performance culture; category is open, but needs a sharper creative hook than the generic retirement-advisory story.</t>
        </is>
      </c>
      <c r="Q25" s="11" t="inlineStr">
        <is>
          <t>valuation figure is 5+ years old (2020); long-tenured minority PE stakes (GTCR since 2020, Carlyle since 2025) though not majority PE control</t>
        </is>
      </c>
      <c r="R25" s="11" t="inlineStr">
        <is>
          <t>verified-new</t>
        </is>
      </c>
      <c r="S25" s="11" t="inlineStr">
        <is>
          <t>2026-09-28</t>
        </is>
      </c>
    </row>
    <row r="26">
      <c r="A26" s="11" t="n">
        <v>23</v>
      </c>
      <c r="B26" s="11" t="n">
        <v>46</v>
      </c>
      <c r="C26" s="11" t="inlineStr">
        <is>
          <t>Anand Rathi Wealth</t>
        </is>
      </c>
      <c r="D26" s="11" t="inlineStr">
        <is>
          <t>anandrathi.com</t>
        </is>
      </c>
      <c r="E26" s="11" t="inlineStr">
        <is>
          <t>Mumbai, India</t>
        </is>
      </c>
      <c r="F26" s="11" t="inlineStr">
        <is>
          <t>Public (NSE: ANANDRATHI); founder-controlled (Rathi family); no state/PE ownership</t>
        </is>
      </c>
      <c r="G26" s="11" t="inlineStr">
        <is>
          <t>Non-bank wealth management platform for HNI/affluent Indian clients, distributed via IFA network</t>
        </is>
      </c>
      <c r="H26" s="11" t="inlineStr">
        <is>
          <t>1k-5k</t>
        </is>
      </c>
      <c r="I26" s="11" t="inlineStr">
        <is>
          <t>~₹1,050-1,100 cr / ~$125-130M est. FY2025 (est, extrapolated from Q1 FY26 EBITDA +30.2% YoY, stockanalysis.com, Mar 2026; FY2024 base ~₹850cr per company data) — clears &gt;$100M bar but not independently confirmed to the rupee</t>
        </is>
      </c>
      <c r="J26" s="11" t="inlineStr">
        <is>
          <t>Market cap ₹259.46B (~$3.1B) as of 12 Mar 2026 (stockanalysis.com) — passes &gt;$1B bar</t>
        </is>
      </c>
      <c r="K26" s="11" t="inlineStr">
        <is>
          <t>N/A (public company, no recent capital raise)</t>
        </is>
      </c>
      <c r="L26" s="11" t="inlineStr">
        <is>
          <t>meets parameters</t>
        </is>
      </c>
      <c r="M26" s="11" t="n">
        <v>1</v>
      </c>
      <c r="N26" s="11" t="inlineStr">
        <is>
          <t>Stretch</t>
        </is>
      </c>
      <c r="O26" s="11" t="inlineStr">
        <is>
          <t>Passes all hard bars (revenue est. ~$125M, market cap ~$3.1B, 1,256 employees, no F1 tie, founder-controlled public co) but fit score is only 1/4 — single-market business with a weak brand-story angle and the wealth-management category already occupied by Standard Chartered at the F1 series level.</t>
        </is>
      </c>
      <c r="P26" s="11" t="inlineStr">
        <is>
          <t>India-market-timing angle: fastest-growing non-bank wealth platform riding India's HNI boom, positioned as a regional/market-specific activation rather than a global wealth partnership (differentiated from Standard Chartered's series-level deal) (est).</t>
        </is>
      </c>
      <c r="Q26" s="11" t="inlineStr">
        <is>
          <t>revenue near $100M hard bar and not independently confirmed (est); single-market (India) exposure limits fit; F1 already has an official Wealth Partner (Standard Chartered) at series level — category partially taken</t>
        </is>
      </c>
      <c r="R26" s="11" t="inlineStr">
        <is>
          <t>verified-new</t>
        </is>
      </c>
      <c r="S26" s="11" t="inlineStr">
        <is>
          <t>2026-09-28</t>
        </is>
      </c>
    </row>
    <row r="27">
      <c r="A27" s="11" t="n">
        <v>24</v>
      </c>
      <c r="B27" s="11" t="n">
        <v>46</v>
      </c>
      <c r="C27" s="11" t="inlineStr">
        <is>
          <t>HDFC Asset Management Company</t>
        </is>
      </c>
      <c r="D27" s="11" t="inlineStr">
        <is>
          <t>hdfcfund.com</t>
        </is>
      </c>
      <c r="E27" s="11" t="inlineStr">
        <is>
          <t>Mumbai, India</t>
        </is>
      </c>
      <c r="F27" s="11" t="inlineStr">
        <is>
          <t>Public (NSE: HDFCAMC); majority owned by HDFC Bank — large private Indian bank, not state or PE</t>
        </is>
      </c>
      <c r="G27" s="11" t="inlineStr">
        <is>
          <t>India's largest listed asset management company</t>
        </is>
      </c>
      <c r="H27" s="11" t="inlineStr">
        <is>
          <t>1k-5k</t>
        </is>
      </c>
      <c r="I27" s="11" t="inlineStr">
        <is>
          <t>₹4,620 cr (~$555M) TTM as of 31 Dec 2025 (screener.in / tradingview.com, Sep 2026) — clears &gt;$100M bar comfortably</t>
        </is>
      </c>
      <c r="J27" s="11" t="inlineStr">
        <is>
          <t>Market cap ₹1,02,034 cr (~$11.9B) as of Mar 2026 (tradingview/yahoo finance) — passes &gt;$1B bar easily</t>
        </is>
      </c>
      <c r="K27" s="11" t="inlineStr">
        <is>
          <t>N/A (public company)</t>
        </is>
      </c>
      <c r="L27" s="11" t="inlineStr">
        <is>
          <t>exceeds - mega-brand</t>
        </is>
      </c>
      <c r="M27" s="11" t="n">
        <v>1</v>
      </c>
      <c r="N27" s="11" t="inlineStr">
        <is>
          <t>Stretch</t>
        </is>
      </c>
      <c r="O27" s="11" t="inlineStr">
        <is>
          <t>Hard bars pass overwhelmingly (revenue ~$555M, market cap ~$11.9B, quarterly AUM +20% YoY, thousands of retail investors, no F1 tie) — tier is mega-brand — but fit score is only 1/4, a single India-market business with a weak brand-story angle and the category already taken by Standard Chartered.</t>
        </is>
      </c>
      <c r="P27" s="11" t="inlineStr">
        <is>
          <t>Scale/trust narrative — "India's largest AMC" aligned with F1's expanding Indian audience and India's investment boom, positioned as a regional partner rather than a global wealth deal (est).</t>
        </is>
      </c>
      <c r="Q27" s="11" t="inlineStr">
        <is>
          <t>single-market (India) exposure limits fit despite mega-cap scale; majority owned by HDFC Bank — strategic corporate parent; F1 already has an official Wealth Partner (Standard Chartered) — category partially taken</t>
        </is>
      </c>
      <c r="R27" s="11" t="inlineStr">
        <is>
          <t>verified-new</t>
        </is>
      </c>
      <c r="S27" s="11" t="inlineStr">
        <is>
          <t>2026-09-28</t>
        </is>
      </c>
    </row>
    <row r="28">
      <c r="A28" s="11" t="n">
        <v>25</v>
      </c>
      <c r="B28" s="11" t="n">
        <v>46</v>
      </c>
      <c r="C28" s="11" t="inlineStr">
        <is>
          <t>Quilter plc</t>
        </is>
      </c>
      <c r="D28" s="11" t="inlineStr">
        <is>
          <t>quilter.com</t>
        </is>
      </c>
      <c r="E28" s="11" t="inlineStr">
        <is>
          <t>London, UK</t>
        </is>
      </c>
      <c r="F28" s="11" t="inlineStr">
        <is>
          <t>Public (LSE: QLT); no state or PE ownership</t>
        </is>
      </c>
      <c r="G28" s="11" t="inlineStr">
        <is>
          <t>UK wealth management platform and financial advice network</t>
        </is>
      </c>
      <c r="H28" s="11" t="inlineStr">
        <is>
          <t>1k-5k</t>
        </is>
      </c>
      <c r="I28" s="11" t="inlineStr">
        <is>
          <t>Reported figures conflicted this cycle: one source cited ~$1.9B (2024, +17.7% YoY) which appears inconsistent with company scale/prior filings; treated cautiously using lower-end (est) ~£850M-900M (~$1.05-1.1B) — clears &gt;$100M bar regardless of which figure is used</t>
        </is>
      </c>
      <c r="J28" s="11" t="inlineStr">
        <is>
          <t>Market cap ~$3.6B (mlq.ai, Sep 2026); input estimate was lower (~£1.8B/$2.3B) — passes &gt;$1B bar on either figure</t>
        </is>
      </c>
      <c r="K28" s="11" t="inlineStr">
        <is>
          <t>N/A (public company)</t>
        </is>
      </c>
      <c r="L28" s="11" t="inlineStr">
        <is>
          <t>meets parameters</t>
        </is>
      </c>
      <c r="M28" s="11" t="n">
        <v>1</v>
      </c>
      <c r="N28" s="11" t="inlineStr">
        <is>
          <t>Stretch</t>
        </is>
      </c>
      <c r="O28" s="11" t="inlineStr">
        <is>
          <t>Hard bars pass (revenue clearly &gt;$100M on any reading, market cap ~$3.6B, 3,207 employees, record £5.2bn net inflows in 2024, no F1 tie, public no-state/PE ownership), but fit score is only 1/4 — a UK-only business with a weak brand-story angle — and the revenue figure itself was inconsistent across sources.</t>
        </is>
      </c>
      <c r="P28" s="11" t="inlineStr">
        <is>
          <t>UK-market digital wealth growth story tied to British GP (Silverstone) hospitality, positioned as a team-level UK partner distinct from F1's global Wealth Partner (est).</t>
        </is>
      </c>
      <c r="Q28" s="11" t="inlineStr">
        <is>
          <t>revenue figure inconsistent across sources this cycle — treated as uncertain (est); predominantly UK-market exposure limits fit; F1 already has an official Wealth Partner (Standard Chartered) — category partially taken</t>
        </is>
      </c>
      <c r="R28" s="11" t="inlineStr">
        <is>
          <t>verified-new</t>
        </is>
      </c>
      <c r="S28" s="11" t="inlineStr">
        <is>
          <t>2026-09-28</t>
        </is>
      </c>
    </row>
    <row r="29">
      <c r="A29" s="11" t="n">
        <v>26</v>
      </c>
      <c r="B29" s="11" t="n">
        <v>46</v>
      </c>
      <c r="C29" s="11" t="inlineStr">
        <is>
          <t>Evelyn Partners</t>
        </is>
      </c>
      <c r="D29" s="11" t="inlineStr">
        <is>
          <t>evelyn.com</t>
        </is>
      </c>
      <c r="E29" s="11" t="inlineStr">
        <is>
          <t>London, UK</t>
        </is>
      </c>
      <c r="F29" s="11" t="inlineStr">
        <is>
          <t>Private (Permira since 2014, Warburg Pincus since 2020); pending acquisition by NatWest Group</t>
        </is>
      </c>
      <c r="G29" s="11" t="inlineStr">
        <is>
          <t>UK wealth management and financial planning (formerly Tilney Smith &amp; Williamson), ~£63bn client assets</t>
        </is>
      </c>
      <c r="H29" s="11" t="inlineStr">
        <is>
          <t>1k-5k</t>
        </is>
      </c>
      <c r="I29" s="11" t="inlineStr">
        <is>
          <t>No confirmed total revenue this cycle; adjusted EBITDA £174.3m in 2024, +11.8% YoY (Permira/Warburg Pincus press materials, referenced in 2026 NatWest-sale coverage) — implied revenue likely £600-700M range (est) given AUM scale, clears &gt;$100M bar</t>
        </is>
      </c>
      <c r="J29" s="11" t="inlineStr">
        <is>
          <t>Being acquired by NatWest Group for £2.7bn enterprise value, announced ~9 Feb 2026 (Warburg Pincus press release / Private Equity Wire) — passes &gt;$1B bar decisively</t>
        </is>
      </c>
      <c r="K29" s="11" t="inlineStr">
        <is>
          <t>N/A — pending sale/acquisition by NatWest (announced Feb 2026, expected close summer 2026), not a growth-capital raise</t>
        </is>
      </c>
      <c r="L29" s="11" t="inlineStr">
        <is>
          <t>meets parameters</t>
        </is>
      </c>
      <c r="M29" s="11" t="n">
        <v>1</v>
      </c>
      <c r="N29" s="11" t="inlineStr">
        <is>
          <t>Stretch</t>
        </is>
      </c>
      <c r="O29" s="11" t="inlineStr">
        <is>
          <t>Valuation bar is cleared decisively via the pending £2.7bn NatWest acquisition, and revenue is plausibly well above $100M, but this is exactly the kind of real reservation the Stretch tier exists for: PE-owned 4+ years, weak fit (1/4), and — most importantly — the company is mid-acquisition into a bank, creating brand-continuity risk for any new F1 sponsorship commitment.</t>
        </is>
      </c>
      <c r="P29" s="11" t="inlineStr">
        <is>
          <t>Timing-sensitive: any outreach should be framed as a bridge play ahead of the NatWest deal closing (expected summer 2026), or deferred until the post-acquisition brand strategy is clear (est).</t>
        </is>
      </c>
      <c r="Q29" s="11" t="inlineStr">
        <is>
          <t>PE-owned 4+ years (Permira since 2014 = 12 yrs, Warburg Pincus since 2020 = 6 yrs); pending acquisition by NatWest (£2.7bn EV, announced Feb 2026, expected close summer 2026) — brand-continuity risk for any new sponsorship commitment; UK-only market exposure limits fit</t>
        </is>
      </c>
      <c r="R29" s="11" t="inlineStr">
        <is>
          <t>verified-new</t>
        </is>
      </c>
      <c r="S29" s="11" t="inlineStr">
        <is>
          <t>2026-09-28</t>
        </is>
      </c>
    </row>
    <row r="30">
      <c r="A30" s="11" t="n">
        <v>27</v>
      </c>
      <c r="B30" s="11" t="n">
        <v>46</v>
      </c>
      <c r="C30" s="11" t="inlineStr">
        <is>
          <t>Rathbones Group plc</t>
        </is>
      </c>
      <c r="D30" s="11" t="inlineStr">
        <is>
          <t>rathbones.com</t>
        </is>
      </c>
      <c r="E30" s="11" t="inlineStr">
        <is>
          <t>London, UK</t>
        </is>
      </c>
      <c r="F30" s="11" t="inlineStr">
        <is>
          <t>Public (LSE: RAT); no state or PE ownership</t>
        </is>
      </c>
      <c r="G30" s="11" t="inlineStr">
        <is>
          <t>UK wealth management and investment services (incl. Investec W&amp;I integration), ~£100bn+ FUMA</t>
        </is>
      </c>
      <c r="H30" s="11" t="inlineStr">
        <is>
          <t>1k-5k</t>
        </is>
      </c>
      <c r="I30" s="11" t="inlineStr">
        <is>
          <t>Operating income £895.9M in 2024, up £324.8M YoY reflecting a full year of IW&amp;I income (Rathbones 2024 preliminary results, rathbones.com) — clears &gt;$100M bar comfortably</t>
        </is>
      </c>
      <c r="J30" s="11" t="inlineStr">
        <is>
          <t>Market cap est. ~£1.4B (~$1.8B) — carried from input, not independently reconfirmed this cycle (est) — passes &gt;$1B bar</t>
        </is>
      </c>
      <c r="K30" s="11" t="inlineStr">
        <is>
          <t>N/A (public company)</t>
        </is>
      </c>
      <c r="L30" s="11" t="inlineStr">
        <is>
          <t>meets parameters</t>
        </is>
      </c>
      <c r="M30" s="11" t="n">
        <v>1</v>
      </c>
      <c r="N30" s="11" t="inlineStr">
        <is>
          <t>Stretch</t>
        </is>
      </c>
      <c r="O30" s="11" t="inlineStr">
        <is>
          <t>Hard bars pass (operating income ~£896M, market cap est. ~$1.8B, thousands of private/charity/trust clients, no F1 tie, public no-state/PE ownership), but fit score is only 1/4 — a UK-only heritage brand with a weak angle for a global sponsorship platform.</t>
        </is>
      </c>
      <c r="P30" s="11" t="inlineStr">
        <is>
          <t>Heritage UK wealth manager (est. 1742) — "generations of stewardship" angle tied to Silverstone/British GP hospitality for longstanding UHNW client relationships (est).</t>
        </is>
      </c>
      <c r="Q30" s="11" t="inlineStr">
        <is>
          <t>UK-only market exposure limits fit; market cap and employee figures not independently reconfirmed this cycle (est, carried from input); F1 already has an official Wealth Partner (Standard Chartered) — category partially taken</t>
        </is>
      </c>
      <c r="R30" s="11" t="inlineStr">
        <is>
          <t>verified-new</t>
        </is>
      </c>
      <c r="S30" s="11" t="inlineStr">
        <is>
          <t>2026-09-28</t>
        </is>
      </c>
    </row>
  </sheetData>
  <autoFilter ref="A3:S30"/>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S24"/>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Insurance Brokers &amp; Reinsurance — brand-new sector — 21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"26 Insurance Brokers &amp; Reinsura".</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0" t="n">
        <v>1</v>
      </c>
      <c r="B4" s="10" t="n">
        <v>84</v>
      </c>
      <c r="C4" s="10" t="inlineStr">
        <is>
          <t>Sirius Point Ltd</t>
        </is>
      </c>
      <c r="D4" s="10" t="inlineStr">
        <is>
          <t>siriuspt.com</t>
        </is>
      </c>
      <c r="E4" s="10" t="inlineStr">
        <is>
          <t>Hamilton, Bermuda</t>
        </is>
      </c>
      <c r="F4" s="10" t="inlineStr">
        <is>
          <t>Public (NYSE: SPNT), widely held, no controlling shareholder or state stake (verified via Yahoo/Nasdaq, Aug 2026)</t>
        </is>
      </c>
      <c r="G4" s="10" t="inlineStr">
        <is>
          <t>Global specialty (re)insurance and insurance &amp; services lines</t>
        </is>
      </c>
      <c r="H4" s="10" t="inlineStr">
        <is>
          <t>201-1k</t>
        </is>
      </c>
      <c r="I4" s="10" t="inlineStr">
        <is>
          <t>GWP ~$1.8B (est, per input); Q2 2026 net income $69M (+44% YoY), H1 2026 operating net income $165M, GWP guided +5-10% for 2026 (Nasdaq press release, Seeking Alpha, Aug 2026) - clears $100M bar comfortably</t>
        </is>
      </c>
      <c r="J4" s="10" t="inlineStr">
        <is>
          <t>Market cap $2.74B as of Aug 5, 2026 (GuruFocus/stockanalysis.com) - clears $1B hard bar</t>
        </is>
      </c>
      <c r="K4" s="10" t="inlineStr">
        <is>
          <t>N/A (public); share buyback program expanded to $174M, 2026 (Seeking Alpha)</t>
        </is>
      </c>
      <c r="L4" s="10" t="inlineStr">
        <is>
          <t>meets parameters</t>
        </is>
      </c>
      <c r="M4" s="10" t="n">
        <v>3</v>
      </c>
      <c r="N4" s="10" t="inlineStr">
        <is>
          <t>Yes</t>
        </is>
      </c>
      <c r="O4" s="10" t="inlineStr">
        <is>
          <t>All hard filters pass: no F1/team/series conflict found; market cap $2.74B (&gt;$1B); revenue scale clears $100M bar; public and profitable with rising ROE; headcount ~500 (201-1k band); no state/sanctions ownership issue; fit score 3.</t>
        </is>
      </c>
      <c r="P4" s="10" t="inlineStr">
        <is>
          <t>Position as the performance-underwriting/risk-analytics story behind the grid - 'the science of managing risk at 200mph' - open category since Marsh's deal is series-level insurance brokering, not a team-level specialty-reinsurance partnership (est).</t>
        </is>
      </c>
      <c r="Q4" s="10" t="inlineStr">
        <is>
          <t>Marsh already holds F1 series-level Official Risk/Insurance Brokering/Reinsurance Partner deal - adjacent-category overlap to flag for outreach framing</t>
        </is>
      </c>
      <c r="R4" s="10" t="inlineStr">
        <is>
          <t>verified-new</t>
        </is>
      </c>
      <c r="S4" s="10" t="inlineStr">
        <is>
          <t>2026-09-28</t>
        </is>
      </c>
    </row>
    <row r="5">
      <c r="A5" s="10" t="n">
        <v>2</v>
      </c>
      <c r="B5" s="10" t="n">
        <v>84</v>
      </c>
      <c r="C5" s="10" t="inlineStr">
        <is>
          <t>Korean Reinsurance Company</t>
        </is>
      </c>
      <c r="D5" s="10" t="inlineStr">
        <is>
          <t>koreanre.co.kr</t>
        </is>
      </c>
      <c r="E5" s="10" t="inlineStr">
        <is>
          <t>Seoul, South Korea</t>
        </is>
      </c>
      <c r="F5" s="10" t="inlineStr">
        <is>
          <t>Public (KRX: 003690); privatized in 1978 from a state-funded enterprise, now widely held with institutional investors, no current government stake or single controlling shareholder (per company profile search, June 2026)</t>
        </is>
      </c>
      <c r="G5" s="10" t="inlineStr">
        <is>
          <t>South Korea's leading reinsurer; global reinsurance across life/non-life lines, ~42% of premium from overseas</t>
        </is>
      </c>
      <c r="H5" s="10" t="inlineStr">
        <is>
          <t>201-1k</t>
        </is>
      </c>
      <c r="I5" s="10" t="inlineStr">
        <is>
          <t>TTM revenue $3.05B as of Dec 31, 2025 (stockanalysis.com); H1 2026 consolidated revenue KRW 3,829.4B, net income KRW 347.2B (Reinsurance News/Yahoo Finance) - clears $100M bar by a wide margin</t>
        </is>
      </c>
      <c r="J5" s="10" t="inlineStr">
        <is>
          <t>Market cap $1.63B as of June 17, 2026 (stockanalysis.com/mlq.ai); KRW 2.02 trillion as of Dec 29, 2025 - clears $1B hard bar</t>
        </is>
      </c>
      <c r="K5" s="10" t="inlineStr">
        <is>
          <t>N/A (public, KOSPI-listed since privatization in 1978)</t>
        </is>
      </c>
      <c r="L5" s="10" t="inlineStr">
        <is>
          <t>meets parameters</t>
        </is>
      </c>
      <c r="M5" s="10" t="n">
        <v>3</v>
      </c>
      <c r="N5" s="10" t="inlineStr">
        <is>
          <t>Yes</t>
        </is>
      </c>
      <c r="O5" s="10" t="inlineStr">
        <is>
          <t>All hard filters pass: no F1/team/series conflict found; market cap $1.63B (&gt;$1B) and TTM revenue $3.05B (&gt;&gt;$100M); public, profitable, no government/controlling-shareholder stake; headcount ~700 (201-1k band); fit score 3.</t>
        </is>
      </c>
      <c r="P5" s="10" t="inlineStr">
        <is>
          <t>Korea's only homegrown global reinsurer entering an era of overseas expansion - frame as a growth-market/global-ambition story tied to F1's push into Asia-Pacific fan markets (est).</t>
        </is>
      </c>
      <c r="Q5" s="10" t="inlineStr">
        <is>
          <t>Confirmed no controlling state shareholder (input flag resolved - fully privatized since 1978); Marsh's existing F1 series insurance/reinsurance partnership is an adjacent-category consideration</t>
        </is>
      </c>
      <c r="R5" s="10" t="inlineStr">
        <is>
          <t>verified-new</t>
        </is>
      </c>
      <c r="S5" s="10" t="inlineStr">
        <is>
          <t>2026-09-28</t>
        </is>
      </c>
    </row>
    <row r="6">
      <c r="A6" s="11" t="n">
        <v>3</v>
      </c>
      <c r="B6" s="11" t="n">
        <v>58</v>
      </c>
      <c r="C6" s="11" t="inlineStr">
        <is>
          <t>Peak Reinsurance Company</t>
        </is>
      </c>
      <c r="D6" s="11" t="inlineStr">
        <is>
          <t>peak-re.com</t>
        </is>
      </c>
      <c r="E6" s="11" t="inlineStr">
        <is>
          <t>Hong Kong</t>
        </is>
      </c>
      <c r="F6" s="11" t="inlineStr">
        <is>
          <t>Private: Fosun International holds 86.71%; KKR (11.27%) and Quadrantis Capital (1.80%) hold minority stakes acquired from Prudential Financial in Q4 2025 (Reinsurance News/Insurance Business, 2025); not state-owned</t>
        </is>
      </c>
      <c r="G6" s="11" t="inlineStr">
        <is>
          <t>Asia-focused global reinsurance for the emerging middle class; life and non-life treaty/facultative business</t>
        </is>
      </c>
      <c r="H6" s="11" t="inlineStr">
        <is>
          <t>51-200</t>
        </is>
      </c>
      <c r="I6" s="11" t="inlineStr">
        <is>
          <t>FY2025 reinsurance revenue $1.54B (+32.8% YoY), GWP $2.20B (+25%), net profit $189.5M; H1 2026 reinsurance revenue $825.7M (+25% YoY), net profit $89.7M (Reinsurancene.ws, 2025-2026) - clears $100M bar comfortably</t>
        </is>
      </c>
      <c r="J6" s="11" t="inlineStr">
        <is>
          <t>No confirmed current valuation; Fosun sought ~$1B for Peak Re in a 2024 sale process that did not conclude (Fosun still holds 86.71%); KKR/Quadrantis Q4 2025 stake purchase price undisclosed - uncertain figure, not confirmed &gt;$1B</t>
        </is>
      </c>
      <c r="K6" s="11" t="inlineStr">
        <is>
          <t>KKR (11.27%) + Quadrantis Capital (1.80%) acquired Prudential Financial's 13.07% stake, Q4 2025, price undisclosed (Reinsurance News)</t>
        </is>
      </c>
      <c r="L6" s="11" t="inlineStr">
        <is>
          <t>meets parameters</t>
        </is>
      </c>
      <c r="M6" s="11" t="n">
        <v>3</v>
      </c>
      <c r="N6" s="11" t="inlineStr">
        <is>
          <t>Stretch</t>
        </is>
      </c>
      <c r="O6" s="11" t="inlineStr">
        <is>
          <t>Passes hard filters on revenue alone ($1.54B FY25 revenue, clearly &gt;$100M) but valuation is an uncertain figure - only an unconcluded ~$1B ask from 2024, no confirmed current mark. All other hard filters (no F1 conflict, headcount, capacity, audience, ownership) pass; fit score 3.</t>
        </is>
      </c>
      <c r="P6" s="11" t="inlineStr">
        <is>
          <t>Fast-growing Asia-based reinsurer riding double-digit premium growth - pitch as the 'emerging-markets growth story' angle for F1's Asia-Pacific expansion push (est).</t>
        </is>
      </c>
      <c r="Q6" s="11" t="inlineStr">
        <is>
          <t>No published/confirmed current valuation - private, majority Fosun-owned, cap verdict at Stretch; 2024 ~$1B valuation ask never confirmed as concluded</t>
        </is>
      </c>
      <c r="R6" s="11" t="inlineStr">
        <is>
          <t>verified-new</t>
        </is>
      </c>
      <c r="S6" s="11" t="inlineStr">
        <is>
          <t>2026-09-28</t>
        </is>
      </c>
    </row>
    <row r="7">
      <c r="A7" s="11" t="n">
        <v>4</v>
      </c>
      <c r="B7" s="11" t="n">
        <v>58</v>
      </c>
      <c r="C7" s="11" t="inlineStr">
        <is>
          <t>Vantage Risk (Vantage Group Holdings)</t>
        </is>
      </c>
      <c r="D7" s="11" t="inlineStr">
        <is>
          <t>vantagerisk.com</t>
        </is>
      </c>
      <c r="E7" s="11" t="inlineStr">
        <is>
          <t>Hamilton, Bermuda</t>
        </is>
      </c>
      <c r="F7" s="11" t="inlineStr">
        <is>
          <t>Private, PE-owned by The Carlyle Group and Hellman &amp; Friedman since founding in late 2020; pending 100% acquisition by Howard Hughes Holdings Inc. (public), announced Dec 2025, expected to close Q2 2026 (Carlyle/Howard Hughes investor releases)</t>
        </is>
      </c>
      <c r="G7" s="11" t="inlineStr">
        <is>
          <t>Specialty (re)insurance - diversified global P&amp;C products, US and Bermuda markets, 'modern infrastructure and advanced analytics' positioning</t>
        </is>
      </c>
      <c r="H7" s="11" t="inlineStr">
        <is>
          <t>201-1k</t>
        </is>
      </c>
      <c r="I7" s="11" t="inlineStr">
        <is>
          <t>No confirmed public figure; input estimate ~$1B+ GWP (est) is consistent with a $2.1B enterprise value at ~1.5x year-end-2025 book value (Carlyle/Howard Hughes, Dec 2025) - likely clears $100M bar</t>
        </is>
      </c>
      <c r="J7" s="11" t="inlineStr">
        <is>
          <t>Howard Hughes Holdings agreed to acquire 100% of Vantage for $2.1B cash (~1.5x YE2025 book value), announced Dec 2025, expected close Q2 2026 (Carlyle media room, Howard Hughes investor release) - clears $1B hard bar</t>
        </is>
      </c>
      <c r="K7" s="11" t="inlineStr">
        <is>
          <t>Howard Hughes Holdings to acquire 100% for $2.1B cash, announced Dec 2025, expected close Q2 2026 (pending/uncertain whether closed as of Sep 2026)</t>
        </is>
      </c>
      <c r="L7" s="11" t="inlineStr">
        <is>
          <t>meets parameters</t>
        </is>
      </c>
      <c r="M7" s="11" t="n">
        <v>3</v>
      </c>
      <c r="N7" s="11" t="inlineStr">
        <is>
          <t>Stretch</t>
        </is>
      </c>
      <c r="O7" s="11" t="inlineStr">
        <is>
          <t>No confirmed F1 tie for this entity specifically (the Ferrari partner is the unrelated Vantage Markets); valuation clears $1B via the pending $2.1B Howard Hughes deal; fit score 3. Real reservations: PE-owned 6+ years and an unresolved ownership transition, plus a serious brand-confusion risk from the identically-named Ferrari F1 partner.</t>
        </is>
      </c>
      <c r="P7" s="11" t="inlineStr">
        <is>
          <t>Next-generation, analytics-driven specialty (re)insurer - but MUST clear the Vantage/Vantage Markets naming collision with F1's marketing team before any outreach to avoid being mistaken for Ferrari's existing partner (est).</t>
        </is>
      </c>
      <c r="Q7" s="11" t="inlineStr">
        <is>
          <t>PE-owned since founding in 2020 (6 years) - PE 4+ yrs flag; Ownership in transition - pending $2.1B sale to Howard Hughes Holdings, expected close Q2 2026, status as of Sep 2026 unconfirmed; IMPORTANT naming collision: a different, unrelated company also called "Vantage" (Vantage Markets, a CFD/forex trading platform) is Scuderia Ferrari HP's official F1 partner since Jan 2025 (PRNewswire/Ferrari.com). No ownership or corporate link found between Vantage Markets and Vantage Group Holdings (the reinsurer) - verified as a name coincidence, not a conflict - but flagged given high confusion risk for outreach materials</t>
        </is>
      </c>
      <c r="R7" s="11" t="inlineStr">
        <is>
          <t>verified-new</t>
        </is>
      </c>
      <c r="S7" s="11" t="inlineStr">
        <is>
          <t>2026-09-28</t>
        </is>
      </c>
    </row>
    <row r="8">
      <c r="A8" s="11" t="n">
        <v>5</v>
      </c>
      <c r="B8" s="11" t="n">
        <v>52</v>
      </c>
      <c r="C8" s="11" t="inlineStr">
        <is>
          <t>Specialist Risk Group (SRG)</t>
        </is>
      </c>
      <c r="D8" s="11" t="inlineStr">
        <is>
          <t>srgeurope.com</t>
        </is>
      </c>
      <c r="E8" s="11" t="inlineStr">
        <is>
          <t>London, UK</t>
        </is>
      </c>
      <c r="F8" s="11" t="inlineStr">
        <is>
          <t>Private; majority acquired by Warburg Pincus and Temasek (Singapore's sovereign wealth fund) in a deal announced May 2024 and completed Sept 2024, valuing SRG at over GBP 1B. Note: input listed owner as Bain Capital, which is outdated - current owners are Warburg Pincus and Temasek.</t>
        </is>
      </c>
      <c r="G8" s="11" t="inlineStr">
        <is>
          <t>UK specialty insurance broking platform placing GBP 1B+ in premiums; includes a dedicated Motorsport insurance practice (on-track accident damage, liability, event cancellation)</t>
        </is>
      </c>
      <c r="H8" s="11" t="inlineStr">
        <is>
          <t>1k-5k</t>
        </is>
      </c>
      <c r="I8" s="11" t="inlineStr">
        <is>
          <t>No published figure found; input est. GBP 300-400M; company places GBP 1B+ in premiums (premium volume, not revenue)</t>
        </is>
      </c>
      <c r="J8" s="11" t="inlineStr">
        <is>
          <t>GBP 1B+ (~$1.27B), per Warburg Pincus/Temasek acquisition announced May 2024, completed Sept 2024 - insurance trade press</t>
        </is>
      </c>
      <c r="K8" s="11" t="inlineStr">
        <is>
          <t>Warburg Pincus/Temasek majority acquisition, completed Sept 2024</t>
        </is>
      </c>
      <c r="L8" s="11" t="inlineStr">
        <is>
          <t>meets parameters</t>
        </is>
      </c>
      <c r="M8" s="11" t="n">
        <v>2</v>
      </c>
      <c r="N8" s="11" t="inlineStr">
        <is>
          <t>Stretch</t>
        </is>
      </c>
      <c r="O8" s="11" t="inlineStr">
        <is>
          <t>Valuation clears the bar (GBP 1B+/~$1.27B, Sept 2024) and SRG itself has no F1 tie, but F1's entire insurance broking/risk/reinsurance category is now exclusively held by Marsh (announced April 2026) - the category is effectively closed at the series level; fit score only 2/4; minority state-linked stake via Temasek.</t>
        </is>
      </c>
      <c r="P8" s="11" t="inlineStr">
        <is>
          <t>Series-level insurance category is closed (Marsh) - the only realistic angle is a team-level partnership leveraging SRG's existing dedicated Motorsport insurance practice (on-track accident/liability/event-cancellation cover) as a credibility-based, non-exclusive advisory tie-in rather than a branding sponsorship.</t>
        </is>
      </c>
      <c r="Q8" s="11" t="inlineStr">
        <is>
          <t>minority state-linked stake via Temasek (Singapore sovereign wealth fund), alongside Warburg Pincus; input's stated owner (Bain Capital) is outdated</t>
        </is>
      </c>
      <c r="R8" s="11" t="inlineStr">
        <is>
          <t>verified-new</t>
        </is>
      </c>
      <c r="S8" s="11" t="inlineStr">
        <is>
          <t>2026-09-28</t>
        </is>
      </c>
    </row>
    <row r="9">
      <c r="A9" s="11" t="n">
        <v>6</v>
      </c>
      <c r="B9" s="11" t="n">
        <v>52</v>
      </c>
      <c r="C9" s="11" t="inlineStr">
        <is>
          <t>CRC Group</t>
        </is>
      </c>
      <c r="D9" s="11" t="inlineStr">
        <is>
          <t>crcinsurance.com</t>
        </is>
      </c>
      <c r="E9" s="11" t="inlineStr">
        <is>
          <t>Birmingham, AL, USA</t>
        </is>
      </c>
      <c r="F9" s="11" t="inlineStr">
        <is>
          <t>Private; parent holding company TIH (formerly Truist Insurance Holdings) is owned by a consortium of Stone Point Capital, Clayton Dubilier &amp; Rice (CD&amp;R), and Mubadala Investment Company (Abu Dhabi sovereign wealth fund), following completion of a buyout from Truist Financial on May 7, 2024, at a $15.5B enterprise value</t>
        </is>
      </c>
      <c r="G9" s="11" t="inlineStr">
        <is>
          <t>US wholesale specialty insurance distribution / MGA platform (ranked among the largest US insurance brokerages); parent TIH places $30B+ in premiums through its wholesale, retail and underwriting businesses</t>
        </is>
      </c>
      <c r="H9" s="11" t="inlineStr">
        <is>
          <t>1k-5k</t>
        </is>
      </c>
      <c r="I9" s="11" t="inlineStr">
        <is>
          <t>No CRC-specific figure found; parent TIH places $30B+ in premiums (not revenue) across ~10,000 employees; input est. ~$1B+ for CRC specifically</t>
        </is>
      </c>
      <c r="J9" s="11" t="inlineStr">
        <is>
          <t>$15.5B enterprise value for parent TIH (Truist Insurance Holdings), per Feb 2024 announcement / completed May 7, 2024 (~18x 2023 core EBITDA) - Truist/Stone Point/CD&amp;R/Mubadala press releases; figure applies to the whole TIH group, not CRC Group standalone</t>
        </is>
      </c>
      <c r="K9" s="11" t="inlineStr">
        <is>
          <t>Stone Point Capital / CD&amp;R / Mubadala consortium buyout of the remaining 80% of TIH, completed May 7, 2024 ($15.5B EV)</t>
        </is>
      </c>
      <c r="L9" s="11" t="inlineStr">
        <is>
          <t>exceeds - mega-brand</t>
        </is>
      </c>
      <c r="M9" s="11" t="n">
        <v>2</v>
      </c>
      <c r="N9" s="11" t="inlineStr">
        <is>
          <t>Stretch</t>
        </is>
      </c>
      <c r="O9" s="11" t="inlineStr">
        <is>
          <t>Parent-level valuation clears the bar massively ($15.5B EV, May 2024) but the figure applies to TIH as a whole rather than CRC Group standalone (uncertain attribution); F1's insurance broking/risk/reinsurance category is exclusively held by Marsh (April 2026); minority state stake via Mubadala; fit score only 2/4.</t>
        </is>
      </c>
      <c r="P9" s="11" t="inlineStr">
        <is>
          <t>Series-level category is closed (Marsh); given CRC/TIH's scale and recent independence story, the only realistic angle is a bespoke, non-exclusive team-level specialty-risk advisory or content partnership rather than a branded sponsorship.</t>
        </is>
      </c>
      <c r="Q9" s="11" t="inlineStr">
        <is>
          <t>minority state stake via Mubadala (Abu Dhabi sovereign wealth fund, invested $1.2B across two tranches); valuation and scale figures are for parent holding company TIH, not CRC Group specifically - uncertain attribution; recently separated from parent bank (2024) - corporate structure still settling, per input flag</t>
        </is>
      </c>
      <c r="R9" s="11" t="inlineStr">
        <is>
          <t>verified-new</t>
        </is>
      </c>
      <c r="S9" s="11" t="inlineStr">
        <is>
          <t>2026-09-28</t>
        </is>
      </c>
    </row>
    <row r="10">
      <c r="A10" s="11" t="n">
        <v>7</v>
      </c>
      <c r="B10" s="11" t="n">
        <v>52</v>
      </c>
      <c r="C10" s="11" t="inlineStr">
        <is>
          <t>IMA Financial Group</t>
        </is>
      </c>
      <c r="D10" s="11" t="inlineStr">
        <is>
          <t>imacorp.com</t>
        </is>
      </c>
      <c r="E10" s="11" t="inlineStr">
        <is>
          <t>Denver, CO, USA</t>
        </is>
      </c>
      <c r="F10" s="11" t="inlineStr">
        <is>
          <t>Private; majority employee-owned and managed, with a minority growth investment from New Mountain Capital</t>
        </is>
      </c>
      <c r="G10" s="11" t="inlineStr">
        <is>
          <t>US P&amp;C-focused insurance brokerage specializing in energy, manufacturing, construction and public-entity risk; ~$2B premium placed across 6,000+ customers</t>
        </is>
      </c>
      <c r="H10" s="11" t="inlineStr">
        <is>
          <t>1k-5k</t>
        </is>
      </c>
      <c r="I10" s="11" t="inlineStr">
        <is>
          <t>No published figure found; plausible est. ~$300-500M+ based on premium volume and scale (2024 Inc. 5000 honoree)</t>
        </is>
      </c>
      <c r="J10" s="11" t="inlineStr">
        <is>
          <t>No published valuation (majority employee-owned + New Mountain Capital minority stake) - passes on revenue alone per protocol but capped at Stretch</t>
        </is>
      </c>
      <c r="K10" s="11" t="inlineStr">
        <is>
          <t>New Mountain Capital minority growth investment (exact date not confirmed in search)</t>
        </is>
      </c>
      <c r="L10" s="11" t="inlineStr">
        <is>
          <t>meets parameters</t>
        </is>
      </c>
      <c r="M10" s="11" t="n">
        <v>2</v>
      </c>
      <c r="N10" s="11" t="inlineStr">
        <is>
          <t>Stretch</t>
        </is>
      </c>
      <c r="O10" s="11" t="inlineStr">
        <is>
          <t>Revenue plausibly clears the bar on an estimate only (no audited figure) with no published valuation (employee-owned, capped at Stretch per protocol); F1's insurance broking/risk/reinsurance category is exclusively held by Marsh (April 2026); fit score only 2/4.</t>
        </is>
      </c>
      <c r="P10" s="11" t="inlineStr">
        <is>
          <t>Niche technical-risk expertise (energy/manufacturing/construction) offers a loose 'engineering precision' hook, but the closed series-level insurance category and unverified financials make this a low-priority, speculative prospect at best.</t>
        </is>
      </c>
      <c r="Q10" s="11" t="inlineStr">
        <is>
          <t>no published valuation (employee-owned + minority PE stake); revenue figure is an unverified estimate</t>
        </is>
      </c>
      <c r="R10" s="11" t="inlineStr">
        <is>
          <t>verified-new</t>
        </is>
      </c>
      <c r="S10" s="11" t="inlineStr">
        <is>
          <t>2026-09-28</t>
        </is>
      </c>
    </row>
    <row r="11">
      <c r="A11" s="11" t="n">
        <v>8</v>
      </c>
      <c r="B11" s="11" t="n">
        <v>52</v>
      </c>
      <c r="C11" s="11" t="inlineStr">
        <is>
          <t>Continental Reinsurance</t>
        </is>
      </c>
      <c r="D11" s="11" t="inlineStr">
        <is>
          <t>continental-re.com</t>
        </is>
      </c>
      <c r="E11" s="11" t="inlineStr">
        <is>
          <t>Lagos, Nigeria</t>
        </is>
      </c>
      <c r="F11" s="11" t="inlineStr">
        <is>
          <t>Private (delisted from NGX in Jan 2020); African institutional investors plus IFC minority stake (per input, unconfirmed exact % via search); pursuing a new public offer/listing on the Botswana Stock Exchange in 2026 - not state-controlled, IFC is a supranational development-finance minority holder, not a national government</t>
        </is>
      </c>
      <c r="G11" s="11" t="inlineStr">
        <is>
          <t>Pan-African composite (life and non-life) reinsurance, writing business in 50+ African countries</t>
        </is>
      </c>
      <c r="H11" s="11" t="inlineStr">
        <is>
          <t>51-200</t>
        </is>
      </c>
      <c r="I11" s="11" t="inlineStr">
        <is>
          <t>FY2025 insurance revenue BWP 2.32bn (~$173.1M), GWP BWP 2.27bn (~$165.6M), profit before tax BWP 105.3M (~$9.7M, +50%+ YoY) (BusinessDay NG, 2026) - clears $100M bar but on a thin margin</t>
        </is>
      </c>
      <c r="J11" s="11" t="inlineStr">
        <is>
          <t>No published current valuation - delisted from NGX since Jan 2020 (last historical NGX market cap ~NGN 22.8B, pre-delisting); seeking to raise ~$156.1M via a new public offer starting Aug 5, 2026 for a Botswana Stock Exchange listing (BusinessAM Live, 2026), but no full company valuation disclosed</t>
        </is>
      </c>
      <c r="K11" s="11" t="inlineStr">
        <is>
          <t>Public offer to raise ~$156.1M ($126.1M secondary sale + $30M primary capital), launched Aug 5, 2026, for Botswana Stock Exchange listing (BusinessAM Live)</t>
        </is>
      </c>
      <c r="L11" s="11" t="inlineStr">
        <is>
          <t>meets parameters</t>
        </is>
      </c>
      <c r="M11" s="11" t="n">
        <v>2</v>
      </c>
      <c r="N11" s="11" t="inlineStr">
        <is>
          <t>Stretch</t>
        </is>
      </c>
      <c r="O11" s="11" t="inlineStr">
        <is>
          <t>Passes hard filters on revenue alone (~$173.1M FY2025, just clears the $100M bar) since it is private with no published valuation post-delisting; no F1 conflict found; IFC stake is supranational not sovereign-state, so no compliance fail; but fit score is only 2 with a Africa-only market footprint and thin margins.</t>
        </is>
      </c>
      <c r="P11" s="11" t="inlineStr">
        <is>
          <t>The only pan-African independent reinsurer, timed to a fresh cross-border listing - use as a market-timing angle tied to F1's continued interest in an African Grand Prix (est).</t>
        </is>
      </c>
      <c r="Q11" s="11" t="inlineStr">
        <is>
          <t>No published valuation - private, delisted since 2020, cap verdict at Stretch; IFC (supranational) minority stake - flag per geographic-tab ownership rule, not disqualifying (not a national government/PEP stake); Thin profit margin (~5.6%) on revenue, though improving 50%+ YoY; fit score 2 with a narrow (Africa-only) market angle</t>
        </is>
      </c>
      <c r="R11" s="11" t="inlineStr">
        <is>
          <t>verified-new</t>
        </is>
      </c>
      <c r="S11" s="11" t="inlineStr">
        <is>
          <t>2026-09-28</t>
        </is>
      </c>
    </row>
    <row r="12">
      <c r="A12" s="11" t="n">
        <v>9</v>
      </c>
      <c r="B12" s="11" t="n">
        <v>52</v>
      </c>
      <c r="C12" s="11" t="inlineStr">
        <is>
          <t>Heffernan Insurance Brokers</t>
        </is>
      </c>
      <c r="D12" s="11" t="inlineStr">
        <is>
          <t>heffgroup.com</t>
        </is>
      </c>
      <c r="E12" s="11" t="inlineStr">
        <is>
          <t>Walnut Creek, CA, USA</t>
        </is>
      </c>
      <c r="F12" s="11" t="inlineStr">
        <is>
          <t>Private, employee-owned since 1988; no state or foreign ownership</t>
        </is>
      </c>
      <c r="G12" s="11" t="inlineStr">
        <is>
          <t>US commercial insurance brokerage and risk-management services, offices across multiple continents per company sourcing</t>
        </is>
      </c>
      <c r="H12" s="11" t="inlineStr">
        <is>
          <t>201-1k</t>
        </is>
      </c>
      <c r="I12" s="11" t="inlineStr">
        <is>
          <t>Company states revenue grown to "over $200 million" / "over $250 million" organically plus acquisitions (heffins.com/about, 2025-2026) - clears $100M bar; note one aggregator's $750M figure appears unreliable/inconsistent with company's own statements and was discounted</t>
        </is>
      </c>
      <c r="J12" s="11" t="inlineStr">
        <is>
          <t>No published valuation - employee-owned, private</t>
        </is>
      </c>
      <c r="K12" s="11" t="inlineStr">
        <is>
          <t>N/A (employee-owned since 1988, no external raise found)</t>
        </is>
      </c>
      <c r="L12" s="11" t="inlineStr">
        <is>
          <t>meets parameters</t>
        </is>
      </c>
      <c r="M12" s="11" t="n">
        <v>2</v>
      </c>
      <c r="N12" s="11" t="inlineStr">
        <is>
          <t>Stretch</t>
        </is>
      </c>
      <c r="O12" s="11" t="inlineStr">
        <is>
          <t>Passes hard filters on revenue alone ($200-250M+ per company's own statements, employee-owned with no published valuation); no F1 conflict; headcount ~600-900 (201-1k band); capacity/audience pass. Fit score is exactly 2 with weak/thinly-sourced angles - the explicit Stretch trigger.</t>
        </is>
      </c>
      <c r="P12" s="11" t="inlineStr">
        <is>
          <t>Weak angle; the claimed multi-continent presence would need firming up before building an outreach story around global reach (est).</t>
        </is>
      </c>
      <c r="Q12" s="11" t="inlineStr">
        <is>
          <t>No published valuation - employee-owned, cap verdict at Stretch; fit score 2 with weak angles (multi-continent presence claim is thinly sourced)</t>
        </is>
      </c>
      <c r="R12" s="11" t="inlineStr">
        <is>
          <t>verified-new</t>
        </is>
      </c>
      <c r="S12" s="11" t="inlineStr">
        <is>
          <t>2026-09-28</t>
        </is>
      </c>
    </row>
    <row r="13">
      <c r="A13" s="11" t="n">
        <v>10</v>
      </c>
      <c r="B13" s="11" t="n">
        <v>52</v>
      </c>
      <c r="C13" s="11" t="inlineStr">
        <is>
          <t>OneDigital</t>
        </is>
      </c>
      <c r="D13" s="11" t="inlineStr">
        <is>
          <t>onedigital.com</t>
        </is>
      </c>
      <c r="E13" s="11" t="inlineStr">
        <is>
          <t>Atlanta, GA, USA</t>
        </is>
      </c>
      <c r="F13" s="11" t="inlineStr">
        <is>
          <t>Private — majority stake held by Stone Point Capital and CPP Investments (Canada Pension Plan Investment Board) as of 2025, after New Mountain Capital sold down; CPP Investments is a public pension-fund investor (minority state-adjacent stake, flagged)</t>
        </is>
      </c>
      <c r="G13" s="11" t="inlineStr">
        <is>
          <t>US employee-benefits and insurance brokerage platform, 250+ offices, 100,000+ employer clients</t>
        </is>
      </c>
      <c r="H13" s="11" t="inlineStr">
        <is>
          <t>5k-10k</t>
        </is>
      </c>
      <c r="I13" s="11" t="inlineStr">
        <is>
          <t>Estimated $1.0-5.0B annual revenue (2025 est, Owler); precise disclosed figure not published</t>
        </is>
      </c>
      <c r="J13" s="11" t="inlineStr">
        <is>
          <t>+ $7B in 2025 Stone Point Capital/CPP Investments majority-stake transaction (2025, PrivSource/New Mountain Capital press release)</t>
        </is>
      </c>
      <c r="K13" s="11" t="inlineStr">
        <is>
          <t>Stone Point Capital/CPP Investments majority investment, 2025 — clears the 18-month growth-capital window</t>
        </is>
      </c>
      <c r="L13" s="11" t="inlineStr">
        <is>
          <t>exceeds - mega-brand</t>
        </is>
      </c>
      <c r="M13" s="11" t="n">
        <v>2</v>
      </c>
      <c r="N13" s="11" t="inlineStr">
        <is>
          <t>Stretch</t>
        </is>
      </c>
      <c r="O13" s="11" t="inlineStr">
        <is>
          <t>Hard filters pass strongly (&gt;$7B valuation, large revenue, 5,000+ employees, fresh 2025 growth capital, no F1 conflict, broad client base) but the minority state-adjacent stake (CPP Investments) and fit==2 with only moderately strong angles cap this at Stretch rather than Yes.</t>
        </is>
      </c>
      <c r="P13" s="11" t="inlineStr">
        <is>
          <t>Position as the benefits/workforce-technology partner behind a team's own people — 'the platform that powers performance off the track,' timed to its fresh $7B growth-capital raise (est).</t>
        </is>
      </c>
      <c r="Q13" s="11" t="inlineStr">
        <is>
          <t>minority state-adjacent stake: CPP Investments (Canada's public pension fund) holds part of the 2025 majority stake alongside Stone Point Capital</t>
        </is>
      </c>
      <c r="R13" s="11" t="inlineStr">
        <is>
          <t>verified-new</t>
        </is>
      </c>
      <c r="S13" s="11" t="inlineStr">
        <is>
          <t>2026-09-28</t>
        </is>
      </c>
    </row>
    <row r="14">
      <c r="A14" s="11" t="n">
        <v>11</v>
      </c>
      <c r="B14" s="11" t="n">
        <v>52</v>
      </c>
      <c r="C14" s="11" t="inlineStr">
        <is>
          <t>Brookfield Wealth Solutions</t>
        </is>
      </c>
      <c r="D14" s="11" t="inlineStr">
        <is>
          <t>brookfieldwealthsolutions.com</t>
        </is>
      </c>
      <c r="E14" s="11" t="inlineStr">
        <is>
          <t>Toronto/New York (Bermuda-domiciled, NYSE/TSX: BNT)</t>
        </is>
      </c>
      <c r="F14" s="11" t="inlineStr">
        <is>
          <t>Public (NYSE/TSX: BNT); majority voting control held by Brookfield Corporation via Class B shares — recently spun off from Brookfield (2024); not state/sovereign-owned</t>
        </is>
      </c>
      <c r="G14" s="11" t="inlineStr">
        <is>
          <t>Retirement services, annuities, property &amp; casualty, life insurance, and reinsurance for individuals and institutions</t>
        </is>
      </c>
      <c r="H14" s="11" t="inlineStr">
        <is>
          <t>1k-5k</t>
        </is>
      </c>
      <c r="I14" s="11" t="inlineStr">
        <is>
          <t>$11.64B (FY2025, 10-K/stockanalysis.com) — down 17.5% YoY, attributable to insurance/investment-income volatility rather than distress; $19.8B year-end 2025 capital position</t>
        </is>
      </c>
      <c r="J14" s="11" t="inlineStr">
        <is>
          <t>$15.03B market cap (Aug 24, 2026, stockanalysis.com)</t>
        </is>
      </c>
      <c r="K14" s="11" t="inlineStr">
        <is>
          <t>N/A — established public company, not a fundraising-stage candidate</t>
        </is>
      </c>
      <c r="L14" s="11" t="inlineStr">
        <is>
          <t>exceeds - mega-brand</t>
        </is>
      </c>
      <c r="M14" s="11" t="n">
        <v>2</v>
      </c>
      <c r="N14" s="11" t="inlineStr">
        <is>
          <t>Stretch</t>
        </is>
      </c>
      <c r="O14" s="11" t="inlineStr">
        <is>
          <t>Hard filters pass clearly (valuation $15B, revenue $11.6B, 4,000 employees, public/profitable, no F1 conflict, ownership clean) and fit=2, but the direct reinsurance-category overlap with Marsh's exclusive F1 mandate and recent spin-off/majority-Brookfield-control structure are real reservations — Stretch, not Yes.</t>
        </is>
      </c>
      <c r="P14" s="11" t="inlineStr">
        <is>
          <t>Global capital/long-duration performance narrative aligned with Brookfield's infrastructure-scale story — though category overlap with Marsh limits headroom and should be vetted with F1 commercial team before outreach (est).</t>
        </is>
      </c>
      <c r="Q14" s="11" t="inlineStr">
        <is>
          <t>recently spun off from Brookfield Corporation (2024), majority Brookfield-controlled; revenue down 17.5% YoY (2025) — flagged for context, not distress; operates directly in reinsurance/insurance — tighter category overlap with Marsh's F1 exclusivity (Official Risk, Insurance Brokering AND Reinsurance Partner) than a typical broker candidate</t>
        </is>
      </c>
      <c r="R14" s="11" t="inlineStr">
        <is>
          <t>verified-new</t>
        </is>
      </c>
      <c r="S14" s="11" t="inlineStr">
        <is>
          <t>2026-09-28</t>
        </is>
      </c>
    </row>
    <row r="15">
      <c r="A15" s="11" t="n">
        <v>12</v>
      </c>
      <c r="B15" s="11" t="n">
        <v>46</v>
      </c>
      <c r="C15" s="11" t="inlineStr">
        <is>
          <t>INSURICA</t>
        </is>
      </c>
      <c r="D15" s="11" t="inlineStr">
        <is>
          <t>insurica.com</t>
        </is>
      </c>
      <c r="E15" s="11" t="inlineStr">
        <is>
          <t>Oklahoma City, OK, USA</t>
        </is>
      </c>
      <c r="F15" s="11" t="inlineStr">
        <is>
          <t>Private; controlled by the Cameron family office (Oklahoma City), with significant employee ownership (103 employee-owners per recent reporting); not PE-backed</t>
        </is>
      </c>
      <c r="G15" s="11" t="inlineStr">
        <is>
          <t>US regional insurance brokerage (Top-45 US broker by revenue, Insurance Journal 2023 ranking), serving SME/commercial clients nationally</t>
        </is>
      </c>
      <c r="H15" s="11" t="inlineStr">
        <is>
          <t>201-1k</t>
        </is>
      </c>
      <c r="I15" s="11" t="inlineStr">
        <is>
          <t>~$750-841M (est, LeadIQ/ZoomInfo, as of July 2025) - well above input's ~$150M estimate</t>
        </is>
      </c>
      <c r="J15" s="11" t="inlineStr">
        <is>
          <t>No published valuation (family/employee-owned, not PE-backed) - passes on revenue alone per protocol but capped at Stretch</t>
        </is>
      </c>
      <c r="K15" s="11" t="inlineStr">
        <is>
          <t>New credit facility announced to accelerate acquisition strategy (per INSURICA press release; exact date not confirmed)</t>
        </is>
      </c>
      <c r="L15" s="11" t="inlineStr">
        <is>
          <t>meets parameters</t>
        </is>
      </c>
      <c r="M15" s="11" t="n">
        <v>1</v>
      </c>
      <c r="N15" s="11" t="inlineStr">
        <is>
          <t>Stretch</t>
        </is>
      </c>
      <c r="O15" s="11" t="inlineStr">
        <is>
          <t>Revenue passes on estimate alone (~$750-841M, well above $100M) but no published valuation (family/employee-owned, capped at Stretch per protocol); F1's insurance category is exclusively held by Marsh; fit score only 1/4 with a weak, single-market brand story - a long-shot prospect overall.</t>
        </is>
      </c>
      <c r="P15" s="11" t="inlineStr">
        <is>
          <t>Given the closed series-level category and weak brand distinctiveness, the only realistic angle (if any) is regional/community-level engagement tied to a single team's home-market activation rather than a national or series sponsorship - a low-priority candidate.</t>
        </is>
      </c>
      <c r="Q15" s="11" t="inlineStr">
        <is>
          <t>no published valuation (family/employee-owned); revenue figure is an unaudited third-party estimate</t>
        </is>
      </c>
      <c r="R15" s="11" t="inlineStr">
        <is>
          <t>verified-new</t>
        </is>
      </c>
      <c r="S15" s="11" t="inlineStr">
        <is>
          <t>2026-09-28</t>
        </is>
      </c>
    </row>
    <row r="16">
      <c r="A16" s="11" t="n">
        <v>13</v>
      </c>
      <c r="B16" s="11" t="n">
        <v>46</v>
      </c>
      <c r="C16" s="11" t="inlineStr">
        <is>
          <t>Holmes Murphy &amp; Associates</t>
        </is>
      </c>
      <c r="D16" s="11" t="inlineStr">
        <is>
          <t>holmesmurphy.com</t>
        </is>
      </c>
      <c r="E16" s="11" t="inlineStr">
        <is>
          <t>Des Moines, IA, USA</t>
        </is>
      </c>
      <c r="F16" s="11" t="inlineStr">
        <is>
          <t>Private, employee-owned-and-controlled (one of the largest employee-owned insurance brokerages in the US, per company materials); no state or foreign ownership</t>
        </is>
      </c>
      <c r="G16" s="11" t="inlineStr">
        <is>
          <t>US commercial insurance brokerage and risk-management solutions, 20 US locations</t>
        </is>
      </c>
      <c r="H16" s="11" t="inlineStr">
        <is>
          <t>1k-5k</t>
        </is>
      </c>
      <c r="I16" s="11" t="inlineStr">
        <is>
          <t>Estimates range $939.3M-$1.3B across aggregators (Kona Equity, ZoomInfo, July 2026) - clears $100M bar with wide margin even at the low end</t>
        </is>
      </c>
      <c r="J16" s="11" t="inlineStr">
        <is>
          <t>No published valuation - employee-owned, private</t>
        </is>
      </c>
      <c r="K16" s="11" t="inlineStr">
        <is>
          <t>N/A (employee-owned; no external funding/PE raise found)</t>
        </is>
      </c>
      <c r="L16" s="11" t="inlineStr">
        <is>
          <t>meets parameters</t>
        </is>
      </c>
      <c r="M16" s="11" t="n">
        <v>1</v>
      </c>
      <c r="N16" s="11" t="inlineStr">
        <is>
          <t>Stretch</t>
        </is>
      </c>
      <c r="O16" s="11" t="inlineStr">
        <is>
          <t>Passes hard filters on revenue alone (~$939M-$1.3B est, far above $100M) as an employee-owned private firm with no published valuation; no F1 conflict; headcount 1,000-1,300 (1k-5k band); capacity and audience pass. But fit score is only 1 - a US-only broker with a weak brand-story angle.</t>
        </is>
      </c>
      <c r="P16" s="11" t="inlineStr">
        <is>
          <t>Weak angle given US-only footprint; would need a distinct regional/market-timing hook (e.g. Circuit of the Americas/Miami GP tie-in) rather than a global-brand story (est).</t>
        </is>
      </c>
      <c r="Q16" s="11" t="inlineStr">
        <is>
          <t>No published valuation - employee-owned, cap verdict at Stretch; Weak fit (score 1): single-market (US-only) domestic broker</t>
        </is>
      </c>
      <c r="R16" s="11" t="inlineStr">
        <is>
          <t>verified-new</t>
        </is>
      </c>
      <c r="S16" s="11" t="inlineStr">
        <is>
          <t>2026-09-28</t>
        </is>
      </c>
    </row>
    <row r="17">
      <c r="A17" s="11" t="n">
        <v>14</v>
      </c>
      <c r="B17" s="11" t="n">
        <v>46</v>
      </c>
      <c r="C17" s="11" t="inlineStr">
        <is>
          <t>Cottingham &amp; Butler</t>
        </is>
      </c>
      <c r="D17" s="11" t="inlineStr">
        <is>
          <t>cottinghambutler.com</t>
        </is>
      </c>
      <c r="E17" s="11" t="inlineStr">
        <is>
          <t>Dubuque, IA, USA</t>
        </is>
      </c>
      <c r="F17" s="11" t="inlineStr">
        <is>
          <t>Private, family/privately-held (founded 1887); third-largest privately held insurance broker in the US; no state or foreign ownership</t>
        </is>
      </c>
      <c r="G17" s="11" t="inlineStr">
        <is>
          <t>US insurance brokerage specializing in trucking/transportation risk</t>
        </is>
      </c>
      <c r="H17" s="11" t="inlineStr">
        <is>
          <t>201-1k</t>
        </is>
      </c>
      <c r="I17" s="11" t="inlineStr">
        <is>
          <t>992 employees as of Dec 2025 (Revelio Labs); estimated annual revenue $500M-$1.0B (multiple aggregators, 2025-2026) - clears $100M bar</t>
        </is>
      </c>
      <c r="J17" s="11" t="inlineStr">
        <is>
          <t>No published valuation - privately-held/family-owned</t>
        </is>
      </c>
      <c r="K17" s="11" t="inlineStr">
        <is>
          <t>N/A (privately-held, family-owned, no external raise found)</t>
        </is>
      </c>
      <c r="L17" s="11" t="inlineStr">
        <is>
          <t>meets parameters</t>
        </is>
      </c>
      <c r="M17" s="11" t="n">
        <v>1</v>
      </c>
      <c r="N17" s="11" t="inlineStr">
        <is>
          <t>Stretch</t>
        </is>
      </c>
      <c r="O17" s="11" t="inlineStr">
        <is>
          <t>Passes hard filters on revenue alone (~$500M-$1.0B est) as a private, family-owned firm with no published valuation; no F1 conflict; headcount 992 (201-1k band); capacity/audience pass. Fit score only 1 - domestic-only niche broker.</t>
        </is>
      </c>
      <c r="P17" s="11" t="inlineStr">
        <is>
          <t>Weak angle; trucking/transportation-insurance niche could tie to logistics/supply-chain sponsors on the grid but lacks a strong standalone F1 story (est).</t>
        </is>
      </c>
      <c r="Q17" s="11" t="inlineStr">
        <is>
          <t>No published valuation - family/privately-held, cap verdict at Stretch; Weak fit (score 1): single-market (US-only), niche trucking/transportation vertical</t>
        </is>
      </c>
      <c r="R17" s="11" t="inlineStr">
        <is>
          <t>verified-new</t>
        </is>
      </c>
      <c r="S17" s="11" t="inlineStr">
        <is>
          <t>2026-09-28</t>
        </is>
      </c>
    </row>
    <row r="18">
      <c r="A18" s="11" t="n">
        <v>15</v>
      </c>
      <c r="B18" s="11" t="n">
        <v>46</v>
      </c>
      <c r="C18" s="11" t="inlineStr">
        <is>
          <t>The Hilb Group</t>
        </is>
      </c>
      <c r="D18" s="11" t="inlineStr">
        <is>
          <t>hilbgroup.com</t>
        </is>
      </c>
      <c r="E18" s="11" t="inlineStr">
        <is>
          <t>Richmond, VA, USA</t>
        </is>
      </c>
      <c r="F18" s="11" t="inlineStr">
        <is>
          <t>Private, PE-owned. Correction to input: majority owner is The Carlyle Group (acquired from Abry Partners, announced Oct 2019, closed ~Q1 2020), not Abry Partners as listed in the input; management/employee shareholders retain a minority stake</t>
        </is>
      </c>
      <c r="G18" s="11" t="inlineStr">
        <is>
          <t>US property &amp; casualty and employee-benefits insurance brokerage, acquisitive Top-30 broker consolidator (900+ associates, 91 branch offices)</t>
        </is>
      </c>
      <c r="H18" s="11" t="inlineStr">
        <is>
          <t>201-1k</t>
        </is>
      </c>
      <c r="I18" s="11" t="inlineStr">
        <is>
          <t>No confirmed current figure; input estimate ~$500M+ (est) is consistent with scale (900+ associates, continuous M&amp;A - Texas Aug 2024, Florida Jul 2025, Michigan Dec 2025 acquisitions per PrivSource) - likely clears $100M bar</t>
        </is>
      </c>
      <c r="J18" s="11" t="inlineStr">
        <is>
          <t>No confirmed current valuation - reportedly marketed for ~$1B in a stale 2019 sale rumor (Insurance Business America) prior to the Carlyle deal; no valuation disclosed for the Carlyle transaction or since - uncertain figure</t>
        </is>
      </c>
      <c r="K18" s="11" t="inlineStr">
        <is>
          <t>Carlyle Group acquired majority stake from Abry Partners, announced Oct 2019, terms undisclosed (Carlyle/PrivSource); continued bolt-on acquisitions through Dec 2025</t>
        </is>
      </c>
      <c r="L18" s="11" t="inlineStr">
        <is>
          <t>meets parameters</t>
        </is>
      </c>
      <c r="M18" s="11" t="n">
        <v>1</v>
      </c>
      <c r="N18" s="11" t="inlineStr">
        <is>
          <t>Stretch</t>
        </is>
      </c>
      <c r="O18" s="11" t="inlineStr">
        <is>
          <t>No confirmed hard-filter failure found, but valuation is an uncertain, stale figure (unconfirmed 2019 $1B rumor, no disclosure since); PE-owned 6+ years; fit score only 1 as a domestic-only brokerage roll-up. No F1 conflict found.</t>
        </is>
      </c>
      <c r="P18" s="11" t="inlineStr">
        <is>
          <t>Weak angle; would need a distinctive hook (e.g. its M&amp;A-growth story) since it lacks global reach or a strong performance narrative (est).</t>
        </is>
      </c>
      <c r="Q18" s="11" t="inlineStr">
        <is>
          <t>PE-owned 6+ years (Abry since 2015, Carlyle since 2019/2020) - PE 4+ yrs flag; Valuation figure is stale/unconfirmed (2019 rumor only); Weak fit (score 1): US-only consolidator</t>
        </is>
      </c>
      <c r="R18" s="11" t="inlineStr">
        <is>
          <t>verified-new</t>
        </is>
      </c>
      <c r="S18" s="11" t="inlineStr">
        <is>
          <t>2026-09-28</t>
        </is>
      </c>
    </row>
    <row r="19">
      <c r="A19" s="11" t="n">
        <v>16</v>
      </c>
      <c r="B19" s="11" t="n">
        <v>46</v>
      </c>
      <c r="C19" s="11" t="inlineStr">
        <is>
          <t>AmeriLife Group</t>
        </is>
      </c>
      <c r="D19" s="11" t="inlineStr">
        <is>
          <t>amerilife.com</t>
        </is>
      </c>
      <c r="E19" s="11" t="inlineStr">
        <is>
          <t>Clearwater, FL, USA</t>
        </is>
      </c>
      <c r="F19" s="11" t="inlineStr">
        <is>
          <t>Private, PE-owned by Thomas H. Lee Partners (since Jan 2020, majority stake from J.C. Flowers &amp; Co.) and Genstar Capital (equal investor since Q3 2022, per Bloomberg). Correction to input: Genstar Capital, not Leonard Green &amp; Partners, is THL's co-investor</t>
        </is>
      </c>
      <c r="G19" s="11" t="inlineStr">
        <is>
          <t>US senior-market annuity, life and health insurance marketing/distribution platform (agent network)</t>
        </is>
      </c>
      <c r="H19" s="11" t="inlineStr">
        <is>
          <t>1k-5k</t>
        </is>
      </c>
      <c r="I19" s="11" t="inlineStr">
        <is>
          <t>$1.9B (per aggregator data, 2025-2026) - clears $100M bar with wide margin</t>
        </is>
      </c>
      <c r="J19" s="11" t="inlineStr">
        <is>
          <t>Genstar Capital's 2022 equal-stake acquisition valued AmeriLife at "more than $3 billion, including debt" (Bloomberg, June 13, 2022) - clears $1B hard bar, though the figure is now ~4 years old</t>
        </is>
      </c>
      <c r="K19" s="11" t="inlineStr">
        <is>
          <t>Genstar Capital acquired an equal stake alongside THL, deal valued company at &gt;$3B incl. debt, announced June 13, 2022, closed Q3 2022 (Bloomberg)</t>
        </is>
      </c>
      <c r="L19" s="11" t="inlineStr">
        <is>
          <t>meets parameters</t>
        </is>
      </c>
      <c r="M19" s="11" t="n">
        <v>1</v>
      </c>
      <c r="N19" s="11" t="inlineStr">
        <is>
          <t>Stretch</t>
        </is>
      </c>
      <c r="O19" s="11" t="inlineStr">
        <is>
          <t>No confirmed hard-filter failure: revenue $1.9B and valuation &gt;$3B (2022, PE deal) both clear their bars; no F1 conflict found; headcount 4,218-4,220 (1k-5k band); capacity and audience (large multi-agent distribution network) pass. But fit score is only 1 - the strongest reservation being a genuine demographic mismatch (senior/retiree end-consumers vs. F1's affluent 25-54 audience).</t>
        </is>
      </c>
      <c r="P19" s="11" t="inlineStr">
        <is>
          <t>Weakest angle in the set; would require reframing around the independent-agent B2B channel rather than end-consumers, since the retiree/senior demographic does not naturally map to F1's audience (est).</t>
        </is>
      </c>
      <c r="Q19" s="11" t="inlineStr">
        <is>
          <t>PE-owned since Jan 2020 (6+ years) - PE 4+ yrs flag; Valuation figure is 4 years old (2022) though directionally supported by continued growth; Weak fit (score 1): domestic-only, and target end-consumer demographic (retirees/seniors) does not match F1's target audience</t>
        </is>
      </c>
      <c r="R19" s="11" t="inlineStr">
        <is>
          <t>verified-new</t>
        </is>
      </c>
      <c r="S19" s="11" t="inlineStr">
        <is>
          <t>2026-09-28</t>
        </is>
      </c>
    </row>
    <row r="20">
      <c r="A20" s="11" t="n">
        <v>17</v>
      </c>
      <c r="B20" s="11" t="n">
        <v>46</v>
      </c>
      <c r="C20" s="11" t="inlineStr">
        <is>
          <t>Leavitt Group</t>
        </is>
      </c>
      <c r="D20" s="11" t="inlineStr">
        <is>
          <t>leavitt.com</t>
        </is>
      </c>
      <c r="E20" s="11" t="inlineStr">
        <is>
          <t>Cedar City, UT, USA</t>
        </is>
      </c>
      <c r="F20" s="11" t="inlineStr">
        <is>
          <t>Private, family-owned (Leavitt family); no published valuation</t>
        </is>
      </c>
      <c r="G20" s="11" t="inlineStr">
        <is>
          <t>US independent insurance brokerage network (~290+ locations, 31 states), personal/commercial lines</t>
        </is>
      </c>
      <c r="H20" s="11" t="inlineStr">
        <is>
          <t>1k-5k</t>
        </is>
      </c>
      <c r="I20" s="11" t="inlineStr">
        <is>
          <t>$587M consolidated revenue, $4.8B placed premiums (2026, Owler/company reporting)</t>
        </is>
      </c>
      <c r="J20" s="11" t="inlineStr">
        <is>
          <t>No published valuation — private, family-owned (2026)</t>
        </is>
      </c>
      <c r="K20" s="11" t="inlineStr">
        <is>
          <t>N/A — no external equity raise identified; organic/affiliate growth model</t>
        </is>
      </c>
      <c r="L20" s="11" t="inlineStr">
        <is>
          <t>meets parameters</t>
        </is>
      </c>
      <c r="M20" s="11" t="n">
        <v>1</v>
      </c>
      <c r="N20" s="11" t="inlineStr">
        <is>
          <t>Stretch</t>
        </is>
      </c>
      <c r="O20" s="11" t="inlineStr">
        <is>
          <t>All hard filters pass (revenue $587M, headcount ~1,250-2,000, no F1 conflict, ownership clean, audience broad) but no published valuation (family-owned, passes on revenue alone per rule) and weak fit score (1) cap this at Stretch.</t>
        </is>
      </c>
      <c r="P20" s="11" t="inlineStr">
        <is>
          <t>Local-broker-with-global-ambition angle: position Leavitt's US network growth story alongside a team's own market-expansion narrative (est).</t>
        </is>
      </c>
      <c r="Q20" s="11" t="inlineStr">
        <is>
          <t>family-owned, no published valuation</t>
        </is>
      </c>
      <c r="R20" s="11" t="inlineStr">
        <is>
          <t>verified-new</t>
        </is>
      </c>
      <c r="S20" s="11" t="inlineStr">
        <is>
          <t>2026-09-28</t>
        </is>
      </c>
    </row>
    <row r="21">
      <c r="A21" s="11" t="n">
        <v>18</v>
      </c>
      <c r="B21" s="11" t="n">
        <v>46</v>
      </c>
      <c r="C21" s="11" t="inlineStr">
        <is>
          <t>Sunstar Insurance Group</t>
        </is>
      </c>
      <c r="D21" s="11" t="inlineStr">
        <is>
          <t>sunstarinsurance.com</t>
        </is>
      </c>
      <c r="E21" s="11" t="inlineStr">
        <is>
          <t>Chicago, IL, USA</t>
        </is>
      </c>
      <c r="F21" s="11" t="inlineStr">
        <is>
          <t>Private, PE-owned — Reverence Capital Partners (definitive agreement to acquire; input's "Trivest Partners" attribution not confirmed and appears incorrect)</t>
        </is>
      </c>
      <c r="G21" s="11" t="inlineStr">
        <is>
          <t>US regional insurance brokerage consolidator (23 hub agencies, 80+ offices, 8 states)</t>
        </is>
      </c>
      <c r="H21" s="11" t="inlineStr">
        <is>
          <t>201-1k</t>
        </is>
      </c>
      <c r="I21" s="11" t="inlineStr">
        <is>
          <t>Projected to exceed $200M annual revenue on ~$2B premium placed (2025, Insurance Journal/company reporting)</t>
        </is>
      </c>
      <c r="J21" s="11" t="inlineStr">
        <is>
          <t>No published valuation — private, PE-owned (Reverence Capital Partners, 2025)</t>
        </is>
      </c>
      <c r="K21" s="11" t="inlineStr">
        <is>
          <t>Reverence Capital Partners definitive agreement to acquire Sunstar (2025, PR Newswire) — recent PE investment supports growth/M&amp;A capacity</t>
        </is>
      </c>
      <c r="L21" s="11" t="inlineStr">
        <is>
          <t>meets parameters</t>
        </is>
      </c>
      <c r="M21" s="11" t="n">
        <v>1</v>
      </c>
      <c r="N21" s="11" t="inlineStr">
        <is>
          <t>Stretch</t>
        </is>
      </c>
      <c r="O21" s="11" t="inlineStr">
        <is>
          <t>Hard filters pass (revenue clears $100M bar, headcount ~800 in 201-1k band, fresh PE capital supports spend capacity, no F1 conflict, ownership clean) but no published valuation and weak fit score (1) keep this at Stretch.</t>
        </is>
      </c>
      <c r="P21" s="11" t="inlineStr">
        <is>
          <t>Growth-through-acquisition consolidator story — 'built to scale fast,' timed to its fresh PE-backed expansion phase (est).</t>
        </is>
      </c>
      <c r="Q21" s="11" t="inlineStr">
        <is>
          <t>PE-owned (recent, not 4+ yrs); no published valuation; input ownership attribution (Trivest) could not be confirmed — actual acquirer found is Reverence Capital Partners</t>
        </is>
      </c>
      <c r="R21" s="11" t="inlineStr">
        <is>
          <t>verified-new</t>
        </is>
      </c>
      <c r="S21" s="11" t="inlineStr">
        <is>
          <t>2026-09-28</t>
        </is>
      </c>
    </row>
    <row r="22">
      <c r="A22" s="11" t="n">
        <v>19</v>
      </c>
      <c r="B22" s="11" t="n">
        <v>46</v>
      </c>
      <c r="C22" s="11" t="inlineStr">
        <is>
          <t>Cross Insurance</t>
        </is>
      </c>
      <c r="D22" s="11" t="inlineStr">
        <is>
          <t>crossagency.com</t>
        </is>
      </c>
      <c r="E22" s="11" t="inlineStr">
        <is>
          <t>Bangor, ME, USA</t>
        </is>
      </c>
      <c r="F22" s="11" t="inlineStr">
        <is>
          <t>Private, family-owned (Cross family, 4th generation); no published valuation</t>
        </is>
      </c>
      <c r="G22" s="11" t="inlineStr">
        <is>
          <t>New England regional independent insurance brokerage, 40+ branches</t>
        </is>
      </c>
      <c r="H22" s="11" t="inlineStr">
        <is>
          <t>1k-5k</t>
        </is>
      </c>
      <c r="I22" s="11" t="inlineStr">
        <is>
          <t>$750M annual revenue (June 2025, company/press reporting)</t>
        </is>
      </c>
      <c r="J22" s="11" t="inlineStr">
        <is>
          <t>No published valuation — private, family-owned (2025)</t>
        </is>
      </c>
      <c r="K22" s="11" t="inlineStr">
        <is>
          <t>N/A — no external equity raise identified</t>
        </is>
      </c>
      <c r="L22" s="11" t="inlineStr">
        <is>
          <t>meets parameters</t>
        </is>
      </c>
      <c r="M22" s="11" t="n">
        <v>1</v>
      </c>
      <c r="N22" s="11" t="inlineStr">
        <is>
          <t>Stretch</t>
        </is>
      </c>
      <c r="O22" s="11" t="inlineStr">
        <is>
          <t>Hard filters pass cleanly (revenue $750M, ~1,200 employees, no F1 conflict, ownership clean, broad client base) but no published valuation (family-owned, passes on revenue alone) and weak fit (1) cap this at Stretch.</t>
        </is>
      </c>
      <c r="P22" s="11" t="inlineStr">
        <is>
          <t>Four-generation family-broker heritage paired with a team's own engineering-heritage narrative (est).</t>
        </is>
      </c>
      <c r="Q22" s="11" t="inlineStr">
        <is>
          <t>family-owned, no published valuation</t>
        </is>
      </c>
      <c r="R22" s="11" t="inlineStr">
        <is>
          <t>verified-new</t>
        </is>
      </c>
      <c r="S22" s="11" t="inlineStr">
        <is>
          <t>2026-09-28</t>
        </is>
      </c>
    </row>
    <row r="23">
      <c r="A23" s="11" t="n">
        <v>20</v>
      </c>
      <c r="B23" s="11" t="n">
        <v>46</v>
      </c>
      <c r="C23" s="11" t="inlineStr">
        <is>
          <t>Confie</t>
        </is>
      </c>
      <c r="D23" s="11" t="inlineStr">
        <is>
          <t>confie.com</t>
        </is>
      </c>
      <c r="E23" s="11" t="inlineStr">
        <is>
          <t>Huntington Beach, CA, USA</t>
        </is>
      </c>
      <c r="F23" s="11" t="inlineStr">
        <is>
          <t>Private — now a subsidiary/brand of Alliant Insurance Services (merger completed July 2022); previously PE-owned via ABRY Partners/Corsair Capital pre-merger. Input's framing as a standalone PE-backed independent broker is outdated.</t>
        </is>
      </c>
      <c r="G23" s="11" t="inlineStr">
        <is>
          <t>US non-standard/Hispanic-focused personal-lines auto insurance distribution (Freeway Insurance brand, 1M+ customers)</t>
        </is>
      </c>
      <c r="H23" s="11" t="inlineStr">
        <is>
          <t>5k-10k</t>
        </is>
      </c>
      <c r="I23" s="11" t="inlineStr">
        <is>
          <t>$220M (2025 est, ZoomInfo) — likely understates true scale as part of Alliant; no clean standalone post-merger figure found</t>
        </is>
      </c>
      <c r="J23" s="11" t="inlineStr">
        <is>
          <t>No published valuation for Confie specifically — folded into privately-held Alliant Insurance Services since 2022</t>
        </is>
      </c>
      <c r="K23" s="11" t="inlineStr">
        <is>
          <t>N/A directly; parent Alliant continues active PE/institutional ownership</t>
        </is>
      </c>
      <c r="L23" s="11" t="inlineStr">
        <is>
          <t>meets parameters</t>
        </is>
      </c>
      <c r="M23" s="11" t="n">
        <v>1</v>
      </c>
      <c r="N23" s="11" t="inlineStr">
        <is>
          <t>Stretch</t>
        </is>
      </c>
      <c r="O23" s="11" t="inlineStr">
        <is>
          <t>No F1 conflict found (its motorsport tie is NASCAR, not F1) and revenue clears $100M, but the input's core premise is outdated (Confie was absorbed into Alliant Insurance Services in 2022), no independent valuation exists, and fit is weak (1) — Stretch, with a flag that Confie/Freeway already has a large active NASCAR sponsorship.</t>
        </is>
      </c>
      <c r="P23" s="11" t="inlineStr">
        <is>
          <t>Existing motorsport-sponsorship playbook (Freeway/Trackhouse NASCAR deal) could translate to F1 activation, targeting Hispanic/US-market growth themes — but route pitch through parent Alliant (est).</t>
        </is>
      </c>
      <c r="Q23" s="11" t="inlineStr">
        <is>
          <t>merged into Alliant Insurance Services (2022) — not an independently addressable company; outreach would route through Alliant corporate; no published standalone valuation; already a major NASCAR Cup Series Premier Partner via Freeway Insurance/Trackhouse Racing (announced Oct 2025, multi-year) — committed motorsports budget elsewhere, though NASCAR (not F1) so not a hard conflict</t>
        </is>
      </c>
      <c r="R23" s="11" t="inlineStr">
        <is>
          <t>verified-new</t>
        </is>
      </c>
      <c r="S23" s="11" t="inlineStr">
        <is>
          <t>2026-09-28</t>
        </is>
      </c>
    </row>
    <row r="24">
      <c r="A24" s="11" t="n">
        <v>21</v>
      </c>
      <c r="B24" s="11" t="n">
        <v>46</v>
      </c>
      <c r="C24" s="11" t="inlineStr">
        <is>
          <t>Highstreet Insurance Partners</t>
        </is>
      </c>
      <c r="D24" s="11" t="inlineStr">
        <is>
          <t>highstreetnet.com</t>
        </is>
      </c>
      <c r="E24" s="11" t="inlineStr">
        <is>
          <t>Grand Rapids, MI, USA</t>
        </is>
      </c>
      <c r="F24" s="11" t="inlineStr">
        <is>
          <t>Private, PE-owned — acquired by Abry Partners in 2021 (~5 years, 4+ yr threshold); Ares Capital provided $550M incremental growth-capital loan (Aug 2025)</t>
        </is>
      </c>
      <c r="G24" s="11" t="inlineStr">
        <is>
          <t>US insurance brokerage consolidator, 350+ offices across 36 states</t>
        </is>
      </c>
      <c r="H24" s="11" t="inlineStr">
        <is>
          <t>1k-5k</t>
        </is>
      </c>
      <c r="I24" s="11" t="inlineStr">
        <is>
          <t>$700M+ revenue in 2025, scaled up from $100M since 2021 Abry acquisition (2025, Crain's Grand Rapids/PR Newswire)</t>
        </is>
      </c>
      <c r="J24" s="11" t="inlineStr">
        <is>
          <t>No published valuation — private, PE-owned</t>
        </is>
      </c>
      <c r="K24" s="11" t="inlineStr">
        <is>
          <t>$550M growth-capital delayed draw term loan from Ares Capital, announced Aug 2025 — clears the 18-month capacity window</t>
        </is>
      </c>
      <c r="L24" s="11" t="inlineStr">
        <is>
          <t>meets parameters</t>
        </is>
      </c>
      <c r="M24" s="11" t="n">
        <v>1</v>
      </c>
      <c r="N24" s="11" t="inlineStr">
        <is>
          <t>Stretch</t>
        </is>
      </c>
      <c r="O24" s="11" t="inlineStr">
        <is>
          <t>Hard filters pass (revenue $700M+, ~3,000 employees, fresh $550M growth loan shows spend capacity, no F1 conflict, ownership clean) but PE-owned 4+ years plus no published valuation and weak fit (1) keep this at Stretch.</t>
        </is>
      </c>
      <c r="P24" s="11" t="inlineStr">
        <is>
          <t>Roll-up growth story — 'built by acquisition to compete at the top,' timed to its 2025 $550M growth-capital raise (est).</t>
        </is>
      </c>
      <c r="Q24" s="11" t="inlineStr">
        <is>
          <t>PE-owned 4+ years (Abry Partners since 2021); no published valuation</t>
        </is>
      </c>
      <c r="R24" s="11" t="inlineStr">
        <is>
          <t>verified-new</t>
        </is>
      </c>
      <c r="S24" s="11" t="inlineStr">
        <is>
          <t>2026-09-28</t>
        </is>
      </c>
    </row>
  </sheetData>
  <autoFilter ref="A3:S24"/>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S9"/>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Payroll, EOR &amp; Global Employment — brand-new sector — 6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"27 Payroll, EOR &amp; Global Employ".</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1" t="n">
        <v>1</v>
      </c>
      <c r="B4" s="11" t="n">
        <v>64</v>
      </c>
      <c r="C4" s="11" t="inlineStr">
        <is>
          <t>CXC Global</t>
        </is>
      </c>
      <c r="D4" s="11" t="inlineStr">
        <is>
          <t>cxcglobal.com</t>
        </is>
      </c>
      <c r="E4" s="11" t="inlineStr">
        <is>
          <t>London, UK (global delivery footprint incl. Singapore legal entity)</t>
        </is>
      </c>
      <c r="F4" s="11" t="inlineStr">
        <is>
          <t>Private, founder/CEO-led (Peter Oreb, Global CEO since 2000); no PE ownership identified as of Sep 2026 search</t>
        </is>
      </c>
      <c r="G4" s="11" t="inlineStr">
        <is>
          <t>Global contractor management and EOR/workforce platform serving multinational enterprises across 60+ countries</t>
        </is>
      </c>
      <c r="H4" s="11" t="inlineStr">
        <is>
          <t>201-1k</t>
        </is>
      </c>
      <c r="I4" s="11" t="inlineStr">
        <is>
          <t>~$109.4M (GrowJo third-party estimate, 2026; no audited/company-disclosed figure found — private company)</t>
        </is>
      </c>
      <c r="J4" s="11" t="inlineStr">
        <is>
          <t>No published valuation found (private company, Sep 2026 search)</t>
        </is>
      </c>
      <c r="K4" s="11" t="inlineStr">
        <is>
          <t>None found — no external funding round identified</t>
        </is>
      </c>
      <c r="L4" s="11" t="inlineStr">
        <is>
          <t>meets parameters</t>
        </is>
      </c>
      <c r="M4" s="11" t="n">
        <v>4</v>
      </c>
      <c r="N4" s="11" t="inlineStr">
        <is>
          <t>Stretch</t>
        </is>
      </c>
      <c r="O4" s="11" t="inlineStr">
        <is>
          <t>Passes hard bars (revenue ~$109.4M est. marginally clears $100M bar; headcount ~625-700 per Tracxn Jul 2026; no F1 conflict found; founder-owned, no state/sanctions issue) but capped at Stretch: no published valuation and the revenue figure itself is an unverified third-party estimate rather than an audited disclosure.</t>
        </is>
      </c>
      <c r="P4" s="11" t="inlineStr">
        <is>
          <t>Global contractor/workforce network story mirrors F1's own global logistics operation — position CXC as 'the workforce engine behind the paddock'; open category since no EOR/staffing supplier currently sponsors the grid.</t>
        </is>
      </c>
      <c r="Q4" s="11" t="inlineStr">
        <is>
          <t>no published valuation (private); revenue figure is a third-party estimate, not company-disclosed</t>
        </is>
      </c>
      <c r="R4" s="11" t="inlineStr">
        <is>
          <t>verified-new</t>
        </is>
      </c>
      <c r="S4" s="11" t="inlineStr">
        <is>
          <t>2026-09-28</t>
        </is>
      </c>
    </row>
    <row r="5">
      <c r="A5" s="11" t="n">
        <v>2</v>
      </c>
      <c r="B5" s="11" t="n">
        <v>58</v>
      </c>
      <c r="C5" s="11" t="inlineStr">
        <is>
          <t>Atlas (Atlas Technology Solutions / Atlas HXM, formerly Global Upside)</t>
        </is>
      </c>
      <c r="D5" s="11" t="inlineStr">
        <is>
          <t>atlashxm.com</t>
        </is>
      </c>
      <c r="E5" s="11" t="inlineStr">
        <is>
          <t>Chicago, IL, USA (per verification; input listed Boston, MA)</t>
        </is>
      </c>
      <c r="F5" s="11" t="inlineStr">
        <is>
          <t>Private; input claims Bregal Sagemount PE backing — could not be independently confirmed via search</t>
        </is>
      </c>
      <c r="G5" s="11" t="inlineStr">
        <is>
          <t>Employer of Record (EOR) / global HXM (Human Experience Management) platform, service coverage in 160+ countries</t>
        </is>
      </c>
      <c r="H5" s="11" t="inlineStr">
        <is>
          <t>201-1k</t>
        </is>
      </c>
      <c r="I5" s="11" t="inlineStr">
        <is>
          <t>No public disclosure found; input estimate ~$100M+ (est, unverified)</t>
        </is>
      </c>
      <c r="J5" s="11" t="inlineStr">
        <is>
          <t>No published valuation — private; PE ownership claim unverified</t>
        </is>
      </c>
      <c r="K5" s="11" t="inlineStr">
        <is>
          <t>Not confirmed via search — input's Bregal Sagemount tie could not be corroborated</t>
        </is>
      </c>
      <c r="L5" s="11" t="inlineStr">
        <is>
          <t>meets parameters</t>
        </is>
      </c>
      <c r="M5" s="11" t="n">
        <v>3</v>
      </c>
      <c r="N5" s="11" t="inlineStr">
        <is>
          <t>Stretch</t>
        </is>
      </c>
      <c r="O5" s="11" t="inlineStr">
        <is>
          <t>Strong fit (3) and no direct F1 conflict for Atlas HXM itself, but revenue and ownership/funding figures are genuinely uncertain (private, no disclosure found) — an uncertain-figure reservation caps this at Stretch rather than Yes.</t>
        </is>
      </c>
      <c r="P5" s="11" t="inlineStr">
        <is>
          <t>"160 countries, one platform" — position Atlas as the global-workforce backbone mirroring F1's own multi-market operation, distinct from the unrelated Atlas Air/Aston Martin tie (est).</t>
        </is>
      </c>
      <c r="Q5" s="11" t="inlineStr">
        <is>
          <t>revenue and PE-ownership figures could not be independently verified — treat as uncertain; distinct from Atlas Air Worldwide, the unrelated cargo airline that is Aston Martin Aramco's Official Logistics Partner on the 2025/26 car — name-collision risk for activation/PR; HR/payroll category has an adjacent F1 team-level partner (UKG-Aston Martin)</t>
        </is>
      </c>
      <c r="R5" s="11" t="inlineStr">
        <is>
          <t>verified-new</t>
        </is>
      </c>
      <c r="S5" s="11" t="inlineStr">
        <is>
          <t>2026-09-28</t>
        </is>
      </c>
    </row>
    <row r="6">
      <c r="A6" s="11" t="n">
        <v>3</v>
      </c>
      <c r="B6" s="11" t="n">
        <v>58</v>
      </c>
      <c r="C6" s="11" t="inlineStr">
        <is>
          <t>People 2.0 Global Workforce Solutions</t>
        </is>
      </c>
      <c r="D6" s="11" t="inlineStr">
        <is>
          <t>people20.com</t>
        </is>
      </c>
      <c r="E6" s="11" t="inlineStr">
        <is>
          <t>Fort Lauderdale, FL, USA</t>
        </is>
      </c>
      <c r="F6" s="11" t="inlineStr">
        <is>
          <t>Private, PE-owned — TPG Growth took a majority stake in Feb 2021 (~5 years, 4+ yr threshold); other shareholders include CIP Capital and management. Input's "Aurora Capital Partners" attribution could not be confirmed and appears incorrect.</t>
        </is>
      </c>
      <c r="G6" s="11" t="inlineStr">
        <is>
          <t>Global EOR / PEO / workforce management platform, 100+ countries</t>
        </is>
      </c>
      <c r="H6" s="11" t="inlineStr">
        <is>
          <t>1k-5k</t>
        </is>
      </c>
      <c r="I6" s="11" t="inlineStr">
        <is>
          <t>$370.5M (2025, company/industry reporting)</t>
        </is>
      </c>
      <c r="J6" s="11" t="inlineStr">
        <is>
          <t>No published valuation — private, PE-owned</t>
        </is>
      </c>
      <c r="K6" s="11" t="inlineStr">
        <is>
          <t>TPG Growth majority investment, Feb 2021; subsequent M&amp;A (Capital GES, TalentWave/Serent Capital) shows ongoing growth investment</t>
        </is>
      </c>
      <c r="L6" s="11" t="inlineStr">
        <is>
          <t>meets parameters</t>
        </is>
      </c>
      <c r="M6" s="11" t="n">
        <v>3</v>
      </c>
      <c r="N6" s="11" t="inlineStr">
        <is>
          <t>Stretch</t>
        </is>
      </c>
      <c r="O6" s="11" t="inlineStr">
        <is>
          <t>Hard filters pass (revenue $370.5M, ~1,517 employees, no F1 conflict, broad multi-country client base, ownership clean) and fit is solid (3), but PE-owned 4+ years and no published valuation are real reservations — Stretch.</t>
        </is>
      </c>
      <c r="P6" s="11" t="inlineStr">
        <is>
          <t>Global EOR/workforce infrastructure story — "the backbone behind global expansion," echoing F1's own multi-market growth (est).</t>
        </is>
      </c>
      <c r="Q6" s="11" t="inlineStr">
        <is>
          <t>PE-owned 4+ years (TPG Growth since Feb 2021); no published valuation; input ownership attribution (Aurora Capital Partners) could not be confirmed — actual majority owner is TPG Growth</t>
        </is>
      </c>
      <c r="R6" s="11" t="inlineStr">
        <is>
          <t>verified-new</t>
        </is>
      </c>
      <c r="S6" s="11" t="inlineStr">
        <is>
          <t>2026-09-28</t>
        </is>
      </c>
    </row>
    <row r="7">
      <c r="A7" s="11" t="n">
        <v>4</v>
      </c>
      <c r="B7" s="11" t="n">
        <v>58</v>
      </c>
      <c r="C7" s="11" t="inlineStr">
        <is>
          <t>TASC Outsourcing</t>
        </is>
      </c>
      <c r="D7" s="11" t="inlineStr">
        <is>
          <t>tascoutsourcing.com</t>
        </is>
      </c>
      <c r="E7" s="11" t="inlineStr">
        <is>
          <t>Dubai, UAE</t>
        </is>
      </c>
      <c r="F7" s="11" t="inlineStr">
        <is>
          <t>Private, founder-led (Mahesh Shahdadpuri, Founder &amp; CEO, founded Nov 2007)</t>
        </is>
      </c>
      <c r="G7" s="11" t="inlineStr">
        <is>
          <t>Gulf-region staffing, contractor management, payroll and EOR services across UAE, Saudi Arabia, Qatar, Kuwait, Bahrain, Oman, plus India delivery operations</t>
        </is>
      </c>
      <c r="H7" s="11" t="inlineStr">
        <is>
          <t>5k-10k</t>
        </is>
      </c>
      <c r="I7" s="11" t="inlineStr">
        <is>
          <t>Over $100M turnover confirmed via Meydan Free Zone (UAE government) case study; third-party aggregator estimate (Owler, $5-25M) appears stale/unreliable given reported headcount scale (7,000-10,500 employees)</t>
        </is>
      </c>
      <c r="J7" s="11" t="inlineStr">
        <is>
          <t>No published valuation found (private company)</t>
        </is>
      </c>
      <c r="K7" s="11" t="inlineStr">
        <is>
          <t>None found — appears self-funded/founder-owned, no external financing identified</t>
        </is>
      </c>
      <c r="L7" s="11" t="inlineStr">
        <is>
          <t>meets parameters</t>
        </is>
      </c>
      <c r="M7" s="11" t="n">
        <v>3</v>
      </c>
      <c r="N7" s="11" t="inlineStr">
        <is>
          <t>Stretch</t>
        </is>
      </c>
      <c r="O7" s="11" t="inlineStr">
        <is>
          <t>Passes hard bars (revenue &gt;$100M per Meydan Free Zone case study; headcount 7,000-10,500; no F1 conflict found; founder-owned, no state/sanctions issue) but capped at Stretch: no published valuation and the underlying revenue figure is a case-study claim rather than an audited disclosure.</t>
        </is>
      </c>
      <c r="P7" s="11" t="inlineStr">
        <is>
          <t>TASC already operates in three current F1 host countries (UAE, Saudi Arabia, Qatar) — position as 'the workforce engine of the Gulf's F1 host markets,' riding the region's growing F1 investment and fan base; open category since Gulf staffing/EOR is unclaimed on the grid.</t>
        </is>
      </c>
      <c r="Q7" s="11" t="inlineStr">
        <is>
          <t>no published valuation (private); revenue figure sourced from a government free-zone case study rather than an audited/regulatory disclosure</t>
        </is>
      </c>
      <c r="R7" s="11" t="inlineStr">
        <is>
          <t>verified-new</t>
        </is>
      </c>
      <c r="S7" s="11" t="inlineStr">
        <is>
          <t>2026-09-28</t>
        </is>
      </c>
    </row>
    <row r="8">
      <c r="A8" s="11" t="n">
        <v>5</v>
      </c>
      <c r="B8" s="11" t="n">
        <v>52</v>
      </c>
      <c r="C8" s="11" t="inlineStr">
        <is>
          <t>CluneTech</t>
        </is>
      </c>
      <c r="D8" s="11" t="inlineStr">
        <is>
          <t>clunetech.com</t>
        </is>
      </c>
      <c r="E8" s="11" t="inlineStr">
        <is>
          <t>Kilkenny, Ireland</t>
        </is>
      </c>
      <c r="F8" s="11" t="inlineStr">
        <is>
          <t>Private, founder-owned (Terry Clune, CEO/founder — input's "Craig Senior" attribution is incorrect); no published valuation</t>
        </is>
      </c>
      <c r="G8" s="11" t="inlineStr">
        <is>
          <t>Cross-border payments, tax, and compliance group — TransferMate, Taxback International, Taxback.com, Sprintax, Visa First, Benamic, Gradguide. NOTE: Immedis (the group's global-payroll business, the input's stated reason for candidacy) was SOLD to UKG in a deal announced June 2023 (~€550-600M) and is no longer part of CluneTech — the input's premise is outdated.</t>
        </is>
      </c>
      <c r="H8" s="11" t="inlineStr">
        <is>
          <t>1k-5k</t>
        </is>
      </c>
      <c r="I8" s="11" t="inlineStr">
        <is>
          <t>$252.1M (2025 est, ZoomInfo) — figure's continuity through the 2023 Immedis divestment is unclear</t>
        </is>
      </c>
      <c r="J8" s="11" t="inlineStr">
        <is>
          <t>No published valuation — private, founder-owned</t>
        </is>
      </c>
      <c r="K8" s="11" t="inlineStr">
        <is>
          <t>N/A — no recent external equity raise identified; Immedis divestment (2023) was an exit, not a capital raise</t>
        </is>
      </c>
      <c r="L8" s="11" t="inlineStr">
        <is>
          <t>meets parameters</t>
        </is>
      </c>
      <c r="M8" s="11" t="n">
        <v>2</v>
      </c>
      <c r="N8" s="11" t="inlineStr">
        <is>
          <t>Stretch</t>
        </is>
      </c>
      <c r="O8" s="11" t="inlineStr">
        <is>
          <t>No CURRENT F1 conflict (TransferMate's Haas partnership ended after 2022; Haas is now TGR Haas/Toyota-sponsored) and revenue clears $100M, but the input's stated rationale (Immedis) no longer applies post-2023 divestment, ownership has no published valuation, and fit is only moderate (2) — Stretch, with a strong recommendation to re-scope the pitch around CluneTech's actual current businesses.</t>
        </is>
      </c>
      <c r="P8" s="11" t="inlineStr">
        <is>
          <t>Cross-border payments/global-compliance story via TransferMate, which already has a lapsed F1 relationship (Haas, 2022) that could be reopened — but pitch must be rebuilt around CluneTech's current portfolio, not the now-divested Immedis payroll business (est).</t>
        </is>
      </c>
      <c r="Q8" s="11" t="inlineStr">
        <is>
          <t>input's core candidacy premise (Immedis payroll platform) is outdated — Immedis was sold to UKG in 2023 and is no longer part of CluneTech; TransferMate (still a CluneTech Group subsidiary) was Haas F1 Team's official cross-border-payments Team Partner for the 2022 season — a lapsed, not current, F1 tie, but worth flagging given brand/legal continuity; founder-owned, no published valuation</t>
        </is>
      </c>
      <c r="R8" s="11" t="inlineStr">
        <is>
          <t>verified-new</t>
        </is>
      </c>
      <c r="S8" s="11" t="inlineStr">
        <is>
          <t>2026-09-28</t>
        </is>
      </c>
    </row>
    <row r="9">
      <c r="A9" s="11" t="n">
        <v>6</v>
      </c>
      <c r="B9" s="11" t="n">
        <v>52</v>
      </c>
      <c r="C9" s="11" t="inlineStr">
        <is>
          <t>Barrett Business Services (BBSI)</t>
        </is>
      </c>
      <c r="D9" s="11" t="inlineStr">
        <is>
          <t>bbsi.com</t>
        </is>
      </c>
      <c r="E9" s="11" t="inlineStr">
        <is>
          <t>Vancouver, WA, USA</t>
        </is>
      </c>
      <c r="F9" s="11" t="inlineStr">
        <is>
          <t>Public (NASDAQ: BBSI)</t>
        </is>
      </c>
      <c r="G9" s="11" t="inlineStr">
        <is>
          <t>US-focused PEO (professional employer organization), staffing and HR/workers'-comp outsourcing services</t>
        </is>
      </c>
      <c r="H9" s="11" t="inlineStr">
        <is>
          <t>10k+</t>
        </is>
      </c>
      <c r="I9" s="11" t="inlineStr">
        <is>
          <t>$1.24B FY2025 (+8% YoY); $1.14B-$1.20B FY2024 (+7% YoY) — company 8-K earnings releases, 2025</t>
        </is>
      </c>
      <c r="J9" s="11" t="inlineStr">
        <is>
          <t>~$1.20B market cap as of Aug 14 2025 (stockanalysis.com), up ~28.6% over the prior year</t>
        </is>
      </c>
      <c r="K9" s="11" t="inlineStr">
        <is>
          <t>N/A — public company</t>
        </is>
      </c>
      <c r="L9" s="11" t="inlineStr">
        <is>
          <t>meets parameters</t>
        </is>
      </c>
      <c r="M9" s="11" t="n">
        <v>2</v>
      </c>
      <c r="N9" s="11" t="inlineStr">
        <is>
          <t>Stretch</t>
        </is>
      </c>
      <c r="O9" s="11" t="inlineStr">
        <is>
          <t>Passes all hard bars (revenue $1.24B; valuation ~$1.2B, just above $1B; headcount 135,727 incl. worksite employees as of Dec 2024; profitable and growing net income; broad base of thousands of small-business clients; no F1 conflict found; public US ownership, no compliance flags) but fit score of only 2 rests on weak angles — a domestic-only US business with no natural global/performance story.</t>
        </is>
      </c>
      <c r="P9" s="11" t="inlineStr">
        <is>
          <t>Align with F1's growing US fanbase and the sport's first American-owned team (Cadillac, entering 2026) — 'the HR engine behind American small business'; open category since staffing/PEO is unclaimed on the grid.</t>
        </is>
      </c>
      <c r="Q9" s="11" t="inlineStr">
        <is>
          <t>US-only operations — weak international F1 market fit; valuation only marginally above the $1B threshold</t>
        </is>
      </c>
      <c r="R9" s="11" t="inlineStr">
        <is>
          <t>verified-new</t>
        </is>
      </c>
      <c r="S9" s="11" t="inlineStr">
        <is>
          <t>2026-09-28</t>
        </is>
      </c>
    </row>
  </sheetData>
  <autoFilter ref="A3:S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S9"/>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Franchise Groups — brand-new sector — 6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"28 Franchise Groups".</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0" t="n">
        <v>1</v>
      </c>
      <c r="B4" s="10" t="n">
        <v>84</v>
      </c>
      <c r="C4" s="10" t="inlineStr">
        <is>
          <t>Huazhu Group (H World Group)</t>
        </is>
      </c>
      <c r="D4" s="10" t="inlineStr">
        <is>
          <t>huazhu.com</t>
        </is>
      </c>
      <c r="E4" s="10" t="inlineStr">
        <is>
          <t>Shanghai, China</t>
        </is>
      </c>
      <c r="F4" s="10" t="inlineStr">
        <is>
          <t>Public (NASDAQ/HKEX: HTHT); founder-controlled (Ji Qi), no state ownership</t>
        </is>
      </c>
      <c r="G4" s="10" t="inlineStr">
        <is>
          <t>China's largest hotel franchisor plus an international upscale portfolio (HanTing, Ibis Styles China, Steigenberger, Deutsche Hospitality)</t>
        </is>
      </c>
      <c r="H4" s="10" t="inlineStr">
        <is>
          <t>10k+</t>
        </is>
      </c>
      <c r="I4" s="10" t="inlineStr">
        <is>
          <t>CN¥23.9B (~$3.3B) FY2024, +9.2% YoY — company FY2024 results</t>
        </is>
      </c>
      <c r="J4" s="10" t="inlineStr">
        <is>
          <t>~$14.4B-16.1B market cap (Q1-Q2 2026) — stockanalysis.com/companiesmarketcap.com</t>
        </is>
      </c>
      <c r="K4" s="10" t="inlineStr">
        <is>
          <t>N/A — established public company, no recent capital raise</t>
        </is>
      </c>
      <c r="L4" s="10" t="inlineStr">
        <is>
          <t>exceeds - mega-brand</t>
        </is>
      </c>
      <c r="M4" s="10" t="n">
        <v>3</v>
      </c>
      <c r="N4" s="10" t="inlineStr">
        <is>
          <t>Yes</t>
        </is>
      </c>
      <c r="O4" s="10" t="inlineStr">
        <is>
          <t>All hard filters pass clearly: revenue $3.3B (2024), valuation $14-16B market cap, no F1 conflict found, founder-controlled with no state ownership, headcount 10k+, still profitable despite margin compression, broad consumer base. Fit is strong (3/4) on a genuine global-expansion narrative.</t>
        </is>
      </c>
      <c r="P4" s="10" t="inlineStr">
        <is>
          <t>Position as the first major Chinese hospitality sponsor in F1, tied to F1's active push to grow its China fanbase (Shanghai GP) and the well-documented gap in Chinese brand partners on the grid — paired with Deutsche Hospitality's European upscale footprint for global activation.</t>
        </is>
      </c>
      <c r="Q4" s="10" t="inlineStr">
        <is>
          <t>net income down 25% YoY in 2024 (margin compression to 13%, still profitable); hospitality category already has two sponsors on the grid (Hilton, Hyatt) — differentiation needed</t>
        </is>
      </c>
      <c r="R4" s="10" t="inlineStr">
        <is>
          <t>verified-new</t>
        </is>
      </c>
      <c r="S4" s="10" t="inlineStr">
        <is>
          <t>2026-09-28</t>
        </is>
      </c>
    </row>
    <row r="5">
      <c r="A5" s="11" t="n">
        <v>2</v>
      </c>
      <c r="B5" s="11" t="n">
        <v>52</v>
      </c>
      <c r="C5" s="11" t="inlineStr">
        <is>
          <t>AmRest Holdings SE</t>
        </is>
      </c>
      <c r="D5" s="11" t="inlineStr">
        <is>
          <t>amrest.eu</t>
        </is>
      </c>
      <c r="E5" s="11" t="inlineStr">
        <is>
          <t>Wroclaw, Poland</t>
        </is>
      </c>
      <c r="F5" s="11" t="inlineStr">
        <is>
          <t>Private — FCapital Dutch B.V. (Finaccess/Fernández family) and Warburg Pincus; taken private via 2022 LBO</t>
        </is>
      </c>
      <c r="G5" s="11" t="inlineStr">
        <is>
          <t>Master franchisee for KFC, Pizza Hut, Burger King, and Starbucks across Central/Eastern Europe, Western Europe, and China</t>
        </is>
      </c>
      <c r="H5" s="11" t="inlineStr">
        <is>
          <t>10k+</t>
        </is>
      </c>
      <c r="I5" s="11" t="inlineStr">
        <is>
          <t>EUR 2,556.3M (~$2.7B) FY2024, all-time record, +5.1% YoY — AmRest FY2024 results, amrest.eu, reported Feb 2025</t>
        </is>
      </c>
      <c r="J5" s="11" t="inlineStr">
        <is>
          <t>No published valuation; taken private 2022 (Warburg Pincus/Finaccess LBO) — passes on revenue via private/no-valuation exception</t>
        </is>
      </c>
      <c r="K5" s="11" t="inlineStr">
        <is>
          <t>N/A — taken private via 2022 LBO, not a growth-capital raise</t>
        </is>
      </c>
      <c r="L5" s="11" t="inlineStr">
        <is>
          <t>exceeds - mega-brand</t>
        </is>
      </c>
      <c r="M5" s="11" t="n">
        <v>2</v>
      </c>
      <c r="N5" s="11" t="inlineStr">
        <is>
          <t>Stretch</t>
        </is>
      </c>
      <c r="O5" s="11" t="inlineStr">
        <is>
          <t>Passes all hard filters (revenue EUR2.56B 2024; no F1 tie found; private ownership, no state/sanctions issue; headcount ~40k; profitable and improving — record EBITDA and first-ever dividend in 2024; broad customer base) but has no published valuation (private/PE exception used, capped at Stretch) and fit is only 2/4 with a mass-market, not-especially-affluent brand story.</t>
        </is>
      </c>
      <c r="P5" s="11" t="inlineStr">
        <is>
          <t>Anchor a team's Central European growth story around AmRest's dominant CEE quick-service footprint (KFC/Pizza Hut/Burger King/Starbucks) with fan activations timed to the Hungarian GP weekend — QSR/fast-food is an open category on the current grid.</t>
        </is>
      </c>
      <c r="Q5" s="11" t="inlineStr">
        <is>
          <t>family/PE-owned, no published valuation; PE-owned ~4 years (taken private 2022)</t>
        </is>
      </c>
      <c r="R5" s="11" t="inlineStr">
        <is>
          <t>verified-new</t>
        </is>
      </c>
      <c r="S5" s="11" t="inlineStr">
        <is>
          <t>2026-09-28</t>
        </is>
      </c>
    </row>
    <row r="6">
      <c r="A6" s="11" t="n">
        <v>3</v>
      </c>
      <c r="B6" s="11" t="n">
        <v>52</v>
      </c>
      <c r="C6" s="11" t="inlineStr">
        <is>
          <t>Shangri-La Asia</t>
        </is>
      </c>
      <c r="D6" s="11" t="inlineStr">
        <is>
          <t>shangri-la.com</t>
        </is>
      </c>
      <c r="E6" s="11" t="inlineStr">
        <is>
          <t>Hong Kong</t>
        </is>
      </c>
      <c r="F6" s="11" t="inlineStr">
        <is>
          <t>Public (HKEX: 0069); Kuok family controlling shareholder</t>
        </is>
      </c>
      <c r="G6" s="11" t="inlineStr">
        <is>
          <t>Luxury hotel operation and franchising across Asia, the Middle East, and beyond</t>
        </is>
      </c>
      <c r="H6" s="11" t="inlineStr">
        <is>
          <t>10k+</t>
        </is>
      </c>
      <c r="I6" s="11" t="inlineStr">
        <is>
          <t>$2.19B FY2024, +2.0% YoY — companiesmarketcap.com, FY2024 results reported 2025</t>
        </is>
      </c>
      <c r="J6" s="11" t="inlineStr">
        <is>
          <t>~$2.17B market cap (Oct 2025) — companiesmarketcap.com</t>
        </is>
      </c>
      <c r="K6" s="11" t="inlineStr">
        <is>
          <t>N/A — long-established public company, no recent capital raise</t>
        </is>
      </c>
      <c r="L6" s="11" t="inlineStr">
        <is>
          <t>meets parameters</t>
        </is>
      </c>
      <c r="M6" s="11" t="n">
        <v>2</v>
      </c>
      <c r="N6" s="11" t="inlineStr">
        <is>
          <t>Stretch</t>
        </is>
      </c>
      <c r="O6" s="11" t="inlineStr">
        <is>
          <t>All hard filters pass (revenue $2.19B, valuation $2.17B market cap, no F1 tie found, family-controlled but not state-owned, headcount ~40k, still profitable) but fit is exactly 2/4 with a weak angle — luxury hospitality is already sponsored twice on the grid (Hilton/McLaren, Hyatt/Audi).</t>
        </is>
      </c>
      <c r="P6" s="11" t="inlineStr">
        <is>
          <t>Position as an APAC-focused luxury hospitality/VIP-experience partner for a team seeking Asian market growth (Singapore, Japan, China GPs), differentiated from Hilton/Hyatt by a premium, Asia-anchored guest-experience angle.</t>
        </is>
      </c>
      <c r="Q6" s="11" t="inlineStr">
        <is>
          <t>EBITDA down 3.5% and net income down 12.4% YoY in 2024 (softening but still profitable); hospitality category already claimed twice on the current grid</t>
        </is>
      </c>
      <c r="R6" s="11" t="inlineStr">
        <is>
          <t>verified-new</t>
        </is>
      </c>
      <c r="S6" s="11" t="inlineStr">
        <is>
          <t>2026-09-28</t>
        </is>
      </c>
    </row>
    <row r="7">
      <c r="A7" s="11" t="n">
        <v>4</v>
      </c>
      <c r="B7" s="11" t="n">
        <v>52</v>
      </c>
      <c r="C7" s="11" t="inlineStr">
        <is>
          <t>Toyoko Inn</t>
        </is>
      </c>
      <c r="D7" s="11" t="inlineStr">
        <is>
          <t>toyoko-inn.com</t>
        </is>
      </c>
      <c r="E7" s="11" t="inlineStr">
        <is>
          <t>Tokyo, Japan</t>
        </is>
      </c>
      <c r="F7" s="11" t="inlineStr">
        <is>
          <t>Private — founder Kunio Baba/family</t>
        </is>
      </c>
      <c r="G7" s="11" t="inlineStr">
        <is>
          <t>Japan's largest budget business-hotel chain (300+ hotels, mostly domestic with limited overseas)</t>
        </is>
      </c>
      <c r="H7" s="11" t="inlineStr">
        <is>
          <t>1k-5k</t>
        </is>
      </c>
      <c r="I7" s="11" t="inlineStr">
        <is>
          <t>¥143.9B (~$960M) FY2024 (ended March 2025) — toyoko-inn.co.jp corporate site</t>
        </is>
      </c>
      <c r="J7" s="11" t="inlineStr">
        <is>
          <t>No published valuation (private, founder-owned) — passes on revenue via exception, capped at Stretch</t>
        </is>
      </c>
      <c r="K7" s="11" t="inlineStr">
        <is>
          <t>N/A — private, founder-owned, no external capital raise</t>
        </is>
      </c>
      <c r="L7" s="11" t="inlineStr">
        <is>
          <t>meets parameters</t>
        </is>
      </c>
      <c r="M7" s="11" t="n">
        <v>2</v>
      </c>
      <c r="N7" s="11" t="inlineStr">
        <is>
          <t>Stretch</t>
        </is>
      </c>
      <c r="O7" s="11" t="inlineStr">
        <is>
          <t>Family-owned/private with no published valuation caps this at Stretch per the exception; fit is exactly 2/4 with weak angles — budget-hotel guest base skews away from affluent decision-makers and hospitality is already sponsored twice on the grid.</t>
        </is>
      </c>
      <c r="P7" s="11" t="inlineStr">
        <is>
          <t>Japan-anchored budget hospitality partner for fan travel around the Suzuka GP weekend, leveraging the company's stated global sales-expansion ambitions.</t>
        </is>
      </c>
      <c r="Q7" s="11" t="inlineStr">
        <is>
          <t>family-owned, no published valuation; budget-tier brand positioning (non-affluent guest base); hospitality category already claimed twice on the grid</t>
        </is>
      </c>
      <c r="R7" s="11" t="inlineStr">
        <is>
          <t>verified-new</t>
        </is>
      </c>
      <c r="S7" s="11" t="inlineStr">
        <is>
          <t>2026-09-28</t>
        </is>
      </c>
    </row>
    <row r="8">
      <c r="A8" s="11" t="n">
        <v>5</v>
      </c>
      <c r="B8" s="11" t="n">
        <v>46</v>
      </c>
      <c r="C8" s="11" t="inlineStr">
        <is>
          <t>APA Group (APA Hotels)</t>
        </is>
      </c>
      <c r="D8" s="11" t="inlineStr">
        <is>
          <t>apahotel.com</t>
        </is>
      </c>
      <c r="E8" s="11" t="inlineStr">
        <is>
          <t>Tokyo, Japan</t>
        </is>
      </c>
      <c r="F8" s="11" t="inlineStr">
        <is>
          <t>Private — 100% owned by the Motoya family</t>
        </is>
      </c>
      <c r="G8" s="11" t="inlineStr">
        <is>
          <t>Japan's largest hotel chain by room count (134,847+ rooms)</t>
        </is>
      </c>
      <c r="H8" s="11" t="inlineStr">
        <is>
          <t>5k-10k</t>
        </is>
      </c>
      <c r="I8" s="11" t="inlineStr">
        <is>
          <t>¥220B (~$1.4-1.5B) FY2024 (ended Nov 2024) — company/press reports</t>
        </is>
      </c>
      <c r="J8" s="11" t="inlineStr">
        <is>
          <t>No published valuation (private, family-owned) — passes on revenue via exception, capped at Stretch</t>
        </is>
      </c>
      <c r="K8" s="11" t="inlineStr">
        <is>
          <t>N/A — private, family-owned, no external capital raise; profitable every year for 50 years</t>
        </is>
      </c>
      <c r="L8" s="11" t="inlineStr">
        <is>
          <t>meets parameters</t>
        </is>
      </c>
      <c r="M8" s="11" t="n">
        <v>1</v>
      </c>
      <c r="N8" s="11" t="inlineStr">
        <is>
          <t>Stretch</t>
        </is>
      </c>
      <c r="O8" s="11" t="inlineStr">
        <is>
          <t>Family-owned with no published valuation caps this at Stretch; fit is weak (1/4 — largely Japan-domestic, budget positioning, category already taken); also flagging a genuine reputational reservation around the chairman's public controversies that would need brand-safety diligence before any outreach.</t>
        </is>
      </c>
      <c r="P8" s="11" t="inlineStr">
        <is>
          <t>Weak and higher-risk; if pursued at all, a narrow Japan-only budget-hospitality tie-in around the Suzuka GP, contingent on reputational due diligence on the chairman.</t>
        </is>
      </c>
      <c r="Q8" s="11" t="inlineStr">
        <is>
          <t>family-owned, no published valuation; chairman Toshio Motoya has a long public record of controversial nationalist/historical-revisionist statements (e.g. hotel-room book controversy) — material brand-safety/reputational risk for an F1 partnership; budget-tier brand, weak F1 fit</t>
        </is>
      </c>
      <c r="R8" s="11" t="inlineStr">
        <is>
          <t>verified-new</t>
        </is>
      </c>
      <c r="S8" s="11" t="inlineStr">
        <is>
          <t>2026-09-28</t>
        </is>
      </c>
    </row>
    <row r="9">
      <c r="A9" s="11" t="n">
        <v>6</v>
      </c>
      <c r="B9" s="11" t="n">
        <v>40</v>
      </c>
      <c r="C9" s="11" t="inlineStr">
        <is>
          <t>Drury Hotels</t>
        </is>
      </c>
      <c r="D9" s="11" t="inlineStr">
        <is>
          <t>druryhotels.com</t>
        </is>
      </c>
      <c r="E9" s="11" t="inlineStr">
        <is>
          <t>St. Louis, MO, USA</t>
        </is>
      </c>
      <c r="F9" s="11" t="inlineStr">
        <is>
          <t>Private — Drury family (family-owned, no external investors)</t>
        </is>
      </c>
      <c r="G9" s="11" t="inlineStr">
        <is>
          <t>US midscale hotel chain and franchisor (150+ hotels)</t>
        </is>
      </c>
      <c r="H9" s="11" t="inlineStr">
        <is>
          <t>5k-10k</t>
        </is>
      </c>
      <c r="I9" s="11" t="inlineStr">
        <is>
          <t>~$540M-$777M (est., third-party estimates — Drury does not publish financials) — Zippia/ZoomInfo, 2024-2026 (est)</t>
        </is>
      </c>
      <c r="J9" s="11" t="inlineStr">
        <is>
          <t>No published valuation (private, family-owned) — passes on revenue alone per exception, capped at Stretch</t>
        </is>
      </c>
      <c r="K9" s="11" t="inlineStr">
        <is>
          <t>N/A — no external capital raises; family-owned</t>
        </is>
      </c>
      <c r="L9" s="11" t="inlineStr">
        <is>
          <t>meets parameters</t>
        </is>
      </c>
      <c r="M9" s="11" t="n">
        <v>0</v>
      </c>
      <c r="N9" s="11" t="inlineStr">
        <is>
          <t>Stretch</t>
        </is>
      </c>
      <c r="O9" s="11" t="inlineStr">
        <is>
          <t>Family-owned with no published valuation caps this at Stretch per the private-ownership exception even though revenue likely clears $100M (est); fit is weak (0/4) — US-only footprint and a hospitality category already claimed by Hilton and Hyatt on the grid.</t>
        </is>
      </c>
      <c r="P9" s="11" t="inlineStr">
        <is>
          <t>Weak opening given category saturation; if pursued, position as a US-market lodging partner for fan travel around Austin/Miami/Las Vegas GP weekends rather than a global team partnership.</t>
        </is>
      </c>
      <c r="Q9" s="11" t="inlineStr">
        <is>
          <t>family-owned, no published valuation; estimated financials only — private company does not disclose; single-country (US) operations limit F1 audience overlap</t>
        </is>
      </c>
      <c r="R9" s="11" t="inlineStr">
        <is>
          <t>verified-new</t>
        </is>
      </c>
      <c r="S9" s="11" t="inlineStr">
        <is>
          <t>2026-09-28</t>
        </is>
      </c>
    </row>
  </sheetData>
  <autoFilter ref="A3:S9"/>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S7"/>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Water Tech &amp; Desalination — brand-new sector — 4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"29 Water Tech &amp; Desalination".</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1" t="n">
        <v>1</v>
      </c>
      <c r="B4" s="11" t="n">
        <v>58</v>
      </c>
      <c r="C4" s="11" t="inlineStr">
        <is>
          <t>Sembcorp Industries</t>
        </is>
      </c>
      <c r="D4" s="11" t="inlineStr">
        <is>
          <t>sembcorp.com</t>
        </is>
      </c>
      <c r="E4" s="11" t="inlineStr">
        <is>
          <t>Singapore</t>
        </is>
      </c>
      <c r="F4" s="11" t="inlineStr">
        <is>
          <t>Public (SGX: U96); Temasek Holdings is the largest shareholder, reported inconsistently across sources at ~49.5% and 50.1% — right at the majority-state-ownership line and needs confirmation. Not sanctioned, not gambling/alcohol.</t>
        </is>
      </c>
      <c r="G4" s="11" t="inlineStr">
        <is>
          <t>Integrated utilities group — desalination, water reclamation, industrial water treatment, plus renewable/conventional energy — across Asia, the Middle East, UK and India</t>
        </is>
      </c>
      <c r="H4" s="11" t="inlineStr">
        <is>
          <t>5k-10k</t>
        </is>
      </c>
      <c r="I4" s="11" t="inlineStr">
        <is>
          <t>S$5.8B turnover FY2025, down ~10% YoY from S$6.4B; net profit attributable to shareholders S$984M, down 3% YoY (The Edge Singapore, FY2025 results). Far exceeds the &gt;$100M hard bar despite the YoY dip.</t>
        </is>
      </c>
      <c r="J4" s="11" t="inlineStr">
        <is>
          <t>Market cap ~$8.72B (quoted Sept 9, 2026, 1.78B shares outstanding). Clears the &gt;$1B hard bar by a wide margin.</t>
        </is>
      </c>
      <c r="K4" s="11" t="inlineStr">
        <is>
          <t>n/a — established listed company</t>
        </is>
      </c>
      <c r="L4" s="11" t="inlineStr">
        <is>
          <t>exceeds - mega-brand</t>
        </is>
      </c>
      <c r="M4" s="11" t="n">
        <v>3</v>
      </c>
      <c r="N4" s="11" t="inlineStr">
        <is>
          <t>Stretch</t>
        </is>
      </c>
      <c r="O4" s="11" t="inlineStr">
        <is>
          <t>Hard bars clear comfortably (revenue ~S$5.8B, market cap ~$8.7B) and fit is solid (3/4, genuine multi-market industrial energy/water conglomerate), but Temasek's reported stake sits right at the 50% majority-state-ownership line and revenue/profit both dipped slightly YoY — real reservations that block a clean Yes pending ownership confirmation.</t>
        </is>
      </c>
      <c r="P4" s="11" t="inlineStr">
        <is>
          <t>Position around 'powering the energy transition' (renewables, decarbonization technology) rather than pure water-tech, to sidestep BWT's water-technology claim; confirm the Temasek stake is genuinely below 50% before proceeding (est).</t>
        </is>
      </c>
      <c r="Q4" s="11" t="inlineStr">
        <is>
          <t>Temasek stake reported inconsistently at ~49.5%-50.1% — borderline majority state ownership, must be confirmed before any outreach; revenue and profit both declined YoY (turnover -10%, profit -3%), though still highly profitable — not distress; company reported to be conducting a 'strategic business review' in 2025 — monitor for restructuring signals</t>
        </is>
      </c>
      <c r="R4" s="11" t="inlineStr">
        <is>
          <t>verified-new</t>
        </is>
      </c>
      <c r="S4" s="11" t="inlineStr">
        <is>
          <t>2026-09-28</t>
        </is>
      </c>
    </row>
    <row r="5">
      <c r="A5" s="11" t="n">
        <v>2</v>
      </c>
      <c r="B5" s="11" t="n">
        <v>58</v>
      </c>
      <c r="C5" s="11" t="inlineStr">
        <is>
          <t>CTCI Corporation</t>
        </is>
      </c>
      <c r="D5" s="11" t="inlineStr">
        <is>
          <t>ctci.com</t>
        </is>
      </c>
      <c r="E5" s="11" t="inlineStr">
        <is>
          <t>Taipei, Taiwan</t>
        </is>
      </c>
      <c r="F5" s="11" t="inlineStr">
        <is>
          <t>Public (TWSE: 9933); dispersed shareholding, no state control</t>
        </is>
      </c>
      <c r="G5" s="11" t="inlineStr">
        <is>
          <t>Engineering, procurement and construction (EPC), including large water/desalination and environmental-plant projects across Asia and the Middle East</t>
        </is>
      </c>
      <c r="H5" s="11" t="inlineStr">
        <is>
          <t>5k-10k (~9,000, est)</t>
        </is>
      </c>
      <c r="I5" s="11" t="inlineStr">
        <is>
          <t>NT$91.85B for FY2025, down 23.41% YoY on a US-project impairment; still profitable at NT$1.69B net income -- CTCI 2025 Annual Report / stockanalysis.com</t>
        </is>
      </c>
      <c r="J5" s="11" t="inlineStr">
        <is>
          <t>Market cap ~NT$36-38B / ~$1.0-1.2B USD (Aug-Sep 2026, estimates vary by source/date) -- stockanalysis.com, MarketScreener</t>
        </is>
      </c>
      <c r="K5" s="11" t="inlineStr">
        <is>
          <t>N/A - publicly listed, no recent funding round</t>
        </is>
      </c>
      <c r="L5" s="11" t="inlineStr">
        <is>
          <t>meets parameters</t>
        </is>
      </c>
      <c r="M5" s="11" t="n">
        <v>3</v>
      </c>
      <c r="N5" s="11" t="inlineStr">
        <is>
          <t>Stretch</t>
        </is>
      </c>
      <c r="O5" s="11" t="inlineStr">
        <is>
          <t>Hard bars pass but thin: market cap is borderline around the $1B bar (~$1.0-1.2B depending on source/date, Sep 2026) and 2025 revenue fell 23% YoY due to a US-project impairment (company remains profitable) -- a real reservation on valuation certainty and momentum.</t>
        </is>
      </c>
      <c r="P5" s="11" t="inlineStr">
        <is>
          <t>Global EPC/engineering brand spanning major water, energy and desalination projects across Asia-Pacific and the Middle East -- an 'engineering precision at global scale' story fits F1's technology/performance narrative, and the infrastructure-EPC category is unclaimed on the current grid.</t>
        </is>
      </c>
      <c r="Q5" s="11" t="inlineStr">
        <is>
          <t>diversified EPC group -- water/desal is one segment, not the whole business; 2025 revenue fell 23% YoY tied to a US-project impairment; market cap sits right at the $1B threshold and varies by source/date -- uncertain figure</t>
        </is>
      </c>
      <c r="R5" s="11" t="inlineStr">
        <is>
          <t>verified-new</t>
        </is>
      </c>
      <c r="S5" s="11" t="inlineStr">
        <is>
          <t>2026-09-28</t>
        </is>
      </c>
    </row>
    <row r="6">
      <c r="A6" s="11" t="n">
        <v>3</v>
      </c>
      <c r="B6" s="11" t="n">
        <v>52</v>
      </c>
      <c r="C6" s="11" t="inlineStr">
        <is>
          <t>Beijing OriginWater Technology Co</t>
        </is>
      </c>
      <c r="D6" s="11" t="inlineStr">
        <is>
          <t>originwater.com</t>
        </is>
      </c>
      <c r="E6" s="11" t="inlineStr">
        <is>
          <t>Beijing, China</t>
        </is>
      </c>
      <c r="F6" s="11" t="inlineStr">
        <is>
          <t>Public (Shenzhen: 300070); founder/management-controlled per available data; no confirmed majority state ownership.</t>
        </is>
      </c>
      <c r="G6" s="11" t="inlineStr">
        <is>
          <t>Membrane-based water treatment technology; municipal/industrial wastewater reuse and reclaimed-water systems, largely via EPC/project contracts</t>
        </is>
      </c>
      <c r="H6" s="11" t="inlineStr">
        <is>
          <t>1k-5k</t>
        </is>
      </c>
      <c r="I6" s="11" t="inlineStr">
        <is>
          <t>CN¥7.78B FY2025 (~$1.08B est), down 8.9% YoY (Simply Wall St / PitchBook). Well above the &gt;$100M hard bar despite the decline.</t>
        </is>
      </c>
      <c r="J6" s="11" t="inlineStr">
        <is>
          <t>Market cap ~$2.27B as of Jun 30, 2025 (3.62B shares); also reported as ~CN¥16.4B around May 2025 (Simply Wall St). Clears the &gt;$1B hard bar.</t>
        </is>
      </c>
      <c r="K6" s="11" t="inlineStr">
        <is>
          <t>n/a — listed on Shenzhen Stock Exchange since ~2010</t>
        </is>
      </c>
      <c r="L6" s="11" t="inlineStr">
        <is>
          <t>meets parameters</t>
        </is>
      </c>
      <c r="M6" s="11" t="n">
        <v>2</v>
      </c>
      <c r="N6" s="11" t="inlineStr">
        <is>
          <t>Stretch</t>
        </is>
      </c>
      <c r="O6" s="11" t="inlineStr">
        <is>
          <t>Revenue (~$1.08B) and valuation (~$2.3B) clear the hard bars and fit sits right at the 2/4 threshold, but FY2025 revenue declined 8.9% YoY (a capacity-to-spend concern) and international F1-market presence outside China is unconfirmed — real reservations that keep this short of a clean Yes.</t>
        </is>
      </c>
      <c r="P6" s="11" t="inlineStr">
        <is>
          <t>Frame around China/APAC growth-market access and membrane-technology innovation, but confirm the FY2025 revenue decline has reversed before proceeding (est).</t>
        </is>
      </c>
      <c r="Q6" s="11" t="inlineStr">
        <is>
          <t>FY2025 revenue declined 8.9% YoY — watch for growth/margin pressure; largely China-domestic revenue base, unconfirmed presence in other F1 markets; EPC/municipal project-based revenue model carries customer-concentration risk</t>
        </is>
      </c>
      <c r="R6" s="11" t="inlineStr">
        <is>
          <t>verified-new</t>
        </is>
      </c>
      <c r="S6" s="11" t="inlineStr">
        <is>
          <t>2026-09-28</t>
        </is>
      </c>
    </row>
    <row r="7">
      <c r="A7" s="11" t="n">
        <v>4</v>
      </c>
      <c r="B7" s="11" t="n">
        <v>52</v>
      </c>
      <c r="C7" s="11" t="inlineStr">
        <is>
          <t>Aegea Saneamento e Participacoes SA</t>
        </is>
      </c>
      <c r="D7" s="11" t="inlineStr">
        <is>
          <t>aegea.com.br</t>
        </is>
      </c>
      <c r="E7" s="11" t="inlineStr">
        <is>
          <t>Sao Paulo, Brazil</t>
        </is>
      </c>
      <c r="F7" s="11" t="inlineStr">
        <is>
          <t>Private; Equipav Group majority, GIC (Singapore sovereign wealth fund) and Itausa minority stakes; pre-IPO</t>
        </is>
      </c>
      <c r="G7" s="11" t="inlineStr">
        <is>
          <t>Private water/sewage concessions across Brazilian municipalities -- largest private sanitation operator in Brazil</t>
        </is>
      </c>
      <c r="H7" s="11" t="inlineStr">
        <is>
          <t>5k-10k (~9,000, est)</t>
        </is>
      </c>
      <c r="I7" s="11" t="inlineStr">
        <is>
          <t>R$18.3B pro forma net revenue in 2025 (+21% YoY), ~$3.4B (est conversion); pro forma EBITDA R$10.3B (+24%) -- Bloomberg Linea / company results, reported 2026</t>
        </is>
      </c>
      <c r="J7" s="11" t="inlineStr">
        <is>
          <t>R$58.9B (~$10.9B, est) shadow/reference valuation from a 2025-26 capital increase ahead of a planned IPO -- InvestNews, 2026</t>
        </is>
      </c>
      <c r="K7" s="11" t="inlineStr">
        <is>
          <t>R$424M capital increase (2025-26), with GIC expected to add up to R$1.2B further, ahead of IPO -- InvestNews</t>
        </is>
      </c>
      <c r="L7" s="11" t="inlineStr">
        <is>
          <t>meets parameters</t>
        </is>
      </c>
      <c r="M7" s="11" t="n">
        <v>2</v>
      </c>
      <c r="N7" s="11" t="inlineStr">
        <is>
          <t>Stretch</t>
        </is>
      </c>
      <c r="O7" s="11" t="inlineStr">
        <is>
          <t>All hard bars pass comfortably (revenue ~$3.4B, valuation ~$10.9B est, profitable and growing, thousands of municipal customers, no F1 conflict found, no majority state control) but GIC's minority sovereign stake and single-market (Brazil-only) footprint are real reservations that cap this at Stretch per protocol.</t>
        </is>
      </c>
      <c r="P7" s="11" t="inlineStr">
        <is>
          <t>Brazil's largest private water/sanitation platform riding the country's water-privatization wave, timed to a high-profile IPO -- an 'infrastructure modernization at scale' story with a natural home-turf tie-in to the Sao Paulo Grand Prix.</t>
        </is>
      </c>
      <c r="Q7" s="11" t="inlineStr">
        <is>
          <t>minority sovereign stake -- GIC (Singapore) holds a minority position; pre-IPO -- R$58.9B is a shadow/reference valuation, not a confirmed market cap; single-country (Brazil) revenue base</t>
        </is>
      </c>
      <c r="R7" s="11" t="inlineStr">
        <is>
          <t>verified-new</t>
        </is>
      </c>
      <c r="S7" s="11" t="inlineStr">
        <is>
          <t>2026-09-28</t>
        </is>
      </c>
    </row>
  </sheetData>
  <autoFilter ref="A3:S7"/>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S10"/>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Waste, Recycling &amp; Circular — brand-new sector — 7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"30 Waste, Recycling &amp; Circular".</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0" t="n">
        <v>1</v>
      </c>
      <c r="B4" s="10" t="n">
        <v>92</v>
      </c>
      <c r="C4" s="10" t="inlineStr">
        <is>
          <t>Klabin SA</t>
        </is>
      </c>
      <c r="D4" s="10" t="inlineStr">
        <is>
          <t>klabin.com.br</t>
        </is>
      </c>
      <c r="E4" s="10" t="inlineStr">
        <is>
          <t>Sao Paulo, Brazil</t>
        </is>
      </c>
      <c r="F4" s="10" t="inlineStr">
        <is>
          <t>Public (B3/NYSE: KLBN11/KLBAY); Klabin family founding shareholders + BNDESPAR minority state holder</t>
        </is>
      </c>
      <c r="G4" s="10" t="inlineStr">
        <is>
          <t>Recycled and virgin fiber packaging paper/cartonboard, corrugated boxes</t>
        </is>
      </c>
      <c r="H4" s="10" t="inlineStr">
        <is>
          <t>10k+</t>
        </is>
      </c>
      <c r="I4" s="10" t="inlineStr">
        <is>
          <t>$3.707B USD FY2025, +1.78% YoY (source: macrotrends.net, 2025)</t>
        </is>
      </c>
      <c r="J4" s="10" t="inlineStr">
        <is>
          <t>Market cap ~R$137B (multi-billion USD, roughly $8-9B depending on FX) as of 2025/2026 (source: Yahoo Finance/macrotrends) — far exceeds the $1B bar</t>
        </is>
      </c>
      <c r="K4" s="10" t="inlineStr">
        <is>
          <t>N/A (public company)</t>
        </is>
      </c>
      <c r="L4" s="10" t="inlineStr">
        <is>
          <t>exceeds - mega-brand</t>
        </is>
      </c>
      <c r="M4" s="10" t="n">
        <v>4</v>
      </c>
      <c r="N4" s="10" t="inlineStr">
        <is>
          <t>Yes</t>
        </is>
      </c>
      <c r="O4" s="10" t="inlineStr">
        <is>
          <t>All hard bars clear by wide margins (revenue $3.7B, market cap multi-billion, headcount ~19k); no current F1 conflicts found; fit score 4.</t>
        </is>
      </c>
      <c r="P4" s="10" t="inlineStr">
        <is>
          <t>Position Klabin as a sustainable-materials/circular-packaging technology story, timed with Brazil's growing F1 fanbase (Sao Paulo GP) and LatAm expansion.</t>
        </is>
      </c>
      <c r="Q4" s="10" t="inlineStr">
        <is>
          <t>family-controlled (Klabin family); minority state holder (BNDESPAR)</t>
        </is>
      </c>
      <c r="R4" s="10" t="inlineStr">
        <is>
          <t>verified-new</t>
        </is>
      </c>
      <c r="S4" s="10" t="inlineStr">
        <is>
          <t>2026-09-28</t>
        </is>
      </c>
    </row>
    <row r="5">
      <c r="A5" s="10" t="n">
        <v>2</v>
      </c>
      <c r="B5" s="10" t="n">
        <v>92</v>
      </c>
      <c r="C5" s="10" t="inlineStr">
        <is>
          <t>Suzano SA</t>
        </is>
      </c>
      <c r="D5" s="10" t="inlineStr">
        <is>
          <t>suzano.com.br</t>
        </is>
      </c>
      <c r="E5" s="10" t="inlineStr">
        <is>
          <t>Sao Paulo, Brazil</t>
        </is>
      </c>
      <c r="F5" s="10" t="inlineStr">
        <is>
          <t>Public (B3/NYSE: SUZ); Feffer family largest shareholder (~28%)</t>
        </is>
      </c>
      <c r="G5" s="10" t="inlineStr">
        <is>
          <t>Pulp, paper and biomaterials producer with circular bioeconomy initiatives (lignin, biogenic products)</t>
        </is>
      </c>
      <c r="H5" s="10" t="inlineStr">
        <is>
          <t>10k+</t>
        </is>
      </c>
      <c r="I5" s="10" t="inlineStr">
        <is>
          <t>$9.0B USD FY2025, net income $1.7B (source: company reports/stockanalysis.com, 2025)</t>
        </is>
      </c>
      <c r="J5" s="10" t="inlineStr">
        <is>
          <t>Market cap ~$11.01B USD as of Sept 2026 (source: stockanalysis.com)</t>
        </is>
      </c>
      <c r="K5" s="10" t="inlineStr">
        <is>
          <t>N/A (public company)</t>
        </is>
      </c>
      <c r="L5" s="10" t="inlineStr">
        <is>
          <t>exceeds - mega-brand</t>
        </is>
      </c>
      <c r="M5" s="10" t="n">
        <v>4</v>
      </c>
      <c r="N5" s="10" t="inlineStr">
        <is>
          <t>Yes</t>
        </is>
      </c>
      <c r="O5" s="10" t="inlineStr">
        <is>
          <t>All hard bars clear decisively (revenue $9.0B, market cap $11.01B, headcount ~40k); no F1 conflicts found; fit score 4.</t>
        </is>
      </c>
      <c r="P5" s="10" t="inlineStr">
        <is>
          <t>World's largest market-pulp producer — align with F1's sustainable-fuel/bioeconomy push, timed with the Ribas do Rio Pardo mill ramp-up and Brazil GP visibility.</t>
        </is>
      </c>
      <c r="Q5" s="10" t="inlineStr">
        <is>
          <t>family-controlled (Feffer family ~28%)</t>
        </is>
      </c>
      <c r="R5" s="10" t="inlineStr">
        <is>
          <t>verified-new</t>
        </is>
      </c>
      <c r="S5" s="10" t="inlineStr">
        <is>
          <t>2026-09-28</t>
        </is>
      </c>
    </row>
    <row r="6">
      <c r="A6" s="10" t="n">
        <v>3</v>
      </c>
      <c r="B6" s="10" t="n">
        <v>84</v>
      </c>
      <c r="C6" s="10" t="inlineStr">
        <is>
          <t>Takuma Co Ltd</t>
        </is>
      </c>
      <c r="D6" s="10" t="inlineStr">
        <is>
          <t>takuma.co.jp</t>
        </is>
      </c>
      <c r="E6" s="10" t="inlineStr">
        <is>
          <t>Amagasaki, Japan</t>
        </is>
      </c>
      <c r="F6" s="10" t="inlineStr">
        <is>
          <t>Public (TSE: 6013); no state control</t>
        </is>
      </c>
      <c r="G6" s="10" t="inlineStr">
        <is>
          <t>Waste-to-energy and biomass power plant design, construction and O&amp;M</t>
        </is>
      </c>
      <c r="H6" s="10" t="inlineStr">
        <is>
          <t>1k-5k (~1,800, est)</t>
        </is>
      </c>
      <c r="I6" s="10" t="inlineStr">
        <is>
          <t>JPY 151.16B for FY2024 (+1.34% YoY), ~$1.0B (est conversion) -- stockanalysis.com/TipRanks, accessed Sep 2026</t>
        </is>
      </c>
      <c r="J6" s="10" t="inlineStr">
        <is>
          <t>Market cap ~JPY 220.8B / ~$1.47B USD (Sep 2026) -- stockanalysis.com</t>
        </is>
      </c>
      <c r="K6" s="10" t="inlineStr">
        <is>
          <t>N/A - publicly listed, no recent funding round</t>
        </is>
      </c>
      <c r="L6" s="10" t="inlineStr">
        <is>
          <t>meets parameters</t>
        </is>
      </c>
      <c r="M6" s="10" t="n">
        <v>3</v>
      </c>
      <c r="N6" s="10" t="inlineStr">
        <is>
          <t>Yes</t>
        </is>
      </c>
      <c r="O6" s="10" t="inlineStr">
        <is>
          <t>All hard filters pass with reasonable margin: revenue ~$1.0B (FY2024, profitable and stable), market cap ~$1.47B (comfortably above the $1B bar), no F1 conflict found, no state ownership, no distress signals, and fit score of 3.</t>
        </is>
      </c>
      <c r="P6" s="10" t="inlineStr">
        <is>
          <t>Leading Japanese waste-to-energy/circular-economy technology builder -- an 'engineering the circular economy' story pairs well with F1's sustainability and technology-precision narrative, and the category is unclaimed on the current grid.</t>
        </is>
      </c>
      <c r="Q6" s="10" t="inlineStr">
        <is>
          <t>primarily Japan-domestic revenue base, limited international scale</t>
        </is>
      </c>
      <c r="R6" s="10" t="inlineStr">
        <is>
          <t>verified-new</t>
        </is>
      </c>
      <c r="S6" s="10" t="inlineStr">
        <is>
          <t>2026-09-28</t>
        </is>
      </c>
    </row>
    <row r="7">
      <c r="A7" s="11" t="n">
        <v>4</v>
      </c>
      <c r="B7" s="11" t="n">
        <v>58</v>
      </c>
      <c r="C7" s="11" t="inlineStr">
        <is>
          <t>Fujian Longking Co Ltd</t>
        </is>
      </c>
      <c r="D7" s="11" t="inlineStr">
        <is>
          <t>longking.com</t>
        </is>
      </c>
      <c r="E7" s="11" t="inlineStr">
        <is>
          <t>Nanping, Fujian, China</t>
        </is>
      </c>
      <c r="F7" s="11" t="inlineStr">
        <is>
          <t>Public (Shanghai-listed, 600388); ~51% individual investors; largest institutional shareholder is Zijin Mining Group (~24.8%), whose own largest shareholder is a Fujian state-owned-assets entity -- an indirect/minority state linkage, not majority state control</t>
        </is>
      </c>
      <c r="G7" s="11" t="inlineStr">
        <is>
          <t>Environmental protection equipment: flue-gas desulfurization/denitration, dust removal and solid-waste treatment systems</t>
        </is>
      </c>
      <c r="H7" s="11" t="inlineStr">
        <is>
          <t>1k-5k (~3,000, est)</t>
        </is>
      </c>
      <c r="I7" s="11" t="inlineStr">
        <is>
          <t>RMB 10.02B in 2024 (down 8.69% YoY), ~$1.4B (est); TTM revenue ~$1.56B as of Sep 2025 -- stockanalysis.com</t>
        </is>
      </c>
      <c r="J7" s="11" t="inlineStr">
        <is>
          <t>Market cap ~RMB 14.6B / ~$2.1B USD (2026) -- stockanalysis.com</t>
        </is>
      </c>
      <c r="K7" s="11" t="inlineStr">
        <is>
          <t>N/A - publicly listed, no recent funding round</t>
        </is>
      </c>
      <c r="L7" s="11" t="inlineStr">
        <is>
          <t>meets parameters</t>
        </is>
      </c>
      <c r="M7" s="11" t="n">
        <v>3</v>
      </c>
      <c r="N7" s="11" t="inlineStr">
        <is>
          <t>Stretch</t>
        </is>
      </c>
      <c r="O7" s="11" t="inlineStr">
        <is>
          <t>Hard bars pass (revenue ~$1.4-1.6B, valuation ~$2.1B, no majority state control, no F1 conflict found) but the indirect state-linked ownership chain (Zijin Mining -&gt; Fujian state-owned assets) and a declining 2024 revenue trend are real reservations warranting closer compliance review before treating this as a clean Yes.</t>
        </is>
      </c>
      <c r="P7" s="11" t="inlineStr">
        <is>
          <t>Leading Chinese industrial environmental-equipment maker (desulfurization, dust removal, solid-waste systems) -- a 'clean industrial technology' story, timed to the Chinese Grand Prix and F1's under-tapped Chinese sponsor base.</t>
        </is>
      </c>
      <c r="Q7" s="11" t="inlineStr">
        <is>
          <t>revenue declined 8.69% in 2024; indirect/minority state linkage via Zijin Mining Group's chain to Fujian state-owned assets -- not majority control but worth flagging for compliance review; China-based supplier -- general geopolitical/compliance sensitivity, though not on any sanctions/Entity List</t>
        </is>
      </c>
      <c r="R7" s="11" t="inlineStr">
        <is>
          <t>verified-new</t>
        </is>
      </c>
      <c r="S7" s="11" t="inlineStr">
        <is>
          <t>2026-09-28</t>
        </is>
      </c>
    </row>
    <row r="8">
      <c r="A8" s="11" t="n">
        <v>5</v>
      </c>
      <c r="B8" s="11" t="n">
        <v>52</v>
      </c>
      <c r="C8" s="11" t="inlineStr">
        <is>
          <t>Bingo Industries</t>
        </is>
      </c>
      <c r="D8" s="11" t="inlineStr">
        <is>
          <t>bingoindustries.com.au</t>
        </is>
      </c>
      <c r="E8" s="11" t="inlineStr">
        <is>
          <t>Sydney, Australia</t>
        </is>
      </c>
      <c r="F8" s="11" t="inlineStr">
        <is>
          <t>Private; CPE Capital &amp; Macquarie Infrastructure and Real Assets consortium, controlling since Aug 2021 (~5 years); took private from founders Tartak/Malouf</t>
        </is>
      </c>
      <c r="G8" s="11" t="inlineStr">
        <is>
          <t>Construction &amp; demolition waste collection, recycling and resource recovery</t>
        </is>
      </c>
      <c r="H8" s="11" t="inlineStr">
        <is>
          <t>1k-5k (~2,000, est)</t>
        </is>
      </c>
      <c r="I8" s="11" t="inlineStr">
        <is>
          <t>Last disclosed public figure: A$509.7M for FY2020 (ended Jun 2020, +27% YoY); no current published figure since the 2021 take-private -- estimated ~A$800M/$530M today (est, unverified)</t>
        </is>
      </c>
      <c r="J8" s="11" t="inlineStr">
        <is>
          <t>A$2.28B / ~$1.7B enterprise value at the 2021 take-private (AVCJ) -- a stale, 5-year-old figure; no current published valuation</t>
        </is>
      </c>
      <c r="K8" s="11" t="inlineStr">
        <is>
          <t>N/A - PE-owned since 2021, no disclosed recent capital raise</t>
        </is>
      </c>
      <c r="L8" s="11" t="inlineStr">
        <is>
          <t>meets parameters</t>
        </is>
      </c>
      <c r="M8" s="11" t="n">
        <v>2</v>
      </c>
      <c r="N8" s="11" t="inlineStr">
        <is>
          <t>Stretch</t>
        </is>
      </c>
      <c r="O8" s="11" t="inlineStr">
        <is>
          <t>Likely clears both hard bars (2021 take-private EV of $1.7B and FY2020 revenue trajectory imply current revenue/valuation both above the bars) but no current, dated, sourced figures exist since the 2021 privatization -- a genuine uncertain-figure reservation, compounded by 5+ years of PE ownership.</t>
        </is>
      </c>
      <c r="P8" s="11" t="inlineStr">
        <is>
          <t>Australia's largest C&amp;D waste recycler could tie to F1's sustainability/circular-economy story, but single-market scale and stale financials make this a lower-conviction pick relative to others in the sector.</t>
        </is>
      </c>
      <c r="Q8" s="11" t="inlineStr">
        <is>
          <t>PE-owned 5+ years (since Aug 2021); no published current revenue or valuation -- most recent public figures are FY2020 revenue and a 2021 take-private price; single-market (Australia)</t>
        </is>
      </c>
      <c r="R8" s="11" t="inlineStr">
        <is>
          <t>verified-new</t>
        </is>
      </c>
      <c r="S8" s="11" t="inlineStr">
        <is>
          <t>2026-09-28</t>
        </is>
      </c>
    </row>
    <row r="9">
      <c r="A9" s="11" t="n">
        <v>6</v>
      </c>
      <c r="B9" s="11" t="n">
        <v>52</v>
      </c>
      <c r="C9" s="11" t="inlineStr">
        <is>
          <t>China Tianying Inc</t>
        </is>
      </c>
      <c r="D9" s="11" t="inlineStr">
        <is>
          <t>zgtianying.com</t>
        </is>
      </c>
      <c r="E9" s="11" t="inlineStr">
        <is>
          <t>Nantong, Jiangsu, China</t>
        </is>
      </c>
      <c r="F9" s="11" t="inlineStr">
        <is>
          <t>Public (Shenzhen: 000035); actual controller is Nantong Qianchuang Investment and concerted parties (incl. Mr. Yan Shengjun) -- private entities, no state control identified</t>
        </is>
      </c>
      <c r="G9" s="11" t="inlineStr">
        <is>
          <t>Waste-to-energy plant investment, construction and operation across China</t>
        </is>
      </c>
      <c r="H9" s="11" t="inlineStr">
        <is>
          <t>1k-5k (~5,000, est, at the band boundary)</t>
        </is>
      </c>
      <c r="I9" s="11" t="inlineStr">
        <is>
          <t>RMB 5.28B in 2025 (down 6.77% YoY), ~$740M (est); most recent quarter (Jun 2026) RMB 1.53B, +11.27% YoY -- stockanalysis.com</t>
        </is>
      </c>
      <c r="J9" s="11" t="inlineStr">
        <is>
          <t>Market cap ~RMB 11.3-14.1B / ~$1.6-2.0B USD (2026) -- stockanalysis.com</t>
        </is>
      </c>
      <c r="K9" s="11" t="inlineStr">
        <is>
          <t>N/A - publicly listed, no recent funding round</t>
        </is>
      </c>
      <c r="L9" s="11" t="inlineStr">
        <is>
          <t>meets parameters</t>
        </is>
      </c>
      <c r="M9" s="11" t="n">
        <v>2</v>
      </c>
      <c r="N9" s="11" t="inlineStr">
        <is>
          <t>Stretch</t>
        </is>
      </c>
      <c r="O9" s="11" t="inlineStr">
        <is>
          <t>Hard bars pass (revenue ~$740M, valuation ~$1.6-2.0B, no state control, no F1 conflict found) but fit score is only 2 with a domestic-only footprint and a mixed 2025 revenue trend (-6.77% FY, +11.27% latest quarter) -- a real reservation on both fit and momentum.</t>
        </is>
      </c>
      <c r="P9" s="11" t="inlineStr">
        <is>
          <t>One of China's largest waste-to-energy plant operators -- ties naturally to the Chinese Grand Prix and F1's push into the Chinese sponsor market, though domestic-only scope limits the 'global ambition' angle.</t>
        </is>
      </c>
      <c r="Q9" s="11" t="inlineStr">
        <is>
          <t>revenue declined 6.77% in FY2025 (though the most recent quarter shows +11.27% growth); China-based, purely domestic operations</t>
        </is>
      </c>
      <c r="R9" s="11" t="inlineStr">
        <is>
          <t>verified-new</t>
        </is>
      </c>
      <c r="S9" s="11" t="inlineStr">
        <is>
          <t>2026-09-28</t>
        </is>
      </c>
    </row>
    <row r="10">
      <c r="A10" s="11" t="n">
        <v>7</v>
      </c>
      <c r="B10" s="11" t="n">
        <v>52</v>
      </c>
      <c r="C10" s="11" t="inlineStr">
        <is>
          <t>Nippon Paper Industries</t>
        </is>
      </c>
      <c r="D10" s="11" t="inlineStr">
        <is>
          <t>nipponpapergroup.com</t>
        </is>
      </c>
      <c r="E10" s="11" t="inlineStr">
        <is>
          <t>Tokyo, Japan</t>
        </is>
      </c>
      <c r="F10" s="11" t="inlineStr">
        <is>
          <t>Public (TSE: 3863); no state control</t>
        </is>
      </c>
      <c r="G10" s="11" t="inlineStr">
        <is>
          <t>Paper, packaging and recycled pulp manufacturer, biomass energy</t>
        </is>
      </c>
      <c r="H10" s="11" t="inlineStr">
        <is>
          <t>10k+ (15,145 employees)</t>
        </is>
      </c>
      <c r="I10" s="11" t="inlineStr">
        <is>
          <t>JPY 1.17 trillion (~$8B USD) last FY (source: TradingView, 2025/2026)</t>
        </is>
      </c>
      <c r="J10" s="11" t="inlineStr">
        <is>
          <t>Market cap ~JPY 144-158B (~$0.98-1.03B USD), May-Aug 2026 (source: stockanalysis.com) — sits right at the $1B hard bar</t>
        </is>
      </c>
      <c r="K10" s="11" t="inlineStr">
        <is>
          <t>N/A (public company)</t>
        </is>
      </c>
      <c r="L10" s="11" t="inlineStr">
        <is>
          <t>meets parameters</t>
        </is>
      </c>
      <c r="M10" s="11" t="n">
        <v>2</v>
      </c>
      <c r="N10" s="11" t="inlineStr">
        <is>
          <t>Stretch</t>
        </is>
      </c>
      <c r="O10" s="11" t="inlineStr">
        <is>
          <t>Revenue clears easily, but valuation sits right at the $1B hard bar (~$0.98-1.03B USD, thin margin, date/FX-dependent); fit score only 2 with weak angles.</t>
        </is>
      </c>
      <c r="P10" s="11" t="inlineStr">
        <is>
          <t>Japanese paper/recycled-pulp leader pursuing overseas M&amp;A expansion — a sustainability-materials story for F1, though it needs firmer valuation confirmation before committing to the spend-capacity case.</t>
        </is>
      </c>
      <c r="Q10" s="11" t="inlineStr">
        <is>
          <t>market cap borderline ~$1B, straddling the hard bar depending on date/FX; historical (1970s-80s) F1 sponsorship link to Brabham — not a current conflict</t>
        </is>
      </c>
      <c r="R10" s="11" t="inlineStr">
        <is>
          <t>verified-new</t>
        </is>
      </c>
      <c r="S10" s="11" t="inlineStr">
        <is>
          <t>2026-09-28</t>
        </is>
      </c>
    </row>
  </sheetData>
  <autoFilter ref="A3:S10"/>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S12"/>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Agritech &amp; Ag Inputs — brand-new sector — 9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"31 Agritech &amp; Ag Inputs".</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0" t="n">
        <v>1</v>
      </c>
      <c r="B4" s="10" t="n">
        <v>84</v>
      </c>
      <c r="C4" s="10" t="inlineStr">
        <is>
          <t>Groupe Roullier</t>
        </is>
      </c>
      <c r="D4" s="10" t="inlineStr">
        <is>
          <t>roullier.com</t>
        </is>
      </c>
      <c r="E4" s="10" t="inlineStr">
        <is>
          <t>Saint-Malo, France</t>
        </is>
      </c>
      <c r="F4" s="10" t="inlineStr">
        <is>
          <t>Family-owned (Roullier family), no state ties</t>
        </is>
      </c>
      <c r="G4" s="10" t="inlineStr">
        <is>
          <t>Plant nutrition, specialty fertilizers and animal nutrition</t>
        </is>
      </c>
      <c r="H4" s="10" t="inlineStr">
        <is>
          <t>10k+ (10,555 employees, 76% international)</t>
        </is>
      </c>
      <c r="I4" s="10" t="inlineStr">
        <is>
          <t>EUR 2.9B FY2025 (some sources cite EUR 4.1B across all group activities) (source: roullier.com Key Figures; Le Journal des Entreprises)</t>
        </is>
      </c>
      <c r="J4" s="10" t="inlineStr">
        <is>
          <t>Family-owned, no published valuation</t>
        </is>
      </c>
      <c r="K4" s="10" t="inlineStr">
        <is>
          <t>N/A (family-owned, no funding rounds)</t>
        </is>
      </c>
      <c r="L4" s="10" t="inlineStr">
        <is>
          <t>meets parameters</t>
        </is>
      </c>
      <c r="M4" s="10" t="n">
        <v>3</v>
      </c>
      <c r="N4" s="10" t="inlineStr">
        <is>
          <t>Yes</t>
        </is>
      </c>
      <c r="O4" s="10" t="inlineStr">
        <is>
          <t>Revenue clears the hard bar decisively (EUR 2.9-4.1B), headcount 10k+, no F1 conflicts found; family ownership flagged but passes on revenue alone per protocol; fit score 3.</t>
        </is>
      </c>
      <c r="P4" s="10" t="inlineStr">
        <is>
          <t>Global specialty-fertilizer/plant-nutrition leader (76% international staff) — a precision-agriculture/technology story that fits F1's performance-science narrative in the open ag-inputs category.</t>
        </is>
      </c>
      <c r="Q4" s="10" t="inlineStr">
        <is>
          <t>family-owned, no published valuation</t>
        </is>
      </c>
      <c r="R4" s="10" t="inlineStr">
        <is>
          <t>verified-new</t>
        </is>
      </c>
      <c r="S4" s="10" t="inlineStr">
        <is>
          <t>2026-09-28</t>
        </is>
      </c>
    </row>
    <row r="5">
      <c r="A5" s="10" t="n">
        <v>2</v>
      </c>
      <c r="B5" s="10" t="n">
        <v>84</v>
      </c>
      <c r="C5" s="10" t="inlineStr">
        <is>
          <t>Enza Zaden BV</t>
        </is>
      </c>
      <c r="D5" s="10" t="inlineStr">
        <is>
          <t>enzazaden.com</t>
        </is>
      </c>
      <c r="E5" s="10" t="inlineStr">
        <is>
          <t>Enkhuizen, Netherlands</t>
        </is>
      </c>
      <c r="F5" s="10" t="inlineStr">
        <is>
          <t>Private; family-owned, no published valuation</t>
        </is>
      </c>
      <c r="G5" s="10" t="inlineStr">
        <is>
          <t>Vegetable seed breeding, R&amp;D-led genetics, global grower distribution</t>
        </is>
      </c>
      <c r="H5" s="10" t="inlineStr">
        <is>
          <t>1k-5k</t>
        </is>
      </c>
      <c r="I5" s="10" t="inlineStr">
        <is>
          <t>Revenue €479.5M (~$520M est) in FY2024, +9% YoY, per Groenten &amp; Fruit Actueel/industry press, reported mid-2025</t>
        </is>
      </c>
      <c r="J5" s="10" t="inlineStr">
        <is>
          <t>Family-owned, no published valuation (equity €665M per 2024 annual report, not a market valuation)</t>
        </is>
      </c>
      <c r="K5" s="10" t="inlineStr">
        <is>
          <t>N/A - private family company, no external funding rounds</t>
        </is>
      </c>
      <c r="L5" s="10" t="inlineStr">
        <is>
          <t>meets parameters</t>
        </is>
      </c>
      <c r="M5" s="10" t="n">
        <v>3</v>
      </c>
      <c r="N5" s="10" t="inlineStr">
        <is>
          <t>Yes</t>
        </is>
      </c>
      <c r="O5" s="10" t="inlineStr">
        <is>
          <t>All hard filters pass on solid, dated figures: revenue €479.5M (~$520M) FY2024, well above the $100M bar; family-owned with no published valuation passes on revenue alone per protocol; headcount ~2,250 (2025) passes the &gt;51 floor; profit and revenue both growing (capacity to spend); sells to thousands of growers worldwide (no customer concentration); no F1 team/driver/GP tie found; family ownership with no state/sanctions/gambling/alcohol issue. Fit score 3/4 with a credible technology/precision-breeding narrative.</t>
        </is>
      </c>
      <c r="P5" s="10" t="inlineStr">
        <is>
          <t>R&amp;D-led vegetable-seed genetics as a 'precision and innovation' story - positions Enza Zaden as a technology-forward agritech brand courting global growers, in the still-open agritech sponsorship category.</t>
        </is>
      </c>
      <c r="Q5" s="10" t="inlineStr">
        <is>
          <t>family-owned, no published valuation; est figures (currency conversion)</t>
        </is>
      </c>
      <c r="R5" s="10" t="inlineStr">
        <is>
          <t>verified-new</t>
        </is>
      </c>
      <c r="S5" s="10" t="inlineStr">
        <is>
          <t>2026-09-28</t>
        </is>
      </c>
    </row>
    <row r="6">
      <c r="A6" s="11" t="n">
        <v>3</v>
      </c>
      <c r="B6" s="11" t="n">
        <v>58</v>
      </c>
      <c r="C6" s="11" t="inlineStr">
        <is>
          <t>Groupe Limagrain</t>
        </is>
      </c>
      <c r="D6" s="11" t="inlineStr">
        <is>
          <t>limagrain.com</t>
        </is>
      </c>
      <c r="E6" s="11" t="inlineStr">
        <is>
          <t>Chappes, France</t>
        </is>
      </c>
      <c r="F6" s="11" t="inlineStr">
        <is>
          <t>Farmer cooperative-owned (~1,300 member farmers); owns Vilmorin &amp; Cie</t>
        </is>
      </c>
      <c r="G6" s="11" t="inlineStr">
        <is>
          <t>Field crop and vegetable seeds, cereal-based food products</t>
        </is>
      </c>
      <c r="H6" s="11" t="inlineStr">
        <is>
          <t>5k-10k (9,335-9,600 employees)</t>
        </is>
      </c>
      <c r="I6" s="11" t="inlineStr">
        <is>
          <t>EUR 2,107M core turnover + EUR 720M via strategic partner agreements (~EUR 2.8B / $3B+ total), last FY (source: limagrain.com, tridge.com)</t>
        </is>
      </c>
      <c r="J6" s="11" t="inlineStr">
        <is>
          <t>Cooperative-owned, no published valuation</t>
        </is>
      </c>
      <c r="K6" s="11" t="inlineStr">
        <is>
          <t>N/A (cooperative, no external funding rounds)</t>
        </is>
      </c>
      <c r="L6" s="11" t="inlineStr">
        <is>
          <t>meets parameters</t>
        </is>
      </c>
      <c r="M6" s="11" t="n">
        <v>3</v>
      </c>
      <c r="N6" s="11" t="inlineStr">
        <is>
          <t>Stretch</t>
        </is>
      </c>
      <c r="O6" s="11" t="inlineStr">
        <is>
          <t>Revenue clears the hard bar decisively (~EUR 2.8B) and no F1 conflicts found, but cooperative ownership carries no published valuation — capped at Stretch per protocol.</t>
        </is>
      </c>
      <c r="P6" s="11" t="inlineStr">
        <is>
          <t>4th-largest global seed group, present in 49 countries — align with F1's agriculture-innovation/sustainability narrative in the open ag-inputs category.</t>
        </is>
      </c>
      <c r="Q6" s="11" t="inlineStr">
        <is>
          <t>cooperative-owned, no published valuation</t>
        </is>
      </c>
      <c r="R6" s="11" t="inlineStr">
        <is>
          <t>verified-new</t>
        </is>
      </c>
      <c r="S6" s="11" t="inlineStr">
        <is>
          <t>2026-09-28</t>
        </is>
      </c>
    </row>
    <row r="7">
      <c r="A7" s="11" t="n">
        <v>4</v>
      </c>
      <c r="B7" s="11" t="n">
        <v>58</v>
      </c>
      <c r="C7" s="11" t="inlineStr">
        <is>
          <t>Bejo Zaden BV</t>
        </is>
      </c>
      <c r="D7" s="11" t="inlineStr">
        <is>
          <t>bejo.com</t>
        </is>
      </c>
      <c r="E7" s="11" t="inlineStr">
        <is>
          <t>Warmenhuizen, Netherlands</t>
        </is>
      </c>
      <c r="F7" s="11" t="inlineStr">
        <is>
          <t>Family-owned (van Andel family), Netherlands</t>
        </is>
      </c>
      <c r="G7" s="11" t="inlineStr">
        <is>
          <t>Vegetable seed breeding and production</t>
        </is>
      </c>
      <c r="H7" s="11" t="inlineStr">
        <is>
          <t>1k-5k (2,300 per company site; third-party estimates range 633-1,900)</t>
        </is>
      </c>
      <c r="I7" s="11" t="inlineStr">
        <is>
          <t>Last hard disclosure ~$270M group revenue (2017); current figure not publicly disclosed, estimated ~$400-540M (est) given its position as a global top-5 vegetable seed house; a $25M third-party estimate found in one source is inconsistent with headcount/market position and treated as unreliable</t>
        </is>
      </c>
      <c r="J7" s="11" t="inlineStr">
        <is>
          <t>Family-owned, no published valuation</t>
        </is>
      </c>
      <c r="K7" s="11" t="inlineStr">
        <is>
          <t>N/A (family-owned, no funding rounds)</t>
        </is>
      </c>
      <c r="L7" s="11" t="inlineStr">
        <is>
          <t>meets parameters</t>
        </is>
      </c>
      <c r="M7" s="11" t="n">
        <v>3</v>
      </c>
      <c r="N7" s="11" t="inlineStr">
        <is>
          <t>Stretch</t>
        </is>
      </c>
      <c r="O7" s="11" t="inlineStr">
        <is>
          <t>No F1 conflicts and business scale is credible against the revenue bar, but the current revenue figure is not confirmed from a reliable recent source (last hard disclosure was 2017's $270M) — an uncertain figure that caps this at Stretch.</t>
        </is>
      </c>
      <c r="P7" s="11" t="inlineStr">
        <is>
          <t>Global top-5 vegetable seed breeder active in 30+ countries — a food-security/breeding-science story for F1's sustainability push, in the open ag-inputs category.</t>
        </is>
      </c>
      <c r="Q7" s="11" t="inlineStr">
        <is>
          <t>family-owned, no published valuation; current revenue not publicly confirmed — relying on 2017 disclosure plus industry-position estimate (est)</t>
        </is>
      </c>
      <c r="R7" s="11" t="inlineStr">
        <is>
          <t>verified-new</t>
        </is>
      </c>
      <c r="S7" s="11" t="inlineStr">
        <is>
          <t>2026-09-28</t>
        </is>
      </c>
    </row>
    <row r="8">
      <c r="A8" s="11" t="n">
        <v>5</v>
      </c>
      <c r="B8" s="11" t="n">
        <v>58</v>
      </c>
      <c r="C8" s="11" t="inlineStr">
        <is>
          <t>Haifa Group</t>
        </is>
      </c>
      <c r="D8" s="11" t="inlineStr">
        <is>
          <t>haifa-group.com</t>
        </is>
      </c>
      <c r="E8" s="11" t="inlineStr">
        <is>
          <t>Haifa, Israel</t>
        </is>
      </c>
      <c r="F8" s="11" t="inlineStr">
        <is>
          <t>Private; owned by Trance Resource Inc. (TRI), a holding company controlled by The Trump Group (a US/Israeli real-estate and investment group led by Eugene Grant) since 1989 - corrected from input's 'Steinhardt family' attribution, which was not substantiated</t>
        </is>
      </c>
      <c r="G8" s="11" t="inlineStr">
        <is>
          <t>Specialty water-soluble and controlled-release fertilizers, sold globally</t>
        </is>
      </c>
      <c r="H8" s="11" t="inlineStr">
        <is>
          <t>1k-5k</t>
        </is>
      </c>
      <c r="I8" s="11" t="inlineStr">
        <is>
          <t>Reported annual revenue ~$612M (third-party estimate, Kona Equity, accessed Sep 2026); a separate estimate cites $584.6M - no audited figure disclosed (private company)</t>
        </is>
      </c>
      <c r="J8" s="11" t="inlineStr">
        <is>
          <t>Privately held, no published valuation</t>
        </is>
      </c>
      <c r="K8" s="11" t="inlineStr">
        <is>
          <t>N/A - private company, no external funding rounds found</t>
        </is>
      </c>
      <c r="L8" s="11" t="inlineStr">
        <is>
          <t>meets parameters</t>
        </is>
      </c>
      <c r="M8" s="11" t="n">
        <v>3</v>
      </c>
      <c r="N8" s="11" t="inlineStr">
        <is>
          <t>Stretch</t>
        </is>
      </c>
      <c r="O8" s="11" t="inlineStr">
        <is>
          <t>Hard filters appear to pass (revenue ~$600M range, well above $100M; private ownership with no published valuation passes on revenue alone; headcount ~1,600 passes; long-established, no distress signals; global grower customer base; no F1 tie; ownership is a private US/Israeli investment holding company, no state/sanctions/gambling/alcohol issue) and fit score is a solid 3/4, but capped at Stretch because the revenue figure itself is an uncertain third-party estimate with no audited primary source.</t>
        </is>
      </c>
      <c r="P8" s="11" t="inlineStr">
        <is>
          <t>Precision/specialty-nutrition technology story for global growers - positions Haifa as a science-led agri-input brand in the still-open agritech category (est).</t>
        </is>
      </c>
      <c r="Q8" s="11" t="inlineStr">
        <is>
          <t>revenue estimate uncertain - third-party figures conflict ($584.6M vs $612M), no audited disclosure; no published valuation (private, family/investment-vehicle owned) - passes on revenue alone per protocol</t>
        </is>
      </c>
      <c r="R8" s="11" t="inlineStr">
        <is>
          <t>verified-new</t>
        </is>
      </c>
      <c r="S8" s="11" t="inlineStr">
        <is>
          <t>2026-09-28</t>
        </is>
      </c>
    </row>
    <row r="9">
      <c r="A9" s="11" t="n">
        <v>6</v>
      </c>
      <c r="B9" s="11" t="n">
        <v>58</v>
      </c>
      <c r="C9" s="11" t="inlineStr">
        <is>
          <t>Takii and Company Ltd</t>
        </is>
      </c>
      <c r="D9" s="11" t="inlineStr">
        <is>
          <t>takii.co.jp</t>
        </is>
      </c>
      <c r="E9" s="11" t="inlineStr">
        <is>
          <t>Kyoto, Japan</t>
        </is>
      </c>
      <c r="F9" s="11" t="inlineStr">
        <is>
          <t>Private; family-owned since 1835</t>
        </is>
      </c>
      <c r="G9" s="11" t="inlineStr">
        <is>
          <t>Vegetable and flower seed breeding and global distribution (Japan, Americas via American Takii, Europe via Takii Europe)</t>
        </is>
      </c>
      <c r="H9" s="11" t="inlineStr">
        <is>
          <t>1k-5k</t>
        </is>
      </c>
      <c r="I9" s="11" t="inlineStr">
        <is>
          <t>Most recent verifiable figure: Group revenue JPY 56.0 billion (~$370-500M est depending on FX year) as of FY2019 (Access to Seeds Index/Wikidata); no 2024/2025 figure publicly available</t>
        </is>
      </c>
      <c r="J9" s="11" t="inlineStr">
        <is>
          <t>Family-owned, no published valuation</t>
        </is>
      </c>
      <c r="K9" s="11" t="inlineStr">
        <is>
          <t>N/A - private family company, no external funding rounds</t>
        </is>
      </c>
      <c r="L9" s="11" t="inlineStr">
        <is>
          <t>meets parameters</t>
        </is>
      </c>
      <c r="M9" s="11" t="n">
        <v>3</v>
      </c>
      <c r="N9" s="11" t="inlineStr">
        <is>
          <t>Stretch</t>
        </is>
      </c>
      <c r="O9" s="11" t="inlineStr">
        <is>
          <t>Hard filters appear to pass (last verified revenue ~$370-500M, well above $100M; family-owned with no published valuation passes on revenue alone; headcount likely 1k-5k group-wide, passes &gt;51; long-established heritage company with no distress signals; global grower customer base; no F1 tie; private family ownership, no state/sanctions/gambling/alcohol issue) but the only verifiable revenue and headcount data found is stale (2019/2020), so this is capped at Stretch pending fresher figures.</t>
        </is>
      </c>
      <c r="P9" s="11" t="inlineStr">
        <is>
          <t>World's oldest/largest vegetable-seed house - heritage-meets-precision-breeding story for a still-open agri-seed sponsorship category (est).</t>
        </is>
      </c>
      <c r="Q9" s="11" t="inlineStr">
        <is>
          <t>family-owned, no published valuation; stale revenue figure (most recent verifiable data is from 2019); standalone headcount reported as low as 781 (2020); group-wide estimate ~2,000 used for banding</t>
        </is>
      </c>
      <c r="R9" s="11" t="inlineStr">
        <is>
          <t>verified-new</t>
        </is>
      </c>
      <c r="S9" s="11" t="inlineStr">
        <is>
          <t>2026-09-28</t>
        </is>
      </c>
    </row>
    <row r="10">
      <c r="A10" s="11" t="n">
        <v>7</v>
      </c>
      <c r="B10" s="11" t="n">
        <v>52</v>
      </c>
      <c r="C10" s="11" t="inlineStr">
        <is>
          <t>Deepak Fertilisers and Petrochemicals Corporation</t>
        </is>
      </c>
      <c r="D10" s="11" t="inlineStr">
        <is>
          <t>deepakfert.com</t>
        </is>
      </c>
      <c r="E10" s="11" t="inlineStr">
        <is>
          <t>Pune, India</t>
        </is>
      </c>
      <c r="F10" s="11" t="inlineStr">
        <is>
          <t>Public (NSE/BSE); Mehta founding family promoter-controlled</t>
        </is>
      </c>
      <c r="G10" s="11" t="inlineStr">
        <is>
          <t>Nitrogen fertilizers, technical ammonium nitrate and industrial chemicals for agriculture</t>
        </is>
      </c>
      <c r="H10" s="11" t="inlineStr">
        <is>
          <t>1k-5k (1,180-1,216 employees)</t>
        </is>
      </c>
      <c r="I10" s="11" t="inlineStr">
        <is>
          <t>INR 10,400 crore (~$1.25B USD) FY2025 (source: screener.in company filings, 2025)</t>
        </is>
      </c>
      <c r="J10" s="11" t="inlineStr">
        <is>
          <t>Market cap ~INR 193.23B (~$2.3B USD) (source: tipranks.com/PitchBook, 2025/2026) — exceeds the $1B bar</t>
        </is>
      </c>
      <c r="K10" s="11" t="inlineStr">
        <is>
          <t>N/A (public company)</t>
        </is>
      </c>
      <c r="L10" s="11" t="inlineStr">
        <is>
          <t>meets parameters</t>
        </is>
      </c>
      <c r="M10" s="11" t="n">
        <v>2</v>
      </c>
      <c r="N10" s="11" t="inlineStr">
        <is>
          <t>Stretch</t>
        </is>
      </c>
      <c r="O10" s="11" t="inlineStr">
        <is>
          <t>Revenue ($1.25B) and valuation (~$2.3B) hard bars pass, no F1 conflicts found; but fit score only 2 with weak angles due to domestic concentration — capped at Stretch.</t>
        </is>
      </c>
      <c r="P10" s="11" t="inlineStr">
        <is>
          <t>Fast-growing Indian industrial/agri-chemicals major with strong capex momentum — could pair with F1's India market-expansion narrative, though domestic concentration limits the global sponsorship case.</t>
        </is>
      </c>
      <c r="Q10" s="11" t="inlineStr">
        <is>
          <t>promoter/family-controlled (Mehta family); largely India-domestic revenue base</t>
        </is>
      </c>
      <c r="R10" s="11" t="inlineStr">
        <is>
          <t>verified-new</t>
        </is>
      </c>
      <c r="S10" s="11" t="inlineStr">
        <is>
          <t>2026-09-28</t>
        </is>
      </c>
    </row>
    <row r="11">
      <c r="A11" s="11" t="n">
        <v>8</v>
      </c>
      <c r="B11" s="11" t="n">
        <v>52</v>
      </c>
      <c r="C11" s="11" t="inlineStr">
        <is>
          <t>Godrej Agrovet Limited</t>
        </is>
      </c>
      <c r="D11" s="11" t="inlineStr">
        <is>
          <t>godrejagrovet.com</t>
        </is>
      </c>
      <c r="E11" s="11" t="inlineStr">
        <is>
          <t>Mumbai, India</t>
        </is>
      </c>
      <c r="F11" s="11" t="inlineStr">
        <is>
          <t>Public (NSE/BSE); Godrej family majority control (Chairman Nadir Godrej)</t>
        </is>
      </c>
      <c r="G11" s="11" t="inlineStr">
        <is>
          <t>Diversified Indian agribusiness: animal feed, crop protection (via Astec Lifesciences subsidiary), palm oil, dairy</t>
        </is>
      </c>
      <c r="H11" s="11" t="inlineStr">
        <is>
          <t>5k-10k</t>
        </is>
      </c>
      <c r="I11" s="11" t="inlineStr">
        <is>
          <t>Consolidated revenue ₹10,233 crore (~$1.16B est) in FY2025-26 (record high), per company annual report/ScanX, reported Sep 2026</t>
        </is>
      </c>
      <c r="J11" s="11" t="inlineStr">
        <is>
          <t>Market cap ~₹12,739 crore (~$1.45B est) as of Sep 2026, per Screener/Trendlyne</t>
        </is>
      </c>
      <c r="K11" s="11" t="inlineStr">
        <is>
          <t>N/A - established public company, no recent funding round</t>
        </is>
      </c>
      <c r="L11" s="11" t="inlineStr">
        <is>
          <t>meets parameters</t>
        </is>
      </c>
      <c r="M11" s="11" t="n">
        <v>2</v>
      </c>
      <c r="N11" s="11" t="inlineStr">
        <is>
          <t>Stretch</t>
        </is>
      </c>
      <c r="O11" s="11" t="inlineStr">
        <is>
          <t>All hard filters pass (revenue ~$1.16B &gt; $100M; valuation ~$1.45B &gt; $1B; headcount 5k-10k; profitable and improving, PBT +20% YoY; thousands of farmer/distributor customers; no F1/team/driver/GP tie found; family-majority public ownership, no state/sanctions/gambling/alcohol issue). Verdict capped at Stretch because fit score is only 2/4 with weak angles (limited global reach, no performance/tech narrative).</t>
        </is>
      </c>
      <c r="P11" s="11" t="inlineStr">
        <is>
          <t>Position as a diversified Indian agribusiness with export-driven global ambition (via Astec Lifesciences), riding India's growth story and F1's push into new markets - open 'agritech' category (est).</t>
        </is>
      </c>
      <c r="Q11" s="11" t="inlineStr">
        <is>
          <t>family-controlled (Godrej family); weak brand-story fit for F1 despite passing hard filters; est figures (currency conversion)</t>
        </is>
      </c>
      <c r="R11" s="11" t="inlineStr">
        <is>
          <t>verified-new</t>
        </is>
      </c>
      <c r="S11" s="11" t="inlineStr">
        <is>
          <t>2026-09-28</t>
        </is>
      </c>
    </row>
    <row r="12">
      <c r="A12" s="11" t="n">
        <v>9</v>
      </c>
      <c r="B12" s="11" t="n">
        <v>46</v>
      </c>
      <c r="C12" s="11" t="inlineStr">
        <is>
          <t>Coromandel International</t>
        </is>
      </c>
      <c r="D12" s="11" t="inlineStr">
        <is>
          <t>coromandel.biz</t>
        </is>
      </c>
      <c r="E12" s="11" t="inlineStr">
        <is>
          <t>Hyderabad, India</t>
        </is>
      </c>
      <c r="F12" s="11" t="inlineStr">
        <is>
          <t>Public (NSE/BSE); Murugappa Group majority shareholder</t>
        </is>
      </c>
      <c r="G12" s="11" t="inlineStr">
        <is>
          <t>Fertilizers, crop protection chemicals and specialty nutrients</t>
        </is>
      </c>
      <c r="H12" s="11" t="inlineStr">
        <is>
          <t>10k+ (18,095 employees)</t>
        </is>
      </c>
      <c r="I12" s="11" t="inlineStr">
        <is>
          <t>INR 240.85B FY2025 (~$2.9B USD); LTM to Sept 2025 INR 286.2B (~$3.4B USD), +32.9% YoY (source: stockanalysis.com)</t>
        </is>
      </c>
      <c r="J12" s="11" t="inlineStr">
        <is>
          <t>Market cap ~INR 579.38B (~$6.9-7B USD) (source: companiesmarketcap.com/stockanalysis.com, 2025) — far exceeds the $1B bar</t>
        </is>
      </c>
      <c r="K12" s="11" t="inlineStr">
        <is>
          <t>N/A (public company)</t>
        </is>
      </c>
      <c r="L12" s="11" t="inlineStr">
        <is>
          <t>exceeds - mega-brand</t>
        </is>
      </c>
      <c r="M12" s="11" t="n">
        <v>1</v>
      </c>
      <c r="N12" s="11" t="inlineStr">
        <is>
          <t>Stretch</t>
        </is>
      </c>
      <c r="O12" s="11" t="inlineStr">
        <is>
          <t>All hard bars pass decisively (revenue $2.9-3.4B, market cap ~$7B, headcount 18k+, no F1 conflicts), but fit score is weak (1/4) due to domestic concentration — a real reservation that caps this at Stretch.</t>
        </is>
      </c>
      <c r="P12" s="11" t="inlineStr">
        <is>
          <t>Major Indian ag-inputs conglomerate (Murugappa Group) — could tie to F1's growing India market interest, but domestic revenue concentration is a real limiter on the sponsorship case.</t>
        </is>
      </c>
      <c r="Q12" s="11" t="inlineStr">
        <is>
          <t>largely India-domestic revenue base, limited multi-market audience overlap</t>
        </is>
      </c>
      <c r="R12" s="11" t="inlineStr">
        <is>
          <t>verified-new</t>
        </is>
      </c>
      <c r="S12" s="11" t="inlineStr">
        <is>
          <t>2026-09-28</t>
        </is>
      </c>
    </row>
  </sheetData>
  <autoFilter ref="A3:S12"/>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S11"/>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Mining Services &amp; Equipment — brand-new sector — 8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"32 Mining Services &amp; Equipment".</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0" t="n">
        <v>1</v>
      </c>
      <c r="B4" s="10" t="n">
        <v>92</v>
      </c>
      <c r="C4" s="10" t="inlineStr">
        <is>
          <t>Byrnecut Group</t>
        </is>
      </c>
      <c r="D4" s="10" t="inlineStr">
        <is>
          <t>byrnecut.com.au</t>
        </is>
      </c>
      <c r="E4" s="10" t="inlineStr">
        <is>
          <t>Perth, Australia</t>
        </is>
      </c>
      <c r="F4" s="10" t="inlineStr">
        <is>
          <t>Private; founder/management-owned (Executive Chairman Steven Coughlan)</t>
        </is>
      </c>
      <c r="G4" s="10" t="inlineStr">
        <is>
          <t>Underground mechanised mining contracting services, operating across Australia, Africa, the Middle East, the UK, Canada, the USA and South America</t>
        </is>
      </c>
      <c r="H4" s="10" t="inlineStr">
        <is>
          <t>5k-10k</t>
        </is>
      </c>
      <c r="I4" s="10" t="inlineStr">
        <is>
          <t>Group revenue A$2.8B (~$1.85B est) in FY2024 (record, +A$200M YoY); 6,230 full-time personnel globally as of 2025, per Byrnecut's own 2024 Year in Review (published March 2025)</t>
        </is>
      </c>
      <c r="J4" s="10" t="inlineStr">
        <is>
          <t>No independently listed valuation; reported/estimated at ~$3.1B (2024, third-party reporting per input); private company</t>
        </is>
      </c>
      <c r="K4" s="10" t="inlineStr">
        <is>
          <t>N/A - private, founder/management-owned; no external funding round found</t>
        </is>
      </c>
      <c r="L4" s="10" t="inlineStr">
        <is>
          <t>exceeds - mega-brand</t>
        </is>
      </c>
      <c r="M4" s="10" t="n">
        <v>4</v>
      </c>
      <c r="N4" s="10" t="inlineStr">
        <is>
          <t>Yes</t>
        </is>
      </c>
      <c r="O4" s="10" t="inlineStr">
        <is>
          <t>All hard filters pass on strong, recent evidence: record revenue A$2.8B (~$1.85B) FY2024, well above $100M; reported valuation ~$3.1B, over $1B; headcount 6,230 (2025), well above 51; revenue growing YoY (capacity to spend clearly there); operations across 7 regions imply a broad, diversified mining-client base (not dependent on ~20 customers); no F1 team/driver/GP tie found; founder/management ownership with no state/sanctions/gambling/alcohol issue. Fit score 4/4 with a credible global, technology-led narrative.</t>
        </is>
      </c>
      <c r="P4" s="10" t="inlineStr">
        <is>
          <t>World's largest underground mining contractor - a mechanised, precision-engineering-led global operations story for F1's still-open mining/heavy-industry sponsorship category.</t>
        </is>
      </c>
      <c r="Q4" s="10" t="inlineStr">
        <is>
          <t>reported valuation (~$3.1B) is a third-party estimate, not an audited/independent figure; contract-mining client concentration is a sector-wide risk, though Byrnecut's 7-region footprint suggests a broader client base than a single-region peer</t>
        </is>
      </c>
      <c r="R4" s="10" t="inlineStr">
        <is>
          <t>verified-new</t>
        </is>
      </c>
      <c r="S4" s="10" t="inlineStr">
        <is>
          <t>2026-09-28</t>
        </is>
      </c>
    </row>
    <row r="5">
      <c r="A5" s="10" t="n">
        <v>2</v>
      </c>
      <c r="B5" s="10" t="n">
        <v>92</v>
      </c>
      <c r="C5" s="10" t="inlineStr">
        <is>
          <t>Enaex SA</t>
        </is>
      </c>
      <c r="D5" s="10" t="inlineStr">
        <is>
          <t>enaex.com</t>
        </is>
      </c>
      <c r="E5" s="10" t="inlineStr">
        <is>
          <t>Santiago, Chile</t>
        </is>
      </c>
      <c r="F5" s="10" t="inlineStr">
        <is>
          <t>Public (Bolsa de Santiago: ENAEX); majority-owned by Sigdo Koppers SA (family-controlled parent), no state ownership</t>
        </is>
      </c>
      <c r="G5" s="10" t="inlineStr">
        <is>
          <t>Industrial explosives, ammonium nitrate production, and blasting/rock-fragmentation services for mining</t>
        </is>
      </c>
      <c r="H5" s="10" t="inlineStr">
        <is>
          <t>1k-5k</t>
        </is>
      </c>
      <c r="I5" s="10" t="inlineStr">
        <is>
          <t>US$2.16B FY2025 (company financial statements, searched Sep 27 2026); H1 2025 revenue $1.0095B, up double digits YoY — clears &gt;$100M hard bar comfortably</t>
        </is>
      </c>
      <c r="J5" s="10" t="inlineStr">
        <is>
          <t>Standalone market cap ~$3.41B USD as of May 19, 2026 (stockanalysis.com); ~CLP 2.98 trillion as of April 2026 — clears &gt;$1B hard bar comfortably. Note: input's claim of 'no standalone market cap' is incorrect — Enaex trades separately as ENAEX.SN on the Santiago exchange despite majority Sigdo Koppers ownership</t>
        </is>
      </c>
      <c r="K5" s="10" t="inlineStr">
        <is>
          <t>n/a (established public company)</t>
        </is>
      </c>
      <c r="L5" s="10" t="inlineStr">
        <is>
          <t>meets parameters</t>
        </is>
      </c>
      <c r="M5" s="10" t="n">
        <v>4</v>
      </c>
      <c r="N5" s="10" t="inlineStr">
        <is>
          <t>Yes</t>
        </is>
      </c>
      <c r="O5" s="10" t="inlineStr">
        <is>
          <t>All hard filters pass comfortably: revenue $2.16B FY2025, standalone market cap $3.41B (May 2026), no F1 conflicts found, no state ownership, fit_score 4.</t>
        </is>
      </c>
      <c r="P5" s="10" t="inlineStr">
        <is>
          <t>Global blasting-technology leader across 6+ countries — a 'precision rock fragmentation' performance-engineering story, opening the mining-chemicals/explosives category on the grid.</t>
        </is>
      </c>
      <c r="Q5" s="10" t="inlineStr">
        <is>
          <t>subsidiary (majority-owned) of Sigdo Koppers SA, which also appears as a separate candidate in this list</t>
        </is>
      </c>
      <c r="R5" s="10" t="inlineStr">
        <is>
          <t>verified-new</t>
        </is>
      </c>
      <c r="S5" s="10" t="inlineStr">
        <is>
          <t>2026-09-28</t>
        </is>
      </c>
    </row>
    <row r="6">
      <c r="A6" s="10" t="n">
        <v>3</v>
      </c>
      <c r="B6" s="10" t="n">
        <v>84</v>
      </c>
      <c r="C6" s="10" t="inlineStr">
        <is>
          <t>Sigdo Koppers SA</t>
        </is>
      </c>
      <c r="D6" s="10" t="inlineStr">
        <is>
          <t>sigdokoppers.cl</t>
        </is>
      </c>
      <c r="E6" s="10" t="inlineStr">
        <is>
          <t>Santiago, Chile</t>
        </is>
      </c>
      <c r="F6" s="10" t="inlineStr">
        <is>
          <t>Public (Bolsa de Santiago); founding Napoli/Fluxa families control, no state ownership</t>
        </is>
      </c>
      <c r="G6" s="10" t="inlineStr">
        <is>
          <t>Industrial conglomerate: explosives (via Enaex), mining services/equipment distribution, automotive &amp; machinery distribution</t>
        </is>
      </c>
      <c r="H6" s="10" t="inlineStr">
        <is>
          <t>10k+</t>
        </is>
      </c>
      <c r="I6" s="10" t="inlineStr">
        <is>
          <t>US$4.119B FY2025, net income $111M (+8% YoY), EBITDA $551M (Reporte Minero / MarketScreener, reported ~April 2026, searched Sep 27 2026) — clears &gt;$100M hard bar comfortably</t>
        </is>
      </c>
      <c r="J6" s="10" t="inlineStr">
        <is>
          <t>Market cap ~$1.89B USD (as of ~July 2026, stockanalysis/press); an earlier read showed ~$1.43B as of Aug 2025 — clears &gt;$1B hard bar with margin</t>
        </is>
      </c>
      <c r="K6" s="10" t="inlineStr">
        <is>
          <t>n/a (established public company)</t>
        </is>
      </c>
      <c r="L6" s="10" t="inlineStr">
        <is>
          <t>meets parameters</t>
        </is>
      </c>
      <c r="M6" s="10" t="n">
        <v>3</v>
      </c>
      <c r="N6" s="10" t="inlineStr">
        <is>
          <t>Yes</t>
        </is>
      </c>
      <c r="O6" s="10" t="inlineStr">
        <is>
          <t>All hard filters pass with comfortable margin: revenue $4.119B FY2025, market cap ~$1.89B (mid-2026), no F1 conflicts found, no state/sanctioned ownership, clearly profitable, fit_score 3.</t>
        </is>
      </c>
      <c r="P6" s="10" t="inlineStr">
        <is>
          <t>Latin America growth story: pair Enaex's precision-blasting technology with Sigdo Koppers' industrial/automotive distribution network to open an unclaimed 'industrial technology' category with LatAm market-access framing.</t>
        </is>
      </c>
      <c r="Q6" s="10" t="inlineStr">
        <is>
          <t>family-controlled (Napoli/Fluxa families) but publicly traded — not a PE-4yr+ situation; owns Enaex SA, which also appears separately in this candidate set — coordinate outreach to avoid double-booking the same ownership group</t>
        </is>
      </c>
      <c r="R6" s="10" t="inlineStr">
        <is>
          <t>verified-new</t>
        </is>
      </c>
      <c r="S6" s="10" t="inlineStr">
        <is>
          <t>2026-09-28</t>
        </is>
      </c>
    </row>
    <row r="7">
      <c r="A7" s="10" t="n">
        <v>4</v>
      </c>
      <c r="B7" s="10" t="n">
        <v>84</v>
      </c>
      <c r="C7" s="10" t="inlineStr">
        <is>
          <t>Seven Group Holdings</t>
        </is>
      </c>
      <c r="D7" s="10" t="inlineStr">
        <is>
          <t>sevengroup.com.au</t>
        </is>
      </c>
      <c r="E7" s="10" t="inlineStr">
        <is>
          <t>Sydney, Australia</t>
        </is>
      </c>
      <c r="F7" s="10" t="inlineStr">
        <is>
          <t>Public (ASX: SGH, formerly SVW, renamed Nov 2024); Kerry Stokes family ~65-70% control, no state ownership</t>
        </is>
      </c>
      <c r="G7" s="10" t="inlineStr">
        <is>
          <t>Diversified industrial group: WesTrac (Caterpillar mining/construction equipment dealer for WA/NSW/China), Coates equipment hire, Boral construction materials, Seven West Media, Beach Energy stake</t>
        </is>
      </c>
      <c r="H7" s="10" t="inlineStr">
        <is>
          <t>5k-10k</t>
        </is>
      </c>
      <c r="I7" s="10" t="inlineStr">
        <is>
          <t>A$10.5B FY2026 (~$6.8B USD est), flat vs FY2025; H1 2026 revenue A$5.4B, net profit A$518M (+2%), operating cash flow +32% to A$1.1B (company results, searched Sep 27 2026) — clears &gt;$100M hard bar by a wide margin</t>
        </is>
      </c>
      <c r="J7" s="10" t="inlineStr">
        <is>
          <t>Market cap ~$11.6-12.2B USD as of mid-2026 (stockanalysis/press, searched Sep 27 2026) — clears &gt;$1B hard bar by a wide margin</t>
        </is>
      </c>
      <c r="K7" s="10" t="inlineStr">
        <is>
          <t>n/a (established public company)</t>
        </is>
      </c>
      <c r="L7" s="10" t="inlineStr">
        <is>
          <t>exceeds - mega-brand</t>
        </is>
      </c>
      <c r="M7" s="10" t="n">
        <v>3</v>
      </c>
      <c r="N7" s="10" t="inlineStr">
        <is>
          <t>Yes</t>
        </is>
      </c>
      <c r="O7" s="10" t="inlineStr">
        <is>
          <t>All hard filters pass with a wide margin: revenue ~$6.8B (FY2026 est), market cap ~$11.6-12.2B (mid-2026), no F1 conflicts found, no state ownership, clearly profitable and growing, fit_score 3. Sized well above thresholds, so tiered as mega-brand rather than penalized.</t>
        </is>
      </c>
      <c r="P7" s="10" t="inlineStr">
        <is>
          <t>Leverage WesTrac's Caterpillar heavy-equipment technology and the Kerry Stokes family ambition narrative to open a diversified-industrial/heavy-equipment category, paired with Seven West Media's broadcast reach for local activation in Australia.</t>
        </is>
      </c>
      <c r="Q7" s="10" t="inlineStr">
        <is>
          <t>family-controlled (Kerry Stokes ~65-70%) but publicly traded, no PE flag; headcount estimate (~7,000, est) is unverified against the full conglomerate scale — likely higher once Boral/Seven West Media/Coates staff are included</t>
        </is>
      </c>
      <c r="R7" s="10" t="inlineStr">
        <is>
          <t>verified-new</t>
        </is>
      </c>
      <c r="S7" s="10" t="inlineStr">
        <is>
          <t>2026-09-28</t>
        </is>
      </c>
    </row>
    <row r="8">
      <c r="A8" s="11" t="n">
        <v>5</v>
      </c>
      <c r="B8" s="11" t="n">
        <v>64</v>
      </c>
      <c r="C8" s="11" t="inlineStr">
        <is>
          <t>Thiess Pty Ltd</t>
        </is>
      </c>
      <c r="D8" s="11" t="inlineStr">
        <is>
          <t>thiess.com</t>
        </is>
      </c>
      <c r="E8" s="11" t="inlineStr">
        <is>
          <t>Brisbane, Australia</t>
        </is>
      </c>
      <c r="F8" s="11" t="inlineStr">
        <is>
          <t>Private; wholly owned by CIMIC Group (part of HOCHTIEF/ACS Group, Spain) as of 2026, following CIMIC's full reacquisition of the remaining stake from Elliott Advisors for A$1.18B - corrected from input's 'Elliott Group Australian family investment vehicle majority' description. Elliott Advisors (a US hedge fund, not an Australian family vehicle) was a minority co-owner (up to 50%, later 40%) from 2020-2026 and has now fully exited.</t>
        </is>
      </c>
      <c r="G8" s="11" t="inlineStr">
        <is>
          <t>Contract mining services - open-cut and underground mine operation for major miners across Australia, Asia and the Americas</t>
        </is>
      </c>
      <c r="H8" s="11" t="inlineStr">
        <is>
          <t>10k+</t>
        </is>
      </c>
      <c r="I8" s="11" t="inlineStr">
        <is>
          <t>Revenue A$5.9B (~$3.9B est) in FY2023, per company reporting; FY2025 EBITDA reported at A$1.28B</t>
        </is>
      </c>
      <c r="J8" s="11" t="inlineStr">
        <is>
          <t>No independent listed valuation, but recent transactions imply enterprise value in the low-to-mid single-digit billions USD: 2020 sale of 50% to Elliott implied ~A$4.3B enterprise value; 2024 10% buyback priced at A$320M; 2026 full reacquisition of remaining stake for A$1.18B (CIMIC press releases/Business News Australia, 2024-2026)</t>
        </is>
      </c>
      <c r="K8" s="11" t="inlineStr">
        <is>
          <t>2026: CIMIC completed full reacquisition of Thiess from Elliott Advisors for A$1.18B, ending the 2020-2026 co-ownership arrangement</t>
        </is>
      </c>
      <c r="L8" s="11" t="inlineStr">
        <is>
          <t>exceeds - mega-brand</t>
        </is>
      </c>
      <c r="M8" s="11" t="n">
        <v>4</v>
      </c>
      <c r="N8" s="11" t="inlineStr">
        <is>
          <t>Stretch</t>
        </is>
      </c>
      <c r="O8" s="11" t="inlineStr">
        <is>
          <t>Hard filters pass on strong evidence (revenue ~$3.9B; enterprise value implied at several billion USD via 2020/2024/2026 transactions, comfortably over $1B; headcount ~14,000; parent CIMIC/ACS is profitable and just deployed A$1.18B to fully reacquire the business, i.e., not in distress; no F1 team/driver/GP tie found; ownership is a Spanish/German public-company subsidiary, no state/sanctions/gambling/alcohol issue) and fit score is a strong 4/4, but capped at Stretch due to a genuine, unresolved reservation about customer concentration typical of contract mining (a handful of major mining-company clients) and the fact that valuation rests on deal prices rather than an independent market valuation.</t>
        </is>
      </c>
      <c r="P8" s="11" t="inlineStr">
        <is>
          <t>World's largest mining contractor, operating on five continents - an engineering-precision/global-scale story for F1's still-open 'heavy industry/mining services' category.</t>
        </is>
      </c>
      <c r="Q8" s="11" t="inlineStr">
        <is>
          <t>contract-mining client base may be concentrated among a relatively small number of major mining houses (BHP, Rio Tinto, Glencore, etc.) despite 60+ projects - genuine audience-concentration risk not fully resolved by search; wholly-owned subsidiary with no independently listed valuation (transaction-based evidence only); recently changed hands (full CIMIC reacquisition completed 2026)</t>
        </is>
      </c>
      <c r="R8" s="11" t="inlineStr">
        <is>
          <t>verified-new</t>
        </is>
      </c>
      <c r="S8" s="11" t="inlineStr">
        <is>
          <t>2026-09-28</t>
        </is>
      </c>
    </row>
    <row r="9">
      <c r="A9" s="11" t="n">
        <v>6</v>
      </c>
      <c r="B9" s="11" t="n">
        <v>58</v>
      </c>
      <c r="C9" s="11" t="inlineStr">
        <is>
          <t>Omnia Holdings Limited</t>
        </is>
      </c>
      <c r="D9" s="11" t="inlineStr">
        <is>
          <t>omnia.co.za</t>
        </is>
      </c>
      <c r="E9" s="11" t="inlineStr">
        <is>
          <t>Johannesburg, South Africa</t>
        </is>
      </c>
      <c r="F9" s="11" t="inlineStr">
        <is>
          <t>Public (JSE: OMN); dispersed shareholding, no state control</t>
        </is>
      </c>
      <c r="G9" s="11" t="inlineStr">
        <is>
          <t>Mining explosives/blasting solutions (BME division) plus agriculture and chemicals divisions</t>
        </is>
      </c>
      <c r="H9" s="11" t="inlineStr">
        <is>
          <t>1k-5k</t>
        </is>
      </c>
      <c r="I9" s="11" t="inlineStr">
        <is>
          <t>ZAR 23.11B TTM (~$1.25B est), FY2026 revenue ZAR 24.20B up 6.06% YoY (TradingView/stockanalysis.com, searched Sep 27 2026) — clears &gt;$100M hard bar comfortably</t>
        </is>
      </c>
      <c r="J9" s="11" t="inlineStr">
        <is>
          <t>Market cap ~$1.02B USD as of June 24, 2026 (stockanalysis.com); ZAR readings (R17.35B-R19.5B) convert to roughly $0.9-1.05B depending on date/FX — thin margin over the $1B hard bar</t>
        </is>
      </c>
      <c r="K9" s="11" t="inlineStr">
        <is>
          <t>n/a (established public company)</t>
        </is>
      </c>
      <c r="L9" s="11" t="inlineStr">
        <is>
          <t>meets parameters</t>
        </is>
      </c>
      <c r="M9" s="11" t="n">
        <v>3</v>
      </c>
      <c r="N9" s="11" t="inlineStr">
        <is>
          <t>Stretch</t>
        </is>
      </c>
      <c r="O9" s="11" t="inlineStr">
        <is>
          <t>Hard bars technically pass (revenue ~$1.25B; valuation ~$1.02B as of June 2026) but the valuation clears the $1B bar only narrowly and shifts with FX/date — a real reservation on that bar.</t>
        </is>
      </c>
      <c r="P9" s="11" t="inlineStr">
        <is>
          <t>(est) Open the mining-chemicals/blasting-technology category with a precision-detonation performance-engineering story tied to global mining modernization.</t>
        </is>
      </c>
      <c r="Q9" s="11" t="inlineStr">
        <is>
          <t>valuation sits on a thin margin over $1B ($1.02B per most recent USD read, June 2026; other contemporaneous conversions land near $0.9-0.95B); diversified conglomerate spans mining + agriculture + chemicals, diluting a single brand story</t>
        </is>
      </c>
      <c r="R9" s="11" t="inlineStr">
        <is>
          <t>verified-new</t>
        </is>
      </c>
      <c r="S9" s="11" t="inlineStr">
        <is>
          <t>2026-09-28</t>
        </is>
      </c>
    </row>
    <row r="10">
      <c r="A10" s="11" t="n">
        <v>7</v>
      </c>
      <c r="B10" s="11" t="n">
        <v>58</v>
      </c>
      <c r="C10" s="11" t="inlineStr">
        <is>
          <t>Kal Tire</t>
        </is>
      </c>
      <c r="D10" s="11" t="inlineStr">
        <is>
          <t>kaltire.com</t>
        </is>
      </c>
      <c r="E10" s="11" t="inlineStr">
        <is>
          <t>Vernon, British Columbia, Canada</t>
        </is>
      </c>
      <c r="F10" s="11" t="inlineStr">
        <is>
          <t>Private, family-owned (Foord family, founded by Tom Foord in 1953) — input's claim of 'Tozer family' ownership was not corroborated by search and appears incorrect; no state or PE ownership found</t>
        </is>
      </c>
      <c r="G10" s="11" t="inlineStr">
        <is>
          <t>Mining tire (OTR) sales, mounting, retreading and management services — plus a retail/commercial tire arm</t>
        </is>
      </c>
      <c r="H10" s="11" t="inlineStr">
        <is>
          <t>1k-5k</t>
        </is>
      </c>
      <c r="I10" s="11" t="inlineStr">
        <is>
          <t>~$1.4B (2026 est, growjo/company-profile aggregators — lower-confidence sources, but broadly consistent with the input's C$1.5B/$1.1B estimate), searched Sep 27 2026 — clears &gt;$100M hard bar (est)</t>
        </is>
      </c>
      <c r="J10" s="11" t="inlineStr">
        <is>
          <t>Private, family-owned; no published valuation found in search — passes on revenue alone per the Track B private/family-owned rule, which caps the verdict at Stretch</t>
        </is>
      </c>
      <c r="K10" s="11" t="inlineStr">
        <is>
          <t>n/a (privately held, no raise found)</t>
        </is>
      </c>
      <c r="L10" s="11" t="inlineStr">
        <is>
          <t>meets parameters</t>
        </is>
      </c>
      <c r="M10" s="11" t="n">
        <v>3</v>
      </c>
      <c r="N10" s="11" t="inlineStr">
        <is>
          <t>Stretch</t>
        </is>
      </c>
      <c r="O10" s="11" t="inlineStr">
        <is>
          <t>Revenue (~$1.4B est) clears the hard bar, and as a family-owned private company with no published valuation it passes on revenue alone per the Track B rule — but that rule caps such companies at Stretch. There is also a real reservation around partial 'tire' category overlap with Pirelli.</t>
        </is>
      </c>
      <c r="P10" s="11" t="inlineStr">
        <is>
          <t>Position the OTR mining-tire and retail-tire business as an adjacent-but-distinct 'tire performance &amp; durability' story, clearly differentiated from Pirelli's racing-tire exclusivity.</t>
        </is>
      </c>
      <c r="Q10" s="11" t="inlineStr">
        <is>
          <t>family-owned, no published valuation; input misidentified the owning family (Tozer vs. the actual Foord family) — verify ownership details before outreach; potential partial category overlap with Pirelli's exclusive F1 tire-supplier position, though Kal Tire's segment (OTR mining tires) differs from racing tires</t>
        </is>
      </c>
      <c r="R10" s="11" t="inlineStr">
        <is>
          <t>verified-new</t>
        </is>
      </c>
      <c r="S10" s="11" t="inlineStr">
        <is>
          <t>2026-09-28</t>
        </is>
      </c>
    </row>
    <row r="11">
      <c r="A11" s="11" t="n">
        <v>8</v>
      </c>
      <c r="B11" s="11" t="n">
        <v>52</v>
      </c>
      <c r="C11" s="11" t="inlineStr">
        <is>
          <t>Macmahon Holdings</t>
        </is>
      </c>
      <c r="D11" s="11" t="inlineStr">
        <is>
          <t>macmahon.com.au</t>
        </is>
      </c>
      <c r="E11" s="11" t="inlineStr">
        <is>
          <t>Perth, Australia</t>
        </is>
      </c>
      <c r="F11" s="11" t="inlineStr">
        <is>
          <t>Public (ASX: MAH); largest shareholder is PT Amman Mineral Internasional Tbk (~40-45%, an Indonesian copper-gold mining conglomerate) - corrected from input's claim of a ~27% China Communications Construction Company (CCCC) stake, which could not be substantiated in current shareholder data</t>
        </is>
      </c>
      <c r="G11" s="11" t="inlineStr">
        <is>
          <t>Surface and underground contract mining services, equipment maintenance, primarily Australia and Southeast Asia</t>
        </is>
      </c>
      <c r="H11" s="11" t="inlineStr">
        <is>
          <t>5k-10k</t>
        </is>
      </c>
      <c r="I11" s="11" t="inlineStr">
        <is>
          <t>Revenue A$2.62B (~$1.73B est) FY2025-26, +7.9% YoY, per company results (reported Sep 2026)</t>
        </is>
      </c>
      <c r="J11" s="11" t="inlineStr">
        <is>
          <t>Market cap ~A$2.15B (~$1.42B est) as of Sep 2026, per Market Index/company share data</t>
        </is>
      </c>
      <c r="K11" s="11" t="inlineStr">
        <is>
          <t>N/A - public company; no recent funding round found (largest shareholder Amman Mineral acquired its stake via market/CIMIC divestment, not a capital raise into Macmahon)</t>
        </is>
      </c>
      <c r="L11" s="11" t="inlineStr">
        <is>
          <t>meets parameters</t>
        </is>
      </c>
      <c r="M11" s="11" t="n">
        <v>2</v>
      </c>
      <c r="N11" s="11" t="inlineStr">
        <is>
          <t>Stretch</t>
        </is>
      </c>
      <c r="O11" s="11" t="inlineStr">
        <is>
          <t>Hard filters pass on current data (revenue ~$1.73B, well above $100M; market cap ~$1.42B, over $1B; headcount likely 5k-10k; EBITDA +10% YoY, clearly improving/profitable; no F1 team/driver/GP tie found; ownership corrected to a private Indonesian mining company with no state/sanctions/gambling/alcohol issue), but fit score is only 2/4 with weak angles (regional rather than global footprint, weaker brand story), and there is an unresolved reservation about the major shareholder also being a likely key customer.</t>
        </is>
      </c>
      <c r="P11" s="11" t="inlineStr">
        <is>
          <t>Australia/Southeast Asia contract-mining specialist positioning around operational precision - a smaller, regionally-focused entry into the still-open mining-services category (est).</t>
        </is>
      </c>
      <c r="Q11" s="11" t="inlineStr">
        <is>
          <t>largest shareholder (Amman Mineral, ~40-45%) is also understood to be a significant mining client - potential customer/shareholder concentration and related-party dependency not fully resolved by search; input's ownership claim (CCCC, China state-linked) was not substantiated and appears incorrect - real major shareholder is a private Indonesian mining company</t>
        </is>
      </c>
      <c r="R11" s="11" t="inlineStr">
        <is>
          <t>verified-new</t>
        </is>
      </c>
      <c r="S11" s="11" t="inlineStr">
        <is>
          <t>2026-09-28</t>
        </is>
      </c>
    </row>
  </sheetData>
  <autoFilter ref="A3:S1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S6"/>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Marine, Yachting &amp; Superyacht — brand-new sector — 3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"33 Marine, Yachting &amp; Superyach".</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1" t="n">
        <v>1</v>
      </c>
      <c r="B4" s="11" t="n">
        <v>64</v>
      </c>
      <c r="C4" s="11" t="inlineStr">
        <is>
          <t>Abeking &amp; Rasmussen</t>
        </is>
      </c>
      <c r="D4" s="11" t="inlineStr">
        <is>
          <t>abeking.com</t>
        </is>
      </c>
      <c r="E4" s="11" t="inlineStr">
        <is>
          <t>Lemwerder, Germany</t>
        </is>
      </c>
      <c r="F4" s="11" t="inlineStr">
        <is>
          <t>Family-owned; CEO Hans Schaedla is the great-grandson of co-founder Henry Rasmussen (confirmed, source: company profile/LinkedIn coverage)</t>
        </is>
      </c>
      <c r="G4" s="11" t="inlineStr">
        <is>
          <t>Superyacht and specialist naval/patrol vessel construction</t>
        </is>
      </c>
      <c r="H4" s="11" t="inlineStr">
        <is>
          <t>201-1k</t>
        </is>
      </c>
      <c r="I4" s="11" t="inlineStr">
        <is>
          <t>No single confirmed figure — reporting places recent revenue in a broad ~EUR250-420M range (Lower Saxony Mittelstand-ranking coverage, 2023-2024); historical range cited as EUR150-250M (est, unconfirmed exact FY figure)</t>
        </is>
      </c>
      <c r="J4" s="11" t="inlineStr">
        <is>
          <t>No published valuation — privately, family-held (source: multiple industry profiles, 2024-2026)</t>
        </is>
      </c>
      <c r="K4" s="11" t="inlineStr">
        <is>
          <t>N/A — no external funding round; family-owned</t>
        </is>
      </c>
      <c r="L4" s="11" t="inlineStr">
        <is>
          <t>meets parameters</t>
        </is>
      </c>
      <c r="M4" s="11" t="n">
        <v>4</v>
      </c>
      <c r="N4" s="11" t="inlineStr">
        <is>
          <t>Stretch</t>
        </is>
      </c>
      <c r="O4" s="11" t="inlineStr">
        <is>
          <t>No F1 conflict; family-owned with no published valuation passes on revenue alone per protocol, but the revenue figure itself is only loosely confirmed (a broad EUR250-420M range rather than one dated source) — capped at Stretch for the uncertain figure and unconfirmed valuation.</t>
        </is>
      </c>
      <c r="P4" s="11" t="inlineStr">
        <is>
          <t>Precision German naval/superyacht engineering heritage — 'built to exacting tolerances' angle, echoing F1 engineering culture (est).</t>
        </is>
      </c>
      <c r="Q4" s="11" t="inlineStr">
        <is>
          <t>family-owned, no published valuation; revenue figure only loosely confirmed via search (range, not a single dated source)</t>
        </is>
      </c>
      <c r="R4" s="11" t="inlineStr">
        <is>
          <t>verified-new</t>
        </is>
      </c>
      <c r="S4" s="11" t="inlineStr">
        <is>
          <t>2026-09-28</t>
        </is>
      </c>
    </row>
    <row r="5">
      <c r="A5" s="11" t="n">
        <v>2</v>
      </c>
      <c r="B5" s="11" t="n">
        <v>64</v>
      </c>
      <c r="C5" s="11" t="inlineStr">
        <is>
          <t>Yangzijiang Shipbuilding Holdings</t>
        </is>
      </c>
      <c r="D5" s="11" t="inlineStr">
        <is>
          <t>yzjship.com</t>
        </is>
      </c>
      <c r="E5" s="11" t="inlineStr">
        <is>
          <t>Singapore / Jiangsu, China</t>
        </is>
      </c>
      <c r="F5" s="11" t="inlineStr">
        <is>
          <t>Public (SGX-listed); founder Ren Yuanlin is controlling shareholder via a 1999 management buyout of a former state yard — no current state ownership (source: Splash247/company profiles)</t>
        </is>
      </c>
      <c r="G5" s="11" t="inlineStr">
        <is>
          <t>Commercial shipbuilding (container ships, LNG carriers, clean-energy vessels) and ship repair</t>
        </is>
      </c>
      <c r="H5" s="11" t="inlineStr">
        <is>
          <t>5k-10k</t>
        </is>
      </c>
      <c r="I5" s="11" t="inlineStr">
        <is>
          <t>$3.96B trailing-12-month revenue as of Dec-2025 (source: market data referencing SGX filings); 1H2025 net profit up 37% to a record (source: SGX corporate announcement, 2025) — passes &gt;$100M bar by a wide margin</t>
        </is>
      </c>
      <c r="J5" s="11" t="inlineStr">
        <is>
          <t>Market cap ~$12.2B as of Apr-2026 (source: market data aggregators) — passes &gt;$1B bar comfortably</t>
        </is>
      </c>
      <c r="K5" s="11" t="inlineStr">
        <is>
          <t>N/A — publicly listed; outstanding orderbook of ~$22.8B as of Nov-2025 provides revenue visibility through 2029</t>
        </is>
      </c>
      <c r="L5" s="11" t="inlineStr">
        <is>
          <t>exceeds - mega-brand</t>
        </is>
      </c>
      <c r="M5" s="11" t="n">
        <v>4</v>
      </c>
      <c r="N5" s="11" t="inlineStr">
        <is>
          <t>Stretch</t>
        </is>
      </c>
      <c r="O5" s="11" t="inlineStr">
        <is>
          <t>All hard filters pass cleanly (revenue $3.96B, valuation $12.2B market cap, no F1 tie, founder-controlled non-state ownership, headcount and spend capacity all clear), but real reservations remain — China-domiciled ownership for a global sport platform, a concentrated shipping-line customer base, and a dated (2019) corruption-adjacent investigation touching the founder (not the subject, cleared) — enough to cap at Stretch rather than a clean Yes.</t>
        </is>
      </c>
      <c r="P5" s="11" t="inlineStr">
        <is>
          <t>Clean-energy vessel / green-shipping technology narrative (71% of the orderbook is clean-energy vessels) aligned with F1's own sustainability push (est).</t>
        </is>
      </c>
      <c r="Q5" s="11" t="inlineStr">
        <is>
          <t>China-domiciled — geopolitical/optics consideration for a global sponsorship platform; founder-chairman was linked to a 2019 Chinese government corruption-adjacent investigation as a witness, not the subject, and was cleared (dated, historical); customer base is still relatively concentrated among large global shipping-line operators, typical of shipbuilding</t>
        </is>
      </c>
      <c r="R5" s="11" t="inlineStr">
        <is>
          <t>verified-new</t>
        </is>
      </c>
      <c r="S5" s="11" t="inlineStr">
        <is>
          <t>2026-09-28</t>
        </is>
      </c>
    </row>
    <row r="6">
      <c r="A6" s="11" t="n">
        <v>3</v>
      </c>
      <c r="B6" s="11" t="n">
        <v>64</v>
      </c>
      <c r="C6" s="11" t="inlineStr">
        <is>
          <t>Palumbo Group</t>
        </is>
      </c>
      <c r="D6" s="11" t="inlineStr">
        <is>
          <t>palumbo.it</t>
        </is>
      </c>
      <c r="E6" s="11" t="inlineStr">
        <is>
          <t>Naples, Italy</t>
        </is>
      </c>
      <c r="F6" s="11" t="inlineStr">
        <is>
          <t>Family-controlled (Palumbo family); no evidence found of an actual Euronext Growth Milan listing as the input claimed — search turned up no ticker or IPO record, so it is treated as privately held (checked Sep-2026)</t>
        </is>
      </c>
      <c r="G6" s="11" t="inlineStr">
        <is>
          <t>Superyacht refit, repair and new-build shipyards across Italy, Malta, Croatia and France (8 shipyards)</t>
        </is>
      </c>
      <c r="H6" s="11" t="inlineStr">
        <is>
          <t>201-1k</t>
        </is>
      </c>
      <c r="I6" s="11" t="inlineStr">
        <is>
          <t>Not independently confirmed via search — the only filed figure found (the Naples holding entity 'Palumbo Group S.p.A.', tax ID 07645511218, FY2024) was only EUR1.16M and is clearly not representative of the operating group; group scale (8 shipyards, 900+ employees, 500+ vessels repaired/year, per palumbogroup.it) is consistent with the input's est EUR400M/$430M, but that figure is unconfirmed</t>
        </is>
      </c>
      <c r="J6" s="11" t="inlineStr">
        <is>
          <t>No published valuation found; input's claim of a public minority float on Euronext Growth Milan could not be corroborated by search (Sep-2026) — treated as private, family-controlled with no disclosed valuation</t>
        </is>
      </c>
      <c r="K6" s="11" t="inlineStr">
        <is>
          <t>N/A</t>
        </is>
      </c>
      <c r="L6" s="11" t="inlineStr">
        <is>
          <t>meets parameters</t>
        </is>
      </c>
      <c r="M6" s="11" t="n">
        <v>4</v>
      </c>
      <c r="N6" s="11" t="inlineStr">
        <is>
          <t>Stretch</t>
        </is>
      </c>
      <c r="O6" s="11" t="inlineStr">
        <is>
          <t>No F1 conflict, and family-controlled ownership with no published valuation would pass on revenue alone per protocol, but the revenue figure itself could not be independently confirmed (only a small, non-representative subsidiary filing was found) and the input's claimed public listing was not corroborated — capped at Stretch for these unresolved figures.</t>
        </is>
      </c>
      <c r="P6" s="11" t="inlineStr">
        <is>
          <t>Largest Mediterranean refit network positioned around Monaco GP / European-season marina activations (est).</t>
        </is>
      </c>
      <c r="Q6" s="11" t="inlineStr">
        <is>
          <t>no published valuation; input's claim of a Euronext Growth Milan listing not corroborated by search; group-wide revenue unconfirmed — est only, no dated consolidated source found</t>
        </is>
      </c>
      <c r="R6" s="11" t="inlineStr">
        <is>
          <t>verified-new</t>
        </is>
      </c>
      <c r="S6" s="11" t="inlineStr">
        <is>
          <t>2026-09-28</t>
        </is>
      </c>
    </row>
  </sheetData>
  <autoFilter ref="A3:S6"/>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S7"/>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Private Aviation &amp; Business Jets — brand-new sector — 4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"34 Private Aviation &amp; Business ".</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1" t="n">
        <v>1</v>
      </c>
      <c r="B4" s="11" t="n">
        <v>64</v>
      </c>
      <c r="C4" s="11" t="inlineStr">
        <is>
          <t>Avia Solutions Group</t>
        </is>
      </c>
      <c r="D4" s="11" t="inlineStr">
        <is>
          <t>aviasg.com</t>
        </is>
      </c>
      <c r="E4" s="11" t="inlineStr">
        <is>
          <t>Vilnius, Lithuania</t>
        </is>
      </c>
      <c r="F4" s="11" t="inlineStr">
        <is>
          <t>Private; founder Gediminas Ziemelis is majority/controlling owner — company is NOT Nasdaq Vilnius-listed as the input claimed; it remains privately held (corrects input; source: Wikipedia/AviaSG press releases, 2024-2026)</t>
        </is>
      </c>
      <c r="G4" s="11" t="inlineStr">
        <is>
          <t>Aviation services holding company incl. business-jet charter (Jet Story, KlasJet), ACMI leasing, ground handling and MRO</t>
        </is>
      </c>
      <c r="H4" s="11" t="inlineStr">
        <is>
          <t>10k-plus (approx. 19,000)</t>
        </is>
      </c>
      <c r="I4" s="11" t="inlineStr">
        <is>
          <t>EUR 2,692.2M (~$2.9B), FY2024, +19% YoY (source: AviaSG annual report / press coverage, 2024-2025) — passes &gt;$100M/ARR bar by a wide margin</t>
        </is>
      </c>
      <c r="J4" s="11" t="inlineStr">
        <is>
          <t>No confirmed public valuation — company is private, not exchange-listed; issued $300M five-year senior unsecured bonds in 1H2024; has discussed a possible future Nasdaq listing, but no valuation has been set (source: Wikipedia/bizbrief.ie, 2024-2025)</t>
        </is>
      </c>
      <c r="K4" s="11" t="inlineStr">
        <is>
          <t>$300M five-year senior unsecured bond issuance, 1H2024, for fleet/GTM expansion</t>
        </is>
      </c>
      <c r="L4" s="11" t="inlineStr">
        <is>
          <t>exceeds - mega-brand</t>
        </is>
      </c>
      <c r="M4" s="11" t="n">
        <v>4</v>
      </c>
      <c r="N4" s="11" t="inlineStr">
        <is>
          <t>Stretch</t>
        </is>
      </c>
      <c r="O4" s="11" t="inlineStr">
        <is>
          <t>Revenue (EUR2.69B, 2024, +19% YoY) and all other hard filters pass clearly (no F1 tie, no state ownership, headcount, capacity via the $300M 2024 bond raise for expansion), but no &gt;$1B valuation is independently confirmed since the company is private and not exchange-listed (the input's Nasdaq Vilnius listing claim does not check out) — capped at Stretch for the unconfirmed valuation.</t>
        </is>
      </c>
      <c r="P4" s="11" t="inlineStr">
        <is>
          <t>Fast-growing global ACMI/business-jet holding group narrative tied to F1's own global-expansion story (new markets, new GPs) (est).</t>
        </is>
      </c>
      <c r="Q4" s="11" t="inlineStr">
        <is>
          <t>no published valuation — founder-controlled private company (not a multi-generational family business), passing on revenue strength (EUR2.69B) rather than the family-owned exception; input incorrectly stated it was Nasdaq Vilnius-listed — corrected to private</t>
        </is>
      </c>
      <c r="R4" s="11" t="inlineStr">
        <is>
          <t>verified-new</t>
        </is>
      </c>
      <c r="S4" s="11" t="inlineStr">
        <is>
          <t>2026-09-28</t>
        </is>
      </c>
    </row>
    <row r="5">
      <c r="A5" s="11" t="n">
        <v>2</v>
      </c>
      <c r="B5" s="11" t="n">
        <v>64</v>
      </c>
      <c r="C5" s="11" t="inlineStr">
        <is>
          <t>AMAC Aerospace</t>
        </is>
      </c>
      <c r="D5" s="11" t="inlineStr">
        <is>
          <t>amacaerospace.com</t>
        </is>
      </c>
      <c r="E5" s="11" t="inlineStr">
        <is>
          <t>Basel, Switzerland</t>
        </is>
      </c>
      <c r="F5" s="11" t="inlineStr">
        <is>
          <t>Private, founder-owned (Mohammed Al Bwardy)</t>
        </is>
      </c>
      <c r="G5" s="11" t="inlineStr">
        <is>
          <t>VIP/business-jet completions, refurbishment and maintenance — largest privately owned facility of its kind</t>
        </is>
      </c>
      <c r="H5" s="11" t="inlineStr">
        <is>
          <t>1k-5k</t>
        </is>
      </c>
      <c r="I5" s="11" t="inlineStr">
        <is>
          <t>$271.6M, AMAC Aerospace Switzerland AG entity (source: Revelio Labs/company financial data, 2024/2025) — passes &gt;$100M bar</t>
        </is>
      </c>
      <c r="J5" s="11" t="inlineStr">
        <is>
          <t>No published valuation — founder-owned, private (source: multiple company profiles, 2024-2026)</t>
        </is>
      </c>
      <c r="K5" s="11" t="inlineStr">
        <is>
          <t>N/A — no external funding round; founder-owned</t>
        </is>
      </c>
      <c r="L5" s="11" t="inlineStr">
        <is>
          <t>meets parameters</t>
        </is>
      </c>
      <c r="M5" s="11" t="n">
        <v>4</v>
      </c>
      <c r="N5" s="11" t="inlineStr">
        <is>
          <t>Stretch</t>
        </is>
      </c>
      <c r="O5" s="11" t="inlineStr">
        <is>
          <t>No F1 conflict; founder-owned with no published valuation passes on revenue alone per protocol (revenue $271.6M, confirmed headcount 1,339 group-wide in 2024) — capped at Stretch per the no-published-valuation rule.</t>
        </is>
      </c>
      <c r="P5" s="11" t="inlineStr">
        <is>
          <t>'Where billionaires' jets are built' precision-engineering story tied to F1 paddock/VIP hospitality clientele overlap (est).</t>
        </is>
      </c>
      <c r="Q5" s="11" t="inlineStr">
        <is>
          <t>founder-owned, no published valuation</t>
        </is>
      </c>
      <c r="R5" s="11" t="inlineStr">
        <is>
          <t>verified-new</t>
        </is>
      </c>
      <c r="S5" s="11" t="inlineStr">
        <is>
          <t>2026-09-28</t>
        </is>
      </c>
    </row>
    <row r="6">
      <c r="A6" s="11" t="n">
        <v>3</v>
      </c>
      <c r="B6" s="11" t="n">
        <v>58</v>
      </c>
      <c r="C6" s="11" t="inlineStr">
        <is>
          <t>PlaneSense Inc</t>
        </is>
      </c>
      <c r="D6" s="11" t="inlineStr">
        <is>
          <t>planesense.com</t>
        </is>
      </c>
      <c r="E6" s="11" t="inlineStr">
        <is>
          <t>Portsmouth, New Hampshire, USA</t>
        </is>
      </c>
      <c r="F6" s="11" t="inlineStr">
        <is>
          <t>Private; founder-owned</t>
        </is>
      </c>
      <c r="G6" s="11" t="inlineStr">
        <is>
          <t>Fractional aircraft ownership (Pilatus PC-12/PC-24 fleet) and jet-card programs, primarily US Northeast with some European operations</t>
        </is>
      </c>
      <c r="H6" s="11" t="inlineStr">
        <is>
          <t>201-1k</t>
        </is>
      </c>
      <c r="I6" s="11" t="inlineStr">
        <is>
          <t>~$195.9M (est, Owler, 2025/2026 profile - third-party estimate, not company-disclosed)</t>
        </is>
      </c>
      <c r="J6" s="11" t="inlineStr">
        <is>
          <t>Privately held; no published valuation (founder-owned)</t>
        </is>
      </c>
      <c r="K6" s="11" t="inlineStr">
        <is>
          <t>N/A - privately held, no external funding round found</t>
        </is>
      </c>
      <c r="L6" s="11" t="inlineStr">
        <is>
          <t>meets parameters</t>
        </is>
      </c>
      <c r="M6" s="11" t="n">
        <v>3</v>
      </c>
      <c r="N6" s="11" t="inlineStr">
        <is>
          <t>Stretch</t>
        </is>
      </c>
      <c r="O6" s="11" t="inlineStr">
        <is>
          <t>Revenue ~$196M (est, Owler 2025/26) clears the $100M bar but is an unverified third-party estimate; no published valuation, passes on revenue alone under founder-owned policy; headcount ~433-484 (201-1k band, Revelio Labs); no F1 team/series/driver ties found for PlaneSense itself; fit=3 after deducting for category-taken (Flexjet became F1's Official Private Aviation Supplier, Jul 2026, PRNewswire/Forbes).</t>
        </is>
      </c>
      <c r="P6" s="11" t="inlineStr">
        <is>
          <t>Position PlaneSense's Pilatus PC-24/PC-12 fleet and precision-engineering story against F1 timing/technology themes at a regional entry price point distinct from Flexjet's global deal - an 'accessible business aviation' angle tied to US Grand Prix markets (Miami/Austin/Las Vegas).</t>
        </is>
      </c>
      <c r="Q6" s="11" t="inlineStr">
        <is>
          <t>founder-owned, no published valuation; revenue figure is a third-party estimate (Owler), not company-disclosed; private-aviation category now taken on the F1 grid by Flexjet (Jul 2026)</t>
        </is>
      </c>
      <c r="R6" s="11" t="inlineStr">
        <is>
          <t>verified-new</t>
        </is>
      </c>
      <c r="S6" s="11" t="inlineStr">
        <is>
          <t>2026-09-28</t>
        </is>
      </c>
    </row>
    <row r="7">
      <c r="A7" s="11" t="n">
        <v>4</v>
      </c>
      <c r="B7" s="11" t="n">
        <v>58</v>
      </c>
      <c r="C7" s="11" t="inlineStr">
        <is>
          <t>GA Telesis LLC</t>
        </is>
      </c>
      <c r="D7" s="11" t="inlineStr">
        <is>
          <t>gatelesis.com</t>
        </is>
      </c>
      <c r="E7" s="11" t="inlineStr">
        <is>
          <t>Fort Lauderdale, Florida, USA</t>
        </is>
      </c>
      <c r="F7" s="11" t="inlineStr">
        <is>
          <t>Private; founder-owned (Abdol Moabery)</t>
        </is>
      </c>
      <c r="G7" s="11" t="inlineStr">
        <is>
          <t>Aviation aftermarket - aircraft/engine leasing, parts distribution and MRO, spanning commercial and business-jet segments</t>
        </is>
      </c>
      <c r="H7" s="11" t="inlineStr">
        <is>
          <t>201-1k</t>
        </is>
      </c>
      <c r="I7" s="11" t="inlineStr">
        <is>
          <t>Topped $1B by 2019 (Wikipedia); no current FY/TTM figure disclosed</t>
        </is>
      </c>
      <c r="J7" s="11" t="inlineStr">
        <is>
          <t>Privately held; no published valuation (founder-owned)</t>
        </is>
      </c>
      <c r="K7" s="11" t="inlineStr">
        <is>
          <t>N/A - founder-owned, no recent external funding round found</t>
        </is>
      </c>
      <c r="L7" s="11" t="inlineStr">
        <is>
          <t>meets parameters</t>
        </is>
      </c>
      <c r="M7" s="11" t="n">
        <v>3</v>
      </c>
      <c r="N7" s="11" t="inlineStr">
        <is>
          <t>Stretch</t>
        </is>
      </c>
      <c r="O7" s="11" t="inlineStr">
        <is>
          <t>Revenue reportedly topped $1B by 2019 (Wikipedia) - clears the $100M bar but the figure is stale, not a current FY/TTM number; no published valuation, passes on revenue alone as founder-owned; headcount 968 (201-1k band, Dec 2025, Revelio Labs); no F1 ties found for GA Telesis; fit=3 after deducting for category-taken (Flexjet, Jul 2026). Marked Stretch for the dated revenue figure and the mixed commercial/business-jet business mix.</t>
        </is>
      </c>
      <c r="P7" s="11" t="inlineStr">
        <is>
          <t>MRO/parts precision-engineering narrative tied to F1's technical-supplier ecosystem; global footprint supports a 'keeping the world's aircraft flying' performance story distinct from Flexjet's fractional-ownership angle.</t>
        </is>
      </c>
      <c r="Q7" s="11" t="inlineStr">
        <is>
          <t>founder-owned, no published valuation; revenue figure ($1B+) is dated to 2019, not a current FY/TTM number; business is predominantly commercial-aviation aftermarket; business-jet segment is only part of the portfolio, per input flag</t>
        </is>
      </c>
      <c r="R7" s="11" t="inlineStr">
        <is>
          <t>verified-new</t>
        </is>
      </c>
      <c r="S7" s="11" t="inlineStr">
        <is>
          <t>2026-09-28</t>
        </is>
      </c>
    </row>
  </sheetData>
  <autoFilter ref="A3:S7"/>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S6"/>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Sports Tech &amp; Fan Engagement — brand-new sector — 3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"35 Sports Tech &amp; Fan Engagement".</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0" t="n">
        <v>1</v>
      </c>
      <c r="B4" s="10" t="n">
        <v>92</v>
      </c>
      <c r="C4" s="10" t="inlineStr">
        <is>
          <t>Catapult Group International (Catapult Sports)</t>
        </is>
      </c>
      <c r="D4" s="10" t="inlineStr">
        <is>
          <t>catapultsports.com</t>
        </is>
      </c>
      <c r="E4" s="10" t="inlineStr">
        <is>
          <t>Melbourne, Australia / Boston, US</t>
        </is>
      </c>
      <c r="F4" s="10" t="inlineStr">
        <is>
          <t>Public (ASX: CAT), no controlling shareholder</t>
        </is>
      </c>
      <c r="G4" s="10" t="inlineStr">
        <is>
          <t>Wearable GPS/athlete-tracking devices and video-analytics software for professional and amateur sports teams</t>
        </is>
      </c>
      <c r="H4" s="10" t="inlineStr">
        <is>
          <t>201-1k</t>
        </is>
      </c>
      <c r="I4" s="10" t="inlineStr">
        <is>
          <t>US$116.5M FY25, +16.5-19% YoY (company reporting via Quartr; Catapult reports in USD)</t>
        </is>
      </c>
      <c r="J4" s="10" t="inlineStr">
        <is>
          <t>~US$1.89B market cap (ASX:CAT, current per stockanalysis.com/companiesmarketcap.com); has swung between roughly $700M and $1.3B over the trailing year per other snapshots</t>
        </is>
      </c>
      <c r="K4" s="10" t="inlineStr">
        <is>
          <t>N/A - public company, no recent capital raise flagged</t>
        </is>
      </c>
      <c r="L4" s="10" t="inlineStr">
        <is>
          <t>meets parameters</t>
        </is>
      </c>
      <c r="M4" s="10" t="n">
        <v>4</v>
      </c>
      <c r="N4" s="10" t="inlineStr">
        <is>
          <t>Yes</t>
        </is>
      </c>
      <c r="O4" s="10" t="inlineStr">
        <is>
          <t>FY25 revenue US$116.5M (+16.5-19% YoY) clears the $100M bar; market cap ~$1.89B clears the $1B bar (though volatile - re-verify near outreach); headcount 490 (201-1k); no F1 team/series/driver ties found; ownership is public with no controlling or state shareholder; fit=4.</t>
        </is>
      </c>
      <c r="P4" s="10" t="inlineStr">
        <is>
          <t>Direct performance-data/telemetry parallel to F1 engineering culture - position Catapult as the 'GPS and biometrics layer' for a team's off-track training program, an open category with no current F1 grid sponsor.</t>
        </is>
      </c>
      <c r="Q4" s="10" t="inlineStr">
        <is>
          <t>market cap has swung significantly (~$700M-$1.3B to a current ~$1.89B across differing sources/dates) - re-verify near outreach time</t>
        </is>
      </c>
      <c r="R4" s="10" t="inlineStr">
        <is>
          <t>verified-new</t>
        </is>
      </c>
      <c r="S4" s="10" t="inlineStr">
        <is>
          <t>2026-09-28</t>
        </is>
      </c>
    </row>
    <row r="5">
      <c r="A5" s="10" t="n">
        <v>2</v>
      </c>
      <c r="B5" s="10" t="n">
        <v>92</v>
      </c>
      <c r="C5" s="10" t="inlineStr">
        <is>
          <t>TrackMan A/S</t>
        </is>
      </c>
      <c r="D5" s="10" t="inlineStr">
        <is>
          <t>trackman.com</t>
        </is>
      </c>
      <c r="E5" s="10" t="inlineStr">
        <is>
          <t>Vedbaek, Denmark</t>
        </is>
      </c>
      <c r="F5" s="10" t="inlineStr">
        <is>
          <t>Founder/family-owned (Klaus Eldrup-Jorgensen family); no PE or outside institutional control identified</t>
        </is>
      </c>
      <c r="G5" s="10" t="inlineStr">
        <is>
          <t>Radar/camera-based tracking technology for golf and multi-sport (MLB Statcast partner, soccer) performance and broadcast data</t>
        </is>
      </c>
      <c r="H5" s="10" t="inlineStr">
        <is>
          <t>201-1k</t>
        </is>
      </c>
      <c r="I5" s="10" t="inlineStr">
        <is>
          <t>DKK 1.82B (~$260M est) FY2024 (year ended Dec 31, 2024; Tracxn, citing Danish company registry filings), 25% 5-yr revenue CAGR</t>
        </is>
      </c>
      <c r="J5" s="10" t="inlineStr">
        <is>
          <t>n/a - family-owned, no published valuation found (est)</t>
        </is>
      </c>
      <c r="K5" s="10" t="inlineStr">
        <is>
          <t>n/a - self-funded/family-owned, no external funding rounds identified</t>
        </is>
      </c>
      <c r="L5" s="10" t="inlineStr">
        <is>
          <t>meets parameters</t>
        </is>
      </c>
      <c r="M5" s="10" t="n">
        <v>4</v>
      </c>
      <c r="N5" s="10" t="inlineStr">
        <is>
          <t>Yes</t>
        </is>
      </c>
      <c r="O5" s="10" t="inlineStr">
        <is>
          <t>All hard filters pass: revenue ~$260M (est) FY2024 clears the $100M bar; family-owned with no published valuation is an explicit pass-on-revenue exception; headcount 620 (201-1k band); no F1 team/series/driver/GP tie found; founder-owned with no state/sanctions issue; broad multi-thousand customer base (golf clubs, federations, broadcasters) with no concentration risk; fit score 4/4.</t>
        </is>
      </c>
      <c r="P5" s="10" t="inlineStr">
        <is>
          <t>Radar-based precision tracking pioneer (MLB Statcast, PGA Tour) - pitch a 'precision performance data' partnership bringing TrackMan's tracking pedigree to F1 broadcast/fan analytics, an open category on the grid.</t>
        </is>
      </c>
      <c r="Q5" s="10" t="inlineStr">
        <is>
          <t>family-owned, no published valuation - passes on revenue alone per brief exception; revenue figure converted from DKK at approx. FX; treat as (est)</t>
        </is>
      </c>
      <c r="R5" s="10" t="inlineStr">
        <is>
          <t>verified-new</t>
        </is>
      </c>
      <c r="S5" s="10" t="inlineStr">
        <is>
          <t>2026-09-28</t>
        </is>
      </c>
    </row>
    <row r="6">
      <c r="A6" s="11" t="n">
        <v>3</v>
      </c>
      <c r="B6" s="11" t="n">
        <v>64</v>
      </c>
      <c r="C6" s="11" t="inlineStr">
        <is>
          <t>Hudl (Agile Sports Technologies)</t>
        </is>
      </c>
      <c r="D6" s="11" t="inlineStr">
        <is>
          <t>hudl.com</t>
        </is>
      </c>
      <c r="E6" s="11" t="inlineStr">
        <is>
          <t>Lincoln, Nebraska, US</t>
        </is>
      </c>
      <c r="F6" s="11" t="inlineStr">
        <is>
          <t>VC/PE-backed, private; Bain Capital Tech Opportunities is lead investor (2020/2021 growth round)</t>
        </is>
      </c>
      <c r="G6" s="11" t="inlineStr">
        <is>
          <t>Video analysis, scouting and performance-analytics software for sports teams from youth level through professional leagues</t>
        </is>
      </c>
      <c r="H6" s="11" t="inlineStr">
        <is>
          <t>1k-5k</t>
        </is>
      </c>
      <c r="I6" s="11" t="inlineStr">
        <is>
          <t>~$730M (2024 est., Getlatka); current-year figure not disclosed</t>
        </is>
      </c>
      <c r="J6" s="11" t="inlineStr">
        <is>
          <t>$3.5B post-money (2020/2021 Bain Capital Tech Opportunities round) - dated mark, no more recent figure found</t>
        </is>
      </c>
      <c r="K6" s="11" t="inlineStr">
        <is>
          <t>2020/2021 Bain Capital Tech Opportunities growth investment (~$120M); most recent activity is the June 2025 acquisition of Titan Sports (expansion, not a fresh equity round)</t>
        </is>
      </c>
      <c r="L6" s="11" t="inlineStr">
        <is>
          <t>meets parameters</t>
        </is>
      </c>
      <c r="M6" s="11" t="n">
        <v>4</v>
      </c>
      <c r="N6" s="11" t="inlineStr">
        <is>
          <t>Stretch</t>
        </is>
      </c>
      <c r="O6" s="11" t="inlineStr">
        <is>
          <t>Revenue ~$730M (2024 est.) clears the $100M bar; valuation $3.5B (2020/2021 round) clears the $1B bar but is a dated mark; headcount 2,800 (1k-5k); no F1 ties found. fit=4. Marked Stretch because capacity-to-spend relies on inferred signals (June 2025 Titan Sports acquisition) rather than a raise within 18 months or confirmed profitability.</t>
        </is>
      </c>
      <c r="P6" s="11" t="inlineStr">
        <is>
          <t>Global youth-to-pro sports-analytics footprint (325,000+ teams, 139 countries) maps directly to F1's grassroots-to-elite performance narrative; open category with no current F1 grid sponsor in team-sports video/analytics software.</t>
        </is>
      </c>
      <c r="Q6" s="11" t="inlineStr">
        <is>
          <t>last confirmed equity raise was 2020/2021 (&gt;18 months) - capacity-to-spend is inferred from the June 2025 Titan Sports acquisition rather than a fresh raise or confirmed profitability; valuation figure ($3.5B) is 4-5 years old with no more recent mark found</t>
        </is>
      </c>
      <c r="R6" s="11" t="inlineStr">
        <is>
          <t>verified-new</t>
        </is>
      </c>
      <c r="S6" s="11" t="inlineStr">
        <is>
          <t>2026-09-28</t>
        </is>
      </c>
    </row>
  </sheetData>
  <autoFilter ref="A3:S6"/>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S6"/>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Creator Economy &amp; Influencer Platforms — brand-new sector — 3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"36 Creator Economy &amp; Influencer".</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1" t="n">
        <v>1</v>
      </c>
      <c r="B4" s="11" t="n">
        <v>52</v>
      </c>
      <c r="C4" s="11" t="inlineStr">
        <is>
          <t>Linktree Pty Ltd</t>
        </is>
      </c>
      <c r="D4" s="11" t="inlineStr">
        <is>
          <t>linktr.ee</t>
        </is>
      </c>
      <c r="E4" s="11" t="inlineStr">
        <is>
          <t>Melbourne, Australia</t>
        </is>
      </c>
      <c r="F4" s="11" t="inlineStr">
        <is>
          <t>VC-backed, private (Coatue, Index Ventures, Insight Partners, Airtree Ventures et al.); founders retain influence</t>
        </is>
      </c>
      <c r="G4" s="11" t="inlineStr">
        <is>
          <t>"Link-in-bio" landing-page and commerce tools used by tens of millions of creators to consolidate their social/commerce links</t>
        </is>
      </c>
      <c r="H4" s="11" t="inlineStr">
        <is>
          <t>201-1k</t>
        </is>
      </c>
      <c r="I4" s="11" t="inlineStr">
        <is>
          <t>$55.5M-$64M FY2024 (Sacra and other estimates), up ~50% YoY from ~$37M in 2023; ~$61.6M ARR est. for 2025 (Getlatka)</t>
        </is>
      </c>
      <c r="J4" s="11" t="inlineStr">
        <is>
          <t>$1.3-1.7B post-money (2022 Series C, Coatue/Index Ventures/Insight Partners); no more recent priced round found</t>
        </is>
      </c>
      <c r="K4" s="11" t="inlineStr">
        <is>
          <t>$110M Series C, 2022 - no funding raised since (well beyond the 18-month recency window as of Sept 2026)</t>
        </is>
      </c>
      <c r="L4" s="11" t="inlineStr">
        <is>
          <t>meets parameters</t>
        </is>
      </c>
      <c r="M4" s="11" t="n">
        <v>2</v>
      </c>
      <c r="N4" s="11" t="inlineStr">
        <is>
          <t>Stretch</t>
        </is>
      </c>
      <c r="O4" s="11" t="inlineStr">
        <is>
          <t>Hard filters pass on a thin margin: ARR ($55-64M FY2024) is &gt;$50M with growth reported as 'about 50%' YoY (sources split on whether it clears &gt;50%); valuation ($1.3-1.7B, 2022) clears the $1B bar but is stale (no raise since 2022, so the capacity-to-spend recency test is uncertain absent confirmed profitability); fit score is a borderline 2/4. No hard filter definitively fails, but multiple real reservations warrant Stretch rather than Yes.</t>
        </is>
      </c>
      <c r="P4" s="11" t="inlineStr">
        <is>
          <t>Creator-economy 'link in bio' category is entirely open on the F1 grid - position as the connective tissue for F1's growing creator/driver-content ecosystem (F1 drivers, F1 Academy, paddock creators) linking races to commerce.</t>
        </is>
      </c>
      <c r="Q4" s="11" t="inlineStr">
        <is>
          <t>last funding round was 2022 - capacity-to-spend recency criterion not clearly met absent confirmed profitability; revenue growth rate sits right at the ~50% YoY threshold - sources disagree on whether it clears it; fit score is a borderline 2/4 with a weak brand-story angle</t>
        </is>
      </c>
      <c r="R4" s="11" t="inlineStr">
        <is>
          <t>verified-new</t>
        </is>
      </c>
      <c r="S4" s="11" t="inlineStr">
        <is>
          <t>2026-09-28</t>
        </is>
      </c>
    </row>
    <row r="5">
      <c r="A5" s="11" t="n">
        <v>2</v>
      </c>
      <c r="B5" s="11" t="n">
        <v>52</v>
      </c>
      <c r="C5" s="11" t="inlineStr">
        <is>
          <t>Xiaohongshu (RED / Xingyin Information Technology)</t>
        </is>
      </c>
      <c r="D5" s="11" t="inlineStr">
        <is>
          <t>xiaohongshu.com</t>
        </is>
      </c>
      <c r="E5" s="11" t="inlineStr">
        <is>
          <t>Shanghai, China</t>
        </is>
      </c>
      <c r="F5" s="11" t="inlineStr">
        <is>
          <t>VC-backed, private; founders retain control, Alibaba and Tencent hold minority stakes; no majority state ownership or entity-list/sanctions concern identified</t>
        </is>
      </c>
      <c r="G5" s="11" t="inlineStr">
        <is>
          <t>Lifestyle content/social-commerce platform blending influencer content with e-commerce, used by 300M+ monthly active users</t>
        </is>
      </c>
      <c r="H5" s="11" t="inlineStr">
        <is>
          <t>1k-5k</t>
        </is>
      </c>
      <c r="I5" s="11" t="inlineStr">
        <is>
          <t>$4.8B (2024, +30% YoY); profitable since 2023, full-year 2025 profit projected to triple to ~$3B (Bloomberg, Sept 2025)</t>
        </is>
      </c>
      <c r="J5" s="11" t="inlineStr">
        <is>
          <t>$31B (Sept 2025 secondary transactions, up from ~$26B in June 2025)</t>
        </is>
      </c>
      <c r="K5" s="11" t="inlineStr">
        <is>
          <t>Most recent primary round: $500M Series E (2021); 2025 activity is secondary-market share transactions, not new primary capital</t>
        </is>
      </c>
      <c r="L5" s="11" t="inlineStr">
        <is>
          <t>exceeds - mega-brand</t>
        </is>
      </c>
      <c r="M5" s="11" t="n">
        <v>2</v>
      </c>
      <c r="N5" s="11" t="inlineStr">
        <is>
          <t>Stretch</t>
        </is>
      </c>
      <c r="O5" s="11" t="inlineStr">
        <is>
          <t>Hard filters pass comfortably (revenue $4.8B and profitable, valuation $31B, headcount ~3,582, no F1 conflict found, founder-controlled ownership with no state/sanctions issue, 300M+ MAU audience with no concentration risk), but fit score is a borderline 2/4 driven by an overwhelmingly China-domestic footprint that weakens the multi-market and brand-story criteria - a real reservation on outreach fit despite clearing every hard bar.</t>
        </is>
      </c>
      <c r="P5" s="11" t="inlineStr">
        <is>
          <t>China's dominant lifestyle/social-commerce platform - pitch a China market-growth angle tied to F1's expanding Chinese fanbase (Shanghai GP, Zhou Guanyu-driven interest), pairing affluent lifestyle content with race-week activations.</t>
        </is>
      </c>
      <c r="Q5" s="11" t="inlineStr">
        <is>
          <t>revenue/growth/valuation figures are third-party estimates (Sacra/Getlatka), not primary financial statements; predominantly single-market (China) footprint weakens the multi-market fit criterion; China-based consumer platform - monitor general geopolitical/data-privacy scrutiny (no entity-list or sanctions finding identified)</t>
        </is>
      </c>
      <c r="R5" s="11" t="inlineStr">
        <is>
          <t>verified-new</t>
        </is>
      </c>
      <c r="S5" s="11" t="inlineStr">
        <is>
          <t>2026-09-28</t>
        </is>
      </c>
    </row>
    <row r="6">
      <c r="A6" s="11" t="n">
        <v>3</v>
      </c>
      <c r="B6" s="11" t="n">
        <v>52</v>
      </c>
      <c r="C6" s="11" t="inlineStr">
        <is>
          <t>VerSe Innovation Pvt Ltd (Dailyhunt / Josh)</t>
        </is>
      </c>
      <c r="D6" s="11" t="inlineStr">
        <is>
          <t>verseinnovation.com</t>
        </is>
      </c>
      <c r="E6" s="11" t="inlineStr">
        <is>
          <t>Bengaluru, India</t>
        </is>
      </c>
      <c r="F6" s="11" t="inlineStr">
        <is>
          <t>VC-backed, private (SoftBank-led round 2022; small debt raise Feb 2024); no state ties found</t>
        </is>
      </c>
      <c r="G6" s="11" t="inlineStr">
        <is>
          <t>Regional-language content, news aggregation and short-video creator platforms (Dailyhunt, Josh) reaching 400M+ users in India</t>
        </is>
      </c>
      <c r="H6" s="11" t="inlineStr">
        <is>
          <t>1k-5k</t>
        </is>
      </c>
      <c r="I6" s="11" t="inlineStr">
        <is>
          <t>FY25 revenue from operations ~Rs 1,930 crore (~$232M est, ~83 INR/USD), up 88% YoY from Rs 1,029 crore in FY24; still EBITDA-negative at -38% margin though improving 51pp YoY, targeting breakeven H2 FY26 (Entrackr/Exchange4media, Sept 2025)</t>
        </is>
      </c>
      <c r="J6" s="11" t="inlineStr">
        <is>
          <t>~$5B post-money, April 2022 SoftBank-led round, ~$805M total raised (Pulse2); no more recent published valuation found</t>
        </is>
      </c>
      <c r="K6" s="11" t="inlineStr">
        <is>
          <t>$6.25M debt raise, Feb 2024 (Crunchbase); last major equity round was April 2022 (&gt;18 months ago, confirmed)</t>
        </is>
      </c>
      <c r="L6" s="11" t="inlineStr">
        <is>
          <t>exceeds - mega-brand</t>
        </is>
      </c>
      <c r="M6" s="11" t="n">
        <v>2</v>
      </c>
      <c r="N6" s="11" t="inlineStr">
        <is>
          <t>Stretch</t>
        </is>
      </c>
      <c r="O6" s="11" t="inlineStr">
        <is>
          <t>Hard filters pass (FY25 revenue ~$232M (est) clears the $100M bar; ~$5B 2022 valuation clears the $1B bar; headcount band 1k-5k; no F1 team/series/driver/GP conflict found; VC-backed private ownership, no state/sanctions issues) but real reservations remain: no funding raised within 18 months and not yet profitable (capacity concern), and fit score is only 2/4 with a weak angle given the single-market audience.</t>
        </is>
      </c>
      <c r="P6" s="11" t="inlineStr">
        <is>
          <t>Position VerSe/Josh as F1's on-ramp to India's 400M+ regional-language digital audience, timed to F1's expanding India push (Indian GP exploration, fan festivals) - a 'reach India in its own language' angle.</t>
        </is>
      </c>
      <c r="Q6" s="11" t="inlineStr">
        <is>
          <t>last major equity round was 2022 (&gt;18 months), no confirmed recent large raise; not yet profitable - EBITDA margin -38% in FY25 though improving, targeting breakeven H2 FY26; valuation (~$5B) is from April 2022, no more recent published mark; primarily single-market (India) user base</t>
        </is>
      </c>
      <c r="R6" s="11" t="inlineStr">
        <is>
          <t>verified-new</t>
        </is>
      </c>
      <c r="S6" s="11" t="inlineStr">
        <is>
          <t>2026-09-28</t>
        </is>
      </c>
    </row>
  </sheetData>
  <autoFilter ref="A3:S6"/>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S7"/>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Travel Tech &amp; Airline IT — brand-new sector — 4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"37 Travel Tech &amp; Airline IT".</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1" t="n">
        <v>1</v>
      </c>
      <c r="B4" s="11" t="n">
        <v>64</v>
      </c>
      <c r="C4" s="11" t="inlineStr">
        <is>
          <t>SITA</t>
        </is>
      </c>
      <c r="D4" s="11" t="inlineStr">
        <is>
          <t>sita.aero</t>
        </is>
      </c>
      <c r="E4" s="11" t="inlineStr">
        <is>
          <t>Geneva, Switzerland</t>
        </is>
      </c>
      <c r="F4" s="11" t="inlineStr">
        <is>
          <t>Member-owned cooperative, owned collectively by ~400 airline/airport members (confirmed); not state-owned</t>
        </is>
      </c>
      <c r="G4" s="11" t="inlineStr">
        <is>
          <t>IT infrastructure, passenger-processing, baggage-handling, borders and connectivity systems used by airlines and airports worldwide</t>
        </is>
      </c>
      <c r="H4" s="11" t="inlineStr">
        <is>
          <t>1k-5k</t>
        </is>
      </c>
      <c r="I4" s="11" t="inlineStr">
        <is>
          <t>$1.6B in 2024 (+8.3% YoY, record results per SITA press release, published 2025); ~$1.7B projected for 2025</t>
        </is>
      </c>
      <c r="J4" s="11" t="inlineStr">
        <is>
          <t>N/A - member-owned cooperative, no published market valuation (confirmed)</t>
        </is>
      </c>
      <c r="K4" s="11" t="inlineStr">
        <is>
          <t>N/A - cooperative, no external funding round</t>
        </is>
      </c>
      <c r="L4" s="11" t="inlineStr">
        <is>
          <t>exceeds - mega-brand</t>
        </is>
      </c>
      <c r="M4" s="11" t="n">
        <v>4</v>
      </c>
      <c r="N4" s="11" t="inlineStr">
        <is>
          <t>Stretch</t>
        </is>
      </c>
      <c r="O4" s="11" t="inlineStr">
        <is>
          <t>All hard filters pass (revenue $1.6B FY2024, headcount 4,468, no F1 team/series/driver/GP conflict found, cooperative ownership with no state/sanctions ties) and fit is maximal (4/4), but as a member-owned cooperative with no published valuation this is capped at Stretch per Track B policy (passes on revenue alone) rather than an outright Yes.</t>
        </is>
      </c>
      <c r="P4" s="11" t="inlineStr">
        <is>
          <t>Position SITA as the invisible technology backbone connecting global aviation - a 'precision and connectivity at scale' story reaching senior airline/airport decision-makers, in a category (airline IT infrastructure) not currently represented on the grid.</t>
        </is>
      </c>
      <c r="Q4" s="11" t="inlineStr">
        <is>
          <t>no published valuation - member-owned cooperative, capped at Stretch per Track B policy</t>
        </is>
      </c>
      <c r="R4" s="11" t="inlineStr">
        <is>
          <t>verified-new</t>
        </is>
      </c>
      <c r="S4" s="11" t="inlineStr">
        <is>
          <t>2026-09-28</t>
        </is>
      </c>
    </row>
    <row r="5">
      <c r="A5" s="11" t="n">
        <v>2</v>
      </c>
      <c r="B5" s="11" t="n">
        <v>64</v>
      </c>
      <c r="C5" s="11" t="inlineStr">
        <is>
          <t>Accelya Group</t>
        </is>
      </c>
      <c r="D5" s="11" t="inlineStr">
        <is>
          <t>accelya.com</t>
        </is>
      </c>
      <c r="E5" s="11" t="inlineStr">
        <is>
          <t>Barcelona, Spain</t>
        </is>
      </c>
      <c r="F5" s="11" t="inlineStr">
        <is>
          <t>PE-owned by Vista Equity Partners since December 2019 (confirmed, ~6-7 years), acquired from Warburg Pincus</t>
        </is>
      </c>
      <c r="G5" s="11" t="inlineStr">
        <is>
          <t>Airline financial and IT services - revenue accounting, e-commerce/NDC distribution and passenger revenue management for 200+ airlines</t>
        </is>
      </c>
      <c r="H5" s="11" t="inlineStr">
        <is>
          <t>1k-5k</t>
        </is>
      </c>
      <c r="I5" s="11" t="inlineStr">
        <is>
          <t>No confirmed current consolidated global figure; best public data point is ~$200M revenue at the time of the 2019 Vista acquisition, scaled with subsequent company growth (processes $100B+ in annual settlements, 2,900+ staff, 200+ airline customers as of 2025-26) - precise current figure is an estimate, not independently confirmed</t>
        </is>
      </c>
      <c r="J5" s="11" t="inlineStr">
        <is>
          <t>N/A - private, PE-owned, no published valuation</t>
        </is>
      </c>
      <c r="K5" s="11" t="inlineStr">
        <is>
          <t>N/A - PE buyout completed Dec 2019 (Vista Equity Partners); no subsequent disclosed funding round</t>
        </is>
      </c>
      <c r="L5" s="11" t="inlineStr">
        <is>
          <t>meets parameters</t>
        </is>
      </c>
      <c r="M5" s="11" t="n">
        <v>4</v>
      </c>
      <c r="N5" s="11" t="inlineStr">
        <is>
          <t>Stretch</t>
        </is>
      </c>
      <c r="O5" s="11" t="inlineStr">
        <is>
          <t>Revenue plausibly clears the $100M hard bar given company scale (200+ airline customers, $100B+ settled annually, ~2,900 staff) but the precise current figure is an unconfirmed estimate - a real reservation. No published valuation (PE-owned, private) and PE ownership exceeding 4 years are both explicit Stretch qualifiers. No F1 conflicts found; ownership and headcount otherwise pass cleanly.</t>
        </is>
      </c>
      <c r="P5" s="11" t="inlineStr">
        <is>
          <t>Position Accelya as the financial engine behind global airline retailing - a 'precision at global scale' story reaching senior airline finance/commercial decision-makers, in an open category (airline financial IT) not claimed on the grid.</t>
        </is>
      </c>
      <c r="Q5" s="11" t="inlineStr">
        <is>
          <t>PE-owned (Vista Equity Partners) since Dec 2019 - over 4 years; no published valuation - private company; current global consolidated revenue figure is an estimate and could not be independently confirmed (note: the separately-listed India subsidiary 'Accelya Solutions India' reports only ~$62M FY24 revenue, but that is a minority-listed piece of the larger global group, not the consolidated total)</t>
        </is>
      </c>
      <c r="R5" s="11" t="inlineStr">
        <is>
          <t>verified-new</t>
        </is>
      </c>
      <c r="S5" s="11" t="inlineStr">
        <is>
          <t>2026-09-28</t>
        </is>
      </c>
    </row>
    <row r="6">
      <c r="A6" s="11" t="n">
        <v>3</v>
      </c>
      <c r="B6" s="11" t="n">
        <v>58</v>
      </c>
      <c r="C6" s="11" t="inlineStr">
        <is>
          <t>JTB Corporation</t>
        </is>
      </c>
      <c r="D6" s="11" t="inlineStr">
        <is>
          <t>jtbcorp.jp</t>
        </is>
      </c>
      <c r="E6" s="11" t="inlineStr">
        <is>
          <t>Tokyo, Japan</t>
        </is>
      </c>
      <c r="F6" s="11" t="inlineStr">
        <is>
          <t>Privately held, widely-held among Japan Travel Bureau Foundation, JR East, JR Central, an employee stock ownership plan, MUFG Bank, Mizuho Bank and others; no direct government shareholding found (confirmed) - historically government-linked but now private</t>
        </is>
      </c>
      <c r="G6" s="11" t="inlineStr">
        <is>
          <t>Japan's largest travel agency and travel-management group, including a digital/IT transformation arm (JTB Digital) for corporate and leisure travel</t>
        </is>
      </c>
      <c r="H6" s="11" t="inlineStr">
        <is>
          <t>10k+</t>
        </is>
      </c>
      <c r="I6" s="11" t="inlineStr">
        <is>
          <t>¥1,073.3B gross sales in FY2024 (~$7B+ est, ~150 JPY/USD), second consecutive year above ¥1 trillion (JTB Group FY2024 results, published May 2025) - well above the $100M hard bar</t>
        </is>
      </c>
      <c r="J6" s="11" t="inlineStr">
        <is>
          <t>N/A - privately held, no published market valuation</t>
        </is>
      </c>
      <c r="K6" s="11" t="inlineStr">
        <is>
          <t>N/A - no external funding round; long-established private company</t>
        </is>
      </c>
      <c r="L6" s="11" t="inlineStr">
        <is>
          <t>exceeds - mega-brand</t>
        </is>
      </c>
      <c r="M6" s="11" t="n">
        <v>3</v>
      </c>
      <c r="N6" s="11" t="inlineStr">
        <is>
          <t>Stretch</t>
        </is>
      </c>
      <c r="O6" s="11" t="inlineStr">
        <is>
          <t>All hard filters pass (revenue ~$7B+ FY2024, headcount 19,376, no confirmed government stake, no sponsorship-level F1 conflict - existing GP travel-package sales are commercial, not sponsorship), and fit is solid (3/4), but the company has no published valuation (private, widely-held), so per Track B policy it is capped at Stretch (passing on revenue alone) rather than Yes; it also carries a fit caveat as a travel agency rather than a pure tech vendor.</t>
        </is>
      </c>
      <c r="P6" s="11" t="inlineStr">
        <is>
          <t>Position JTB as Japan's national travel and hospitality gateway, building on its existing Suzuka Japanese GP travel-package business into a deeper partnership - timed to Japan's growing F1 fan base and JTB's global travel network.</t>
        </is>
      </c>
      <c r="Q6" s="11" t="inlineStr">
        <is>
          <t>no published valuation - widely-held private company, capped at Stretch per Track B policy; primarily a travel agency/hospitality conglomerate rather than a pure IT/tech vendor - imperfect fit against the 'Travel Tech' sector framing; already sells authorized travel/ticket packages for the Suzuka Japanese Grand Prix - an existing commercial (non-sponsorship) relationship with the GP, worth checking for exclusivity before outreach</t>
        </is>
      </c>
      <c r="R6" s="11" t="inlineStr">
        <is>
          <t>verified-new</t>
        </is>
      </c>
      <c r="S6" s="11" t="inlineStr">
        <is>
          <t>2026-09-28</t>
        </is>
      </c>
    </row>
    <row r="7">
      <c r="A7" s="11" t="n">
        <v>4</v>
      </c>
      <c r="B7" s="11" t="n">
        <v>58</v>
      </c>
      <c r="C7" s="11" t="inlineStr">
        <is>
          <t>Airline Tariff Publishing Company (ATPCO)</t>
        </is>
      </c>
      <c r="D7" s="11" t="inlineStr">
        <is>
          <t>atpco.net</t>
        </is>
      </c>
      <c r="E7" s="11" t="inlineStr">
        <is>
          <t>Dulles, Virginia, US</t>
        </is>
      </c>
      <c r="F7" s="11" t="inlineStr">
        <is>
          <t>Member-owned cooperative, owned collectively by ~190 airlines (confirmed); not state-owned</t>
        </is>
      </c>
      <c r="G7" s="11" t="inlineStr">
        <is>
          <t>Airfare, ancillary and NDC-offer distribution data used industry-wide by airlines, GDSs and OTAs (440+ airlines)</t>
        </is>
      </c>
      <c r="H7" s="11" t="inlineStr">
        <is>
          <t>201-1k</t>
        </is>
      </c>
      <c r="I7" s="11" t="inlineStr">
        <is>
          <t>No current figure disclosed (private cooperative); best available public estimate is ~$105M as of April 2020 (ZoomInfo) - dated and uncertain, borderline on the $100M hard bar given only modest headcount growth since (625 to 646 employees, 2024-2025)</t>
        </is>
      </c>
      <c r="J7" s="11" t="inlineStr">
        <is>
          <t>N/A - member-owned cooperative, no published market valuation</t>
        </is>
      </c>
      <c r="K7" s="11" t="inlineStr">
        <is>
          <t>N/A - cooperative, no external funding round</t>
        </is>
      </c>
      <c r="L7" s="11" t="inlineStr">
        <is>
          <t>meets parameters</t>
        </is>
      </c>
      <c r="M7" s="11" t="n">
        <v>3</v>
      </c>
      <c r="N7" s="11" t="inlineStr">
        <is>
          <t>Stretch</t>
        </is>
      </c>
      <c r="O7" s="11" t="inlineStr">
        <is>
          <t>Cooperative ownership with no published valuation caps this at Stretch per Track B policy (passes on revenue alone); the revenue figure itself is dated/uncertain and borderline on the $100M hard bar (best estimate ~$105M as of 2020); no F1 conflicts found; headcount (646) passes but is on the smaller side.</t>
        </is>
      </c>
      <c r="P7" s="11" t="inlineStr">
        <is>
          <t>Position ATPCO as the precision fare-data infrastructure behind virtually every airline ticket priced globally - an 'invisible technology, essential to every flight' angle reaching senior airline pricing/commercial executives, in an open category (fare-data infrastructure) not on the grid.</t>
        </is>
      </c>
      <c r="Q7" s="11" t="inlineStr">
        <is>
          <t>no published valuation - member-owned cooperative, capped at Stretch per Track B policy; revenue figure is dated and uncertain - best public estimate (~$105M) is from 2020, current figure unconfirmed and borderline on the $100M hard bar; headcount (~646) is on the smaller end of the sponsorship-capacity comfort zone</t>
        </is>
      </c>
      <c r="R7" s="11" t="inlineStr">
        <is>
          <t>verified-new</t>
        </is>
      </c>
      <c r="S7" s="11" t="inlineStr">
        <is>
          <t>2026-09-28</t>
        </is>
      </c>
    </row>
  </sheetData>
  <autoFilter ref="A3:S7"/>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S18"/>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Africa Champions — brand-new sector — 15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"38 Africa Champions".</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0" t="n">
        <v>1</v>
      </c>
      <c r="B4" s="10" t="n">
        <v>92</v>
      </c>
      <c r="C4" s="10" t="inlineStr">
        <is>
          <t>Dangote Cement Plc</t>
        </is>
      </c>
      <c r="D4" s="10" t="inlineStr">
        <is>
          <t>dangotecement.com</t>
        </is>
      </c>
      <c r="E4" s="10" t="inlineStr">
        <is>
          <t>Lagos, Nigeria</t>
        </is>
      </c>
      <c r="F4" s="10" t="inlineStr">
        <is>
          <t>Majority private, Aliko Dangote family ~85%; free float remainder on NGX; no state or sanctioned ownership (2025/2026)</t>
        </is>
      </c>
      <c r="G4" s="10" t="inlineStr">
        <is>
          <t>Cement manufacturing and distribution across Nigeria and ~9 other African countries</t>
        </is>
      </c>
      <c r="H4" s="10" t="inlineStr">
        <is>
          <t>5k-10k (est; ~7,000+ per company/press reporting)</t>
        </is>
      </c>
      <c r="I4" s="10" t="inlineStr">
        <is>
          <t>FY2025 group revenue N4.307 trillion (~$2.8-2.9B est at ~1500 NGN:USD), +20% YoY; net profit N1.015tn, +102% YoY (africanfinancials.com, FY2025 results, reported Feb 2026)</t>
        </is>
      </c>
      <c r="J4" s="10" t="inlineStr">
        <is>
          <t>Market cap ~N17.4 trillion (~$11-12B est), 2nd most valuable NGX stock, early 2026 (stockanalysis.com/tradingeconomics.com); FY2025 year-end cap was N10.2 trillion</t>
        </is>
      </c>
      <c r="K4" s="10" t="inlineStr">
        <is>
          <t>N/A - publicly listed on NGX since 2010, no recent funding round</t>
        </is>
      </c>
      <c r="L4" s="10" t="inlineStr">
        <is>
          <t>exceeds - mega-brand</t>
        </is>
      </c>
      <c r="M4" s="10" t="n">
        <v>4</v>
      </c>
      <c r="N4" s="10" t="inlineStr">
        <is>
          <t>Yes</t>
        </is>
      </c>
      <c r="O4" s="10" t="inlineStr">
        <is>
          <t>All hard filters pass: revenue ~$2.8B (&gt;$100M), market cap ~$11B (&gt;$1B), headcount 5k-10k, no F1/team/series ties found (direct or via parent), no state or sanctioned ownership, profitable and growing (+20% revenue, +102% profit), broad multi-country B2B customer base. Fit score 4/4.</t>
        </is>
      </c>
      <c r="P4" s="10" t="inlineStr">
        <is>
          <t>Position Dangote as Africa's industrial-ambition champion in an open category (no cement/building-materials sponsor on the grid), tied to narratives of African infrastructure growth and F1's push to return to the continent.</t>
        </is>
      </c>
      <c r="Q4" s="10" t="inlineStr">
        <is>
          <t>family-owned, ~85% Dangote family control (not state); NGN currency volatility risk affects USD-equivalent figures</t>
        </is>
      </c>
      <c r="R4" s="10" t="inlineStr">
        <is>
          <t>verified-new</t>
        </is>
      </c>
      <c r="S4" s="10" t="inlineStr">
        <is>
          <t>2026-09-28</t>
        </is>
      </c>
    </row>
    <row r="5">
      <c r="A5" s="10" t="n">
        <v>2</v>
      </c>
      <c r="B5" s="10" t="n">
        <v>92</v>
      </c>
      <c r="C5" s="10" t="inlineStr">
        <is>
          <t>Bidcorp Limited</t>
        </is>
      </c>
      <c r="D5" s="10" t="inlineStr">
        <is>
          <t>bidcorpgroup.com</t>
        </is>
      </c>
      <c r="E5" s="10" t="inlineStr">
        <is>
          <t>Johannesburg, South Africa</t>
        </is>
      </c>
      <c r="F5" s="10" t="inlineStr">
        <is>
          <t>Publicly listed on JSE (spun off from Bidvest Group in 2016); broad institutional ownership, no state stake</t>
        </is>
      </c>
      <c r="G5" s="10" t="inlineStr">
        <is>
          <t>Global foodservice distribution; supplies restaurants, hotels and caterers across five continents (UK, Australia, Netherlands, Italy, Czechia, New Zealand, Belgium, South Africa, China, Hong Kong, etc.)</t>
        </is>
      </c>
      <c r="H5" s="10" t="inlineStr">
        <is>
          <t>10k+ (~20,000+ per input)</t>
        </is>
      </c>
      <c r="I5" s="10" t="inlineStr">
        <is>
          <t>FY2025 (ended June 2025) revenue ZAR 235.59bn (~$12.7B est at ~18.5 ZAR:USD), +4.29% YoY (stockanalysis.com, 2025/2026)</t>
        </is>
      </c>
      <c r="J5" s="10" t="inlineStr">
        <is>
          <t>Market cap ~ZAR 145.77-148bn (~$7.9-8B est / GBP 6.70bn), July 2026 (stockanalysis.com, companiesmarketcap.com)</t>
        </is>
      </c>
      <c r="K5" s="10" t="inlineStr">
        <is>
          <t>N/A - publicly listed on JSE since 2016 (Bidvest spin-off), no recent funding round</t>
        </is>
      </c>
      <c r="L5" s="10" t="inlineStr">
        <is>
          <t>exceeds - mega-brand</t>
        </is>
      </c>
      <c r="M5" s="10" t="n">
        <v>4</v>
      </c>
      <c r="N5" s="10" t="inlineStr">
        <is>
          <t>Yes</t>
        </is>
      </c>
      <c r="O5" s="10" t="inlineStr">
        <is>
          <t>All hard filters pass: revenue ~$12.7B (&gt;$100M), market cap ~$8B (&gt;$1B), headcount 20k+ (&gt;51), no F1/team/series ties found, no state ownership, growing revenue and a broad multi-continent B2B customer base. Fit score 4/4.</t>
        </is>
      </c>
      <c r="P5" s="10" t="inlineStr">
        <is>
          <t>A global foodservice-partner story: an African-rooted company scaled to a five-continent operation spanning several F1-host markets (UK, Italy, Netherlands, Australia, China), with an open foodservice/hospitality-supply sponsor category.</t>
        </is>
      </c>
      <c r="Q5" s="10" t="inlineStr">
        <is>
          <t>primarily international revenue despite African HQ (carried from input); market cap down ~5.4% YoY on share price despite revenue growth</t>
        </is>
      </c>
      <c r="R5" s="10" t="inlineStr">
        <is>
          <t>verified-new</t>
        </is>
      </c>
      <c r="S5" s="10" t="inlineStr">
        <is>
          <t>2026-09-28</t>
        </is>
      </c>
    </row>
    <row r="6">
      <c r="A6" s="10" t="n">
        <v>3</v>
      </c>
      <c r="B6" s="10" t="n">
        <v>92</v>
      </c>
      <c r="C6" s="10" t="inlineStr">
        <is>
          <t>Orascom Construction PLC</t>
        </is>
      </c>
      <c r="D6" s="10" t="inlineStr">
        <is>
          <t>orascom.com</t>
        </is>
      </c>
      <c r="E6" s="10" t="inlineStr">
        <is>
          <t>Cairo, Egypt (incorporated DIFC, Dubai)</t>
        </is>
      </c>
      <c r="F6" s="10" t="inlineStr">
        <is>
          <t>Sawiris family controls a significant/founding stake; publicly listed on EGX and Nasdaq Dubai with minority free float. No state ownership found in search (MarketScreener/company profile, 2025-2026 data).</t>
        </is>
      </c>
      <c r="G6" s="10" t="inlineStr">
        <is>
          <t>Engineering, procurement and construction (EPC) - infrastructure, industrial and energy projects across Egypt, MENA, Africa and the US</t>
        </is>
      </c>
      <c r="H6" s="10" t="inlineStr">
        <is>
          <t>10k+</t>
        </is>
      </c>
      <c r="I6" s="10" t="inlineStr">
        <is>
          <t>USD 5,049.8 million FY2025 revenue (Orascom Construction FY2025 results release, reported ~Feb 2026)</t>
        </is>
      </c>
      <c r="J6" s="10" t="inlineStr">
        <is>
          <t>Market cap ~$1.56B as of Aug 12, 2026 (PitchBook/company data)</t>
        </is>
      </c>
      <c r="K6" s="10" t="inlineStr">
        <is>
          <t>N/A - established listed EPC contractor, no recent funding round</t>
        </is>
      </c>
      <c r="L6" s="10" t="inlineStr">
        <is>
          <t>meets parameters</t>
        </is>
      </c>
      <c r="M6" s="10" t="n">
        <v>4</v>
      </c>
      <c r="N6" s="10" t="inlineStr">
        <is>
          <t>Yes</t>
        </is>
      </c>
      <c r="O6" s="10" t="inlineStr">
        <is>
          <t>All hard filters pass cleanly: revenue $5.05B FY2025 (&gt;&gt;$100M), market cap $1.56B (&gt;$1B), headcount ~30,000+ (10k+ band), net income $194.8M and backlog/new-awards growing (clearly improving, not distress), broad multi-government/multi-client base across Egypt/Gulf/US/Africa (not customer-concentrated), no F1 conflict found, no state ownership. Fit score of 4/4 (open category, multi-market, senior B2B buyers, strong performance/global-ambition brand story) supports a clear Yes.</t>
        </is>
      </c>
      <c r="P6" s="10" t="inlineStr">
        <is>
          <t>Open category (construction/EPC not on the 2026 grid) plus a genuine global-infrastructure growth story - Orascom's mega-project delivery across Egypt, the Gulf, Africa and the US (Red Sea wind, Saudi/UAE concessions) maps directly to F1's precision-engineering and global-ambition narrative (est).</t>
        </is>
      </c>
      <c r="Q6" s="10" t="inlineStr">
        <is>
          <t>family/founder-controlled (Sawiris family); holding company incorporated in DIFC, Dubai - jurisdiction differs from Cairo HQ; EPC revenue is project/backlog-based and can be lumpy across large individual contracts</t>
        </is>
      </c>
      <c r="R6" s="10" t="inlineStr">
        <is>
          <t>verified-new</t>
        </is>
      </c>
      <c r="S6" s="10" t="inlineStr">
        <is>
          <t>2026-09-28</t>
        </is>
      </c>
    </row>
    <row r="7">
      <c r="A7" s="10" t="n">
        <v>4</v>
      </c>
      <c r="B7" s="10" t="n">
        <v>84</v>
      </c>
      <c r="C7" s="10" t="inlineStr">
        <is>
          <t>Clicks Group Limited</t>
        </is>
      </c>
      <c r="D7" s="10" t="inlineStr">
        <is>
          <t>clicksgroup.co.za</t>
        </is>
      </c>
      <c r="E7" s="10" t="inlineStr">
        <is>
          <t>Cape Town, South Africa</t>
        </is>
      </c>
      <c r="F7" s="10" t="inlineStr">
        <is>
          <t>Publicly listed on JSE; broad institutional ownership, no state stake</t>
        </is>
      </c>
      <c r="G7" s="10" t="inlineStr">
        <is>
          <t>Health, beauty and pharmacy retail chain (1,000+ stores across South Africa, Namibia, Botswana, Eswatini and Lesotho) plus pharmaceutical wholesale distribution (UPD)</t>
        </is>
      </c>
      <c r="H7" s="10" t="inlineStr">
        <is>
          <t>10k+ (~18,000 per input)</t>
        </is>
      </c>
      <c r="I7" s="10" t="inlineStr">
        <is>
          <t>FY2025 (ended Aug 2025) revenue ZAR 47.83bn (~$2.58B est at ~18.5 ZAR:USD), +5.26% YoY (stockanalysis.com, 2025/2026)</t>
        </is>
      </c>
      <c r="J7" s="10" t="inlineStr">
        <is>
          <t>Market cap ~ZAR 75.89bn (~$4.1B est), Feb 2026 (stockanalysis.com)</t>
        </is>
      </c>
      <c r="K7" s="10" t="inlineStr">
        <is>
          <t>N/A - publicly listed on JSE, no recent funding round</t>
        </is>
      </c>
      <c r="L7" s="10" t="inlineStr">
        <is>
          <t>meets parameters</t>
        </is>
      </c>
      <c r="M7" s="10" t="n">
        <v>3</v>
      </c>
      <c r="N7" s="10" t="inlineStr">
        <is>
          <t>Yes</t>
        </is>
      </c>
      <c r="O7" s="10" t="inlineStr">
        <is>
          <t>All hard filters pass: revenue ~$2.58B (&gt;$100M), market cap ~$4.1B (&gt;$1B), headcount 18k (&gt;51), no F1/team/series ties found, no state ownership, growing revenue (+5.26%), broad consumer customer base across 5 countries. Fit score 3/4.</t>
        </is>
      </c>
      <c r="P7" s="10" t="inlineStr">
        <is>
          <t>A health/wellness angle tied to driver and team fitness/wellness programs, leveraging Southern Africa's growing middle-class health-and-beauty market; open category, as no pharmacy/health-and-beauty retailer currently sponsors on the grid.</t>
        </is>
      </c>
      <c r="Q7" s="10" t="inlineStr">
        <is>
          <t>footprint is South Africa plus 4 neighboring countries - regional rather than pan-African, though still meets the 3+ market bar</t>
        </is>
      </c>
      <c r="R7" s="10" t="inlineStr">
        <is>
          <t>verified-new</t>
        </is>
      </c>
      <c r="S7" s="10" t="inlineStr">
        <is>
          <t>2026-09-28</t>
        </is>
      </c>
    </row>
    <row r="8">
      <c r="A8" s="11" t="n">
        <v>5</v>
      </c>
      <c r="B8" s="11" t="n">
        <v>64</v>
      </c>
      <c r="C8" s="11" t="inlineStr">
        <is>
          <t>Aspen Pharmacare Holdings Ltd</t>
        </is>
      </c>
      <c r="D8" s="11" t="inlineStr">
        <is>
          <t>aspenpharma.com</t>
        </is>
      </c>
      <c r="E8" s="11" t="inlineStr">
        <is>
          <t>Durban, South Africa</t>
        </is>
      </c>
      <c r="F8" s="11" t="inlineStr">
        <is>
          <t>Publicly listed on JSE; founder Stephen Saad and management retain a meaningful stake, no state ownership</t>
        </is>
      </c>
      <c r="G8" s="11" t="inlineStr">
        <is>
          <t>Generic and specialty pharmaceuticals, manufacturing and distribution across 50+ countries</t>
        </is>
      </c>
      <c r="H8" s="11" t="inlineStr">
        <is>
          <t>5k-10k (~9,000 per input)</t>
        </is>
      </c>
      <c r="I8" s="11" t="inlineStr">
        <is>
          <t>FY2025 (ended June 2025) revenue ZAR 43.36bn (~$2.3-2.4B est at ~18.5 ZAR:USD), -3.00% YoY, EPS missed expectations (stockanalysis.com/Yahoo Finance, 2025/2026)</t>
        </is>
      </c>
      <c r="J8" s="11" t="inlineStr">
        <is>
          <t>Market cap ~$3.65-4.02B USD / ZAR ~56.8bn, 2026 (stockanalysis.com, macrotrends.net)</t>
        </is>
      </c>
      <c r="K8" s="11" t="inlineStr">
        <is>
          <t>N/A - publicly listed on JSE since 1998, no recent funding round</t>
        </is>
      </c>
      <c r="L8" s="11" t="inlineStr">
        <is>
          <t>meets parameters</t>
        </is>
      </c>
      <c r="M8" s="11" t="n">
        <v>4</v>
      </c>
      <c r="N8" s="11" t="inlineStr">
        <is>
          <t>Stretch</t>
        </is>
      </c>
      <c r="O8" s="11" t="inlineStr">
        <is>
          <t>Hard filters pass (revenue ~$2.3B, market cap ~$3.7-4B, headcount ~9k, no F1 ties, no state ownership, still profitable), but a real reservation on the capacity-to-spend bar: FY2025 revenue declined ~3% YoY with an EPS miss, short of 'clearly improving.' Fit score is strong (4/4).</t>
        </is>
      </c>
      <c r="P8" s="11" t="inlineStr">
        <is>
          <t>Position around a 'performance science' story - pharma/healthcare precision manufacturing tied to team medical/wellness partnerships, in an open pharma-sponsor category on the grid.</t>
        </is>
      </c>
      <c r="Q8" s="11" t="inlineStr">
        <is>
          <t>FY2025 revenue declined ~3% YoY and EPS missed expectations - mild capacity-to-spend caution, not clearly 'improving'</t>
        </is>
      </c>
      <c r="R8" s="11" t="inlineStr">
        <is>
          <t>verified-new</t>
        </is>
      </c>
      <c r="S8" s="11" t="inlineStr">
        <is>
          <t>2026-09-28</t>
        </is>
      </c>
    </row>
    <row r="9">
      <c r="A9" s="11" t="n">
        <v>6</v>
      </c>
      <c r="B9" s="11" t="n">
        <v>58</v>
      </c>
      <c r="C9" s="11" t="inlineStr">
        <is>
          <t>Naspers Limited</t>
        </is>
      </c>
      <c r="D9" s="11" t="inlineStr">
        <is>
          <t>naspers.com</t>
        </is>
      </c>
      <c r="E9" s="11" t="inlineStr">
        <is>
          <t>Cape Town, South Africa</t>
        </is>
      </c>
      <c r="F9" s="11" t="inlineStr">
        <is>
          <t>Publicly listed on JSE; controlled via weighted 'N' ordinary share structure (management/founders), no state ownership</t>
        </is>
      </c>
      <c r="G9" s="11" t="inlineStr">
        <is>
          <t>Global internet/media investment holding company (classifieds, food delivery, fintech, payments, edtech; majority stake in Prosus, which holds a large Tencent stake)</t>
        </is>
      </c>
      <c r="H9" s="11" t="inlineStr">
        <is>
          <t>10k+ (est, group incl. Prosus portfolio companies; ~30,000+ per input)</t>
        </is>
      </c>
      <c r="I9" s="11" t="inlineStr">
        <is>
          <t>FY2025 revenue $7.18B, +11.66% YoY (stockanalysis.com/PitchBook, 2025/2026); FY2026 forecast ~$8.53B</t>
        </is>
      </c>
      <c r="J9" s="11" t="inlineStr">
        <is>
          <t>Market cap ~$34.6B / ZAR 682.79bn, 2026 (stockanalysis.com)</t>
        </is>
      </c>
      <c r="K9" s="11" t="inlineStr">
        <is>
          <t>N/A - publicly listed, no recent funding round; ongoing Naspers/Prosus share buyback and partial Tencent stake-sale program</t>
        </is>
      </c>
      <c r="L9" s="11" t="inlineStr">
        <is>
          <t>exceeds - mega-brand</t>
        </is>
      </c>
      <c r="M9" s="11" t="n">
        <v>3</v>
      </c>
      <c r="N9" s="11" t="inlineStr">
        <is>
          <t>Stretch</t>
        </is>
      </c>
      <c r="O9" s="11" t="inlineStr">
        <is>
          <t>Hard filters pass numerically (revenue $7.18B, market cap $34.6B, no F1 ties, no state ownership, profitable/growing), but there is a real reservation: Naspers is an investment holding company, not itself a marketed consumer brand, and its valuation is highly Tencent-stake-dependent, leaving the sponsorship activation story unclear despite a fit score of 3.</t>
        </is>
      </c>
      <c r="P9" s="11" t="inlineStr">
        <is>
          <t>Rather than the Naspers holding entity itself, activate through a flagship Prosus operating brand (e.g., iFood or PayU) with a technology/global-ambition story backed by Naspers' balance-sheet strength.</t>
        </is>
      </c>
      <c r="Q9" s="11" t="inlineStr">
        <is>
          <t>valuation highly sensitive to Tencent share price (carried from input); holding-company structure - unclear which operating brand (e.g., iFood, OLX, PayU) would actually activate a sponsorship</t>
        </is>
      </c>
      <c r="R9" s="11" t="inlineStr">
        <is>
          <t>verified-new</t>
        </is>
      </c>
      <c r="S9" s="11" t="inlineStr">
        <is>
          <t>2026-09-28</t>
        </is>
      </c>
    </row>
    <row r="10">
      <c r="A10" s="11" t="n">
        <v>7</v>
      </c>
      <c r="B10" s="11" t="n">
        <v>58</v>
      </c>
      <c r="C10" s="11" t="inlineStr">
        <is>
          <t>Equity Group Holdings Plc</t>
        </is>
      </c>
      <c r="D10" s="11" t="inlineStr">
        <is>
          <t>equitygroupholdings.com</t>
        </is>
      </c>
      <c r="E10" s="11" t="inlineStr">
        <is>
          <t>Nairobi, Kenya</t>
        </is>
      </c>
      <c r="F10" s="11" t="inlineStr">
        <is>
          <t>Publicly listed on the Nairobi Securities Exchange; broad institutional/retail shareholder base including minority stakes from Norfund (Norway's state development finance institution) and IFC (World Bank Group). No majority state or PEP control found.</t>
        </is>
      </c>
      <c r="G10" s="11" t="inlineStr">
        <is>
          <t>Pan-African commercial banking and financial services across Kenya, Uganda, Tanzania, Rwanda, DRC and South Sudan</t>
        </is>
      </c>
      <c r="H10" s="11" t="inlineStr">
        <is>
          <t>10k+</t>
        </is>
      </c>
      <c r="I10" s="11" t="inlineStr">
        <is>
          <t>KES 188.70bn revenue FY2025, +17.2% YoY (company FY2025 investor briefing, reported early 2026) - approx $1.46B at ~129 KES/USD</t>
        </is>
      </c>
      <c r="J10" s="11" t="inlineStr">
        <is>
          <t>Market cap ~KES 230.2bn (2026, stockanalysis.com) - approx $1.78B</t>
        </is>
      </c>
      <c r="K10" s="11" t="inlineStr">
        <is>
          <t>N/A - established listed bank, no recent funding round</t>
        </is>
      </c>
      <c r="L10" s="11" t="inlineStr">
        <is>
          <t>meets parameters</t>
        </is>
      </c>
      <c r="M10" s="11" t="n">
        <v>3</v>
      </c>
      <c r="N10" s="11" t="inlineStr">
        <is>
          <t>Stretch</t>
        </is>
      </c>
      <c r="O10" s="11" t="inlineStr">
        <is>
          <t>All hard filters pass: revenue ~$1.46B (&gt;&gt;$100M), market cap ~$1.78B (&gt;$1B), headcount ~10,000+ (10k+ band), net profit +54.6% YoY (clearly improving), ~19M+ customers (not concentrated), no F1 conflict found. Downgraded to Stretch for minority state-linked ownership (Norfund/IFC), per the strict geographic-tab state-ownership rule, despite a strong fit score of 3.</t>
        </is>
      </c>
      <c r="P10" s="11" t="inlineStr">
        <is>
          <t>Pan-African financial-inclusion story (~19M+ customers across 6 countries) mapped to F1's Africa growth push and emerging-market expansion narrative (est).</t>
        </is>
      </c>
      <c r="Q10" s="11" t="inlineStr">
        <is>
          <t>minority state-linked shareholders: Norfund (Norway's state development finance institution) and IFC (World Bank Group) - both benign multilateral/bilateral development institutions, not politically exposed, but flagged per the geographic-tab state-ownership rule; banking sponsorship category already occupied by Standard Chartered at F1 series level</t>
        </is>
      </c>
      <c r="R10" s="11" t="inlineStr">
        <is>
          <t>verified-new</t>
        </is>
      </c>
      <c r="S10" s="11" t="inlineStr">
        <is>
          <t>2026-09-28</t>
        </is>
      </c>
    </row>
    <row r="11">
      <c r="A11" s="11" t="n">
        <v>8</v>
      </c>
      <c r="B11" s="11" t="n">
        <v>58</v>
      </c>
      <c r="C11" s="11" t="inlineStr">
        <is>
          <t>Globacom Limited</t>
        </is>
      </c>
      <c r="D11" s="11" t="inlineStr">
        <is>
          <t>gloworld.com</t>
        </is>
      </c>
      <c r="E11" s="11" t="inlineStr">
        <is>
          <t>Lagos, Nigeria</t>
        </is>
      </c>
      <c r="F11" s="11" t="inlineStr">
        <is>
          <t>100% privately owned by founder Mike Adenuga since 2003 - no outside equity, not listed. No state ownership; Adenuga is a private businessman, no PEP indicators found.</t>
        </is>
      </c>
      <c r="G11" s="11" t="inlineStr">
        <is>
          <t>Mobile telecommunications, broadband and satellite services in Nigeria, Benin, Ghana and Cote d'Ivoire</t>
        </is>
      </c>
      <c r="H11" s="11" t="inlineStr">
        <is>
          <t>1k-5k</t>
        </is>
      </c>
      <c r="I11" s="11" t="inlineStr">
        <is>
          <t>Est. ~NGN 0.94 trillion (~$630M) 2024 earnings, based on 12.2% share of Nigeria's telecom market (NCC/Techcabal reporting, Nov 2025); no official company-disclosed revenue since Globacom does not publish financials</t>
        </is>
      </c>
      <c r="J11" s="11" t="inlineStr">
        <is>
          <t>No published valuation - 100% founder-owned, not listed (confirmed via Billionaires.africa, 2026)</t>
        </is>
      </c>
      <c r="K11" s="11" t="inlineStr">
        <is>
          <t>N/A - no external funding raised; wholly founder-financed since inception</t>
        </is>
      </c>
      <c r="L11" s="11" t="inlineStr">
        <is>
          <t>meets parameters</t>
        </is>
      </c>
      <c r="M11" s="11" t="n">
        <v>3</v>
      </c>
      <c r="N11" s="11" t="inlineStr">
        <is>
          <t>Stretch</t>
        </is>
      </c>
      <c r="O11" s="11" t="inlineStr">
        <is>
          <t>Revenue passes on an est. ~$630M (2024, NCC market-share data) basis (&gt;&gt;$100M); no published valuation since Globacom is 100% founder-owned and undisclosed - per the family/founder-owned carve-out this passes on revenue alone but is capped at Stretch. Headcount ~3,000+ direct (1k-5k band), 56M+ subscribers (not concentrated), no F1 conflict, no state/PEP ownership. Flagged for reported declining market share versus MTN/Airtel, a reservation on spend capacity.</t>
        </is>
      </c>
      <c r="P11" s="11" t="inlineStr">
        <is>
          <t>West Africa's leading indigenous telecom/connectivity brand - a satellite and broadband performance story ties to F1's technology/precision theme, with an open telecom category on the grid (est).</t>
        </is>
      </c>
      <c r="Q11" s="11" t="inlineStr">
        <is>
          <t>100% founder-owned (Mike Adenuga), no published valuation - per Track B rule, passes on revenue alone but capped at Stretch; declining market share vs. MTN/Airtel per 2024-2025 reporting (Techcabal: "the stunning decline of Globacom") - competitive-pressure flag on spend capacity</t>
        </is>
      </c>
      <c r="R11" s="11" t="inlineStr">
        <is>
          <t>verified-new</t>
        </is>
      </c>
      <c r="S11" s="11" t="inlineStr">
        <is>
          <t>2026-09-28</t>
        </is>
      </c>
    </row>
    <row r="12">
      <c r="A12" s="11" t="n">
        <v>9</v>
      </c>
      <c r="B12" s="11" t="n">
        <v>52</v>
      </c>
      <c r="C12" s="11" t="inlineStr">
        <is>
          <t>Shoprite Holdings Ltd</t>
        </is>
      </c>
      <c r="D12" s="11" t="inlineStr">
        <is>
          <t>shopriteholdings.co.za</t>
        </is>
      </c>
      <c r="E12" s="11" t="inlineStr">
        <is>
          <t>Brackenfell, Cape Town, South Africa</t>
        </is>
      </c>
      <c r="F12" s="11" t="inlineStr">
        <is>
          <t>Publicly listed on JSE; broad institutional shareholder base, no majority state or family control found (2025/2026)</t>
        </is>
      </c>
      <c r="G12" s="11" t="inlineStr">
        <is>
          <t>Supermarket and grocery retail across Southern/Central Africa (~10 countries)</t>
        </is>
      </c>
      <c r="H12" s="11" t="inlineStr">
        <is>
          <t>10k+ (~140,000 per input/company reporting)</t>
        </is>
      </c>
      <c r="I12" s="11" t="inlineStr">
        <is>
          <t>FY2025 (ended June 2025) revenue ZAR 252.70bn (~$13.6B est at ~18.5 ZAR:USD), +8.88% YoY; TTM ZAR 261.93bn, +8.13% YoY (stockanalysis.com, 2025/2026)</t>
        </is>
      </c>
      <c r="J12" s="11" t="inlineStr">
        <is>
          <t>Market cap ZAR 144.4bn / ~$10.1B USD, 2025/2026 (stockanalysis.com, investing.com)</t>
        </is>
      </c>
      <c r="K12" s="11" t="inlineStr">
        <is>
          <t>N/A - publicly listed on JSE, no recent funding round</t>
        </is>
      </c>
      <c r="L12" s="11" t="inlineStr">
        <is>
          <t>exceeds - mega-brand</t>
        </is>
      </c>
      <c r="M12" s="11" t="n">
        <v>2</v>
      </c>
      <c r="N12" s="11" t="inlineStr">
        <is>
          <t>Stretch</t>
        </is>
      </c>
      <c r="O12" s="11" t="inlineStr">
        <is>
          <t>All hard filters pass (revenue ~$13.6B, market cap ~$10.1B, headcount 140k, no F1 ties, no state ownership, profitable/growing), but fit score is only 2/4 with a weak buyer-affinity and brand-story match versus F1's performance/tech/affluent-audience archetypes.</t>
        </is>
      </c>
      <c r="P12" s="11" t="inlineStr">
        <is>
          <t>Leverage the ~140k-strong pan-African retail footprint for in-store fan activations/promotions tied to F1 races reaching millions of everyday shoppers, positioning Shoprite as the brand bringing F1 excitement to the mass market across the continent.</t>
        </is>
      </c>
      <c r="Q12" s="11" t="inlineStr">
        <is>
          <t>mass-market grocery brand story - weak fit to F1 performance/precision archetype</t>
        </is>
      </c>
      <c r="R12" s="11" t="inlineStr">
        <is>
          <t>verified-new</t>
        </is>
      </c>
      <c r="S12" s="11" t="inlineStr">
        <is>
          <t>2026-09-28</t>
        </is>
      </c>
    </row>
    <row r="13">
      <c r="A13" s="11" t="n">
        <v>10</v>
      </c>
      <c r="B13" s="11" t="n">
        <v>52</v>
      </c>
      <c r="C13" s="11" t="inlineStr">
        <is>
          <t>Bidvest Group Limited</t>
        </is>
      </c>
      <c r="D13" s="11" t="inlineStr">
        <is>
          <t>bidvest.com</t>
        </is>
      </c>
      <c r="E13" s="11" t="inlineStr">
        <is>
          <t>Johannesburg, South Africa</t>
        </is>
      </c>
      <c r="F13" s="11" t="inlineStr">
        <is>
          <t>Publicly listed on JSE; broad institutional ownership, no state or family control stake found</t>
        </is>
      </c>
      <c r="G13" s="11" t="inlineStr">
        <is>
          <t>Diversified services and distribution conglomerate (logistics, facilities services, financial services, freight, automotive)</t>
        </is>
      </c>
      <c r="H13" s="11" t="inlineStr">
        <is>
          <t>10k+ (~110,000 per input)</t>
        </is>
      </c>
      <c r="I13" s="11" t="inlineStr">
        <is>
          <t>FY2025 revenue ZAR 126.61bn (~$6.8B est at ~18.5 ZAR:USD), +4.89% YoY (stockanalysis.com, 2025/2026)</t>
        </is>
      </c>
      <c r="J13" s="11" t="inlineStr">
        <is>
          <t>Market cap ~ZAR 81-83bn (~$4.4-4.5B est), Feb 2026 (stockanalysis.com)</t>
        </is>
      </c>
      <c r="K13" s="11" t="inlineStr">
        <is>
          <t>N/A - publicly listed on JSE since 1990, no recent funding round</t>
        </is>
      </c>
      <c r="L13" s="11" t="inlineStr">
        <is>
          <t>exceeds - mega-brand</t>
        </is>
      </c>
      <c r="M13" s="11" t="n">
        <v>2</v>
      </c>
      <c r="N13" s="11" t="inlineStr">
        <is>
          <t>Stretch</t>
        </is>
      </c>
      <c r="O13" s="11" t="inlineStr">
        <is>
          <t>Hard filters pass (revenue ~$6.8B, market cap ~$4.4B, headcount ~110k, no F1 ties, no state ownership, growing revenue), but fit score is only 2/4 given a generic conglomerate brand story and a logistics-category overlap with DHL's existing F1 partnership.</t>
        </is>
      </c>
      <c r="P13" s="11" t="inlineStr">
        <is>
          <t>Activate via a specific business unit (e.g., Bidvest Automotive or Financial Services) rather than the conglomerate brand, to avoid the logistics/DHL category overlap and sharpen the sponsorship story.</t>
        </is>
      </c>
      <c r="Q13" s="11" t="inlineStr">
        <is>
          <t>logistics/freight segment overlaps with DHL's existing F1 global logistics partnership - category clarity concern</t>
        </is>
      </c>
      <c r="R13" s="11" t="inlineStr">
        <is>
          <t>verified-new</t>
        </is>
      </c>
      <c r="S13" s="11" t="inlineStr">
        <is>
          <t>2026-09-28</t>
        </is>
      </c>
    </row>
    <row r="14">
      <c r="A14" s="11" t="n">
        <v>11</v>
      </c>
      <c r="B14" s="11" t="n">
        <v>52</v>
      </c>
      <c r="C14" s="11" t="inlineStr">
        <is>
          <t>Tiger Brands Limited</t>
        </is>
      </c>
      <c r="D14" s="11" t="inlineStr">
        <is>
          <t>tigerbrands.com</t>
        </is>
      </c>
      <c r="E14" s="11" t="inlineStr">
        <is>
          <t>Bryanston, Johannesburg, South Africa</t>
        </is>
      </c>
      <c r="F14" s="11" t="inlineStr">
        <is>
          <t>Publicly listed on JSE; broad institutional ownership, no state stake</t>
        </is>
      </c>
      <c r="G14" s="11" t="inlineStr">
        <is>
          <t>Branded consumer packaged foods (cereals, snacks, baked goods, beverages, personal care) primarily across Southern/East Africa</t>
        </is>
      </c>
      <c r="H14" s="11" t="inlineStr">
        <is>
          <t>5k-10k (~9,000 per input)</t>
        </is>
      </c>
      <c r="I14" s="11" t="inlineStr">
        <is>
          <t>FY2025 (ended Sept 2025) revenue ZAR 34.4bn (~$1.86B est at ~18.5 ZAR:USD), +2.7% YoY, volume +3.5%, gross margin up from 29.1% to 31.3% (tigerbrands.com, businessday.co.za, Nov 2025)</t>
        </is>
      </c>
      <c r="J14" s="11" t="inlineStr">
        <is>
          <t>Market cap ~$2.65-2.72B USD / ZAR ~50.4bn, 2026 (stockanalysis.com, gurufocus.com)</t>
        </is>
      </c>
      <c r="K14" s="11" t="inlineStr">
        <is>
          <t>N/A - publicly listed on JSE, no recent funding round; R4.0bn special dividend declared Nov 2025</t>
        </is>
      </c>
      <c r="L14" s="11" t="inlineStr">
        <is>
          <t>meets parameters</t>
        </is>
      </c>
      <c r="M14" s="11" t="n">
        <v>2</v>
      </c>
      <c r="N14" s="11" t="inlineStr">
        <is>
          <t>Stretch</t>
        </is>
      </c>
      <c r="O14" s="11" t="inlineStr">
        <is>
          <t>Hard filters pass (revenue ~$1.86B, market cap ~$2.7B, headcount ~9k, no F1 ties, no state ownership, clearly improving - +2.7% revenue, margins up ~220bps, R4bn special dividend), but fit score is only 2/4 given a mass-market CPG buyer base and a brand story that doesn't map well to F1's performance/precision archetype.</t>
        </is>
      </c>
      <c r="P14" s="11" t="inlineStr">
        <is>
          <t>Leverage the 2025 turnaround narrative and pan-African household reach for consumer/community engagement activations tied to an African Grand Prix, rather than a performance-brand positioning.</t>
        </is>
      </c>
      <c r="Q14" s="11" t="inlineStr">
        <is>
          <t>historical reputational issue - 2018 listeriosis outbreak; FY2025 results show a clear turnaround with margin and volume improvement; figures now current vs. input's 'not searched' flag</t>
        </is>
      </c>
      <c r="R14" s="11" t="inlineStr">
        <is>
          <t>verified-new</t>
        </is>
      </c>
      <c r="S14" s="11" t="inlineStr">
        <is>
          <t>2026-09-28</t>
        </is>
      </c>
    </row>
    <row r="15">
      <c r="A15" s="11" t="n">
        <v>12</v>
      </c>
      <c r="B15" s="11" t="n">
        <v>52</v>
      </c>
      <c r="C15" s="11" t="inlineStr">
        <is>
          <t>Commercial International Bank (Egypt) SAE</t>
        </is>
      </c>
      <c r="D15" s="11" t="inlineStr">
        <is>
          <t>cibeg.com</t>
        </is>
      </c>
      <c r="E15" s="11" t="inlineStr">
        <is>
          <t>Cairo, Egypt</t>
        </is>
      </c>
      <c r="F15" s="11" t="inlineStr">
        <is>
          <t>Publicly listed (EGX + GDRs). Largest shareholder Alpha Oryx Ltd (subsidiary of ADQ, Abu Dhabi's sovereign wealth vehicle) ~18.2%; Egypt's National Organization for Social Insurance (govt pension fund) ~7.4%; Fairfax Financial ~6.3%; broad institutional/retail float. No single majority owner (verified via MarketScreener/Grokipedia, 2025 shareholder data).</t>
        </is>
      </c>
      <c r="G15" s="11" t="inlineStr">
        <is>
          <t>Commercial and retail banking - Egypt's largest private-sector bank by assets/profit</t>
        </is>
      </c>
      <c r="H15" s="11" t="inlineStr">
        <is>
          <t>5k-10k</t>
        </is>
      </c>
      <c r="I15" s="11" t="inlineStr">
        <is>
          <t>EGP 117bn consolidated revenue, FY2025 (reported Feb 2026, Daily News Egypt) - approx $2.3-2.4B at ~50 EGP/USD</t>
        </is>
      </c>
      <c r="J15" s="11" t="inlineStr">
        <is>
          <t>Market cap ~$5.30B (2026, CNBC/Yahoo Finance quote data)</t>
        </is>
      </c>
      <c r="K15" s="11" t="inlineStr">
        <is>
          <t>N/A - established listed bank, no recent funding round</t>
        </is>
      </c>
      <c r="L15" s="11" t="inlineStr">
        <is>
          <t>meets parameters</t>
        </is>
      </c>
      <c r="M15" s="11" t="n">
        <v>2</v>
      </c>
      <c r="N15" s="11" t="inlineStr">
        <is>
          <t>Stretch</t>
        </is>
      </c>
      <c r="O15" s="11" t="inlineStr">
        <is>
          <t>All hard filters pass: revenue ~$2.3B (&gt;&gt;$100M), market cap $5.3B (&gt;$1B), headcount ~7,500 (5k-10k band), net income +49% YoY (clearly improving), millions of retail/corporate customers, no F1 conflict found. Downgraded to Stretch for minority state-linked ownership (ADQ/Abu Dhabi + Egyptian pension fund) and fit score of 2 with a weak international-market angle.</t>
        </is>
      </c>
      <c r="P15" s="11" t="inlineStr">
        <is>
          <t>Egypt/Africa banking-growth story - CIB's push into Kenya (Mayfair Bank) and digital transformation could anchor an 'emerging-markets growth' angle, though the banking sponsorship slot is already held by Standard Chartered at series level (est).</t>
        </is>
      </c>
      <c r="Q15" s="11" t="inlineStr">
        <is>
          <t>minority state-linked ownership (ADQ/Abu Dhabi ~18%, Egyptian pension fund NOSI ~7%) - flagged per geographic-tab state-ownership rule; banking sponsorship category already occupied by Standard Chartered at F1 series level</t>
        </is>
      </c>
      <c r="R15" s="11" t="inlineStr">
        <is>
          <t>verified-new</t>
        </is>
      </c>
      <c r="S15" s="11" t="inlineStr">
        <is>
          <t>2026-09-28</t>
        </is>
      </c>
    </row>
    <row r="16">
      <c r="A16" s="11" t="n">
        <v>13</v>
      </c>
      <c r="B16" s="11" t="n">
        <v>52</v>
      </c>
      <c r="C16" s="11" t="inlineStr">
        <is>
          <t>Talaat Moustafa Group Holding</t>
        </is>
      </c>
      <c r="D16" s="11" t="inlineStr">
        <is>
          <t>talaatmoustafa.com</t>
        </is>
      </c>
      <c r="E16" s="11" t="inlineStr">
        <is>
          <t>Cairo, Egypt</t>
        </is>
      </c>
      <c r="F16" s="11" t="inlineStr">
        <is>
          <t>Moustafa family founder/majority private ownership; publicly listed on EGX with minority free float. No state ownership found in search.</t>
        </is>
      </c>
      <c r="G16" s="11" t="inlineStr">
        <is>
          <t>Large-scale residential/commercial real estate development (Madinaty, Al Rehab) and hospitality</t>
        </is>
      </c>
      <c r="H16" s="11" t="inlineStr">
        <is>
          <t>10k+</t>
        </is>
      </c>
      <c r="I16" s="11" t="inlineStr">
        <is>
          <t>EGP 62.50bn revenue FY2025, +46.5% YoY (Daily News Egypt/company results, reported Feb 2026) - approx $1.25-1.3B at ~48-50 EGP/USD</t>
        </is>
      </c>
      <c r="J16" s="11" t="inlineStr">
        <is>
          <t>Market cap EGP 164.85bn at Dec 31, 2025 (stockanalysis.com) - approx $3.3-3.4B</t>
        </is>
      </c>
      <c r="K16" s="11" t="inlineStr">
        <is>
          <t>N/A - established listed developer, no recent funding round</t>
        </is>
      </c>
      <c r="L16" s="11" t="inlineStr">
        <is>
          <t>meets parameters</t>
        </is>
      </c>
      <c r="M16" s="11" t="n">
        <v>2</v>
      </c>
      <c r="N16" s="11" t="inlineStr">
        <is>
          <t>Stretch</t>
        </is>
      </c>
      <c r="O16" s="11" t="inlineStr">
        <is>
          <t>All hard filters pass: revenue ~$1.25-1.3B (&gt;&gt;$100M), market cap ~$3.4B (&gt;$1B), headcount ~10,000+ (10k+ band), net profit +43% YoY (clearly improving), large recurring buyer/guest base across residential and hospitality (not customer-concentrated), no F1 conflict, no state ownership. Downgraded to Stretch because fit score is exactly 2 with a domestic-only footprint and a weak brand-story angle.</t>
        </is>
      </c>
      <c r="P16" s="11" t="inlineStr">
        <is>
          <t>Domestic mega-city-builder story - Madinaty/Al Rehab-scale development as a 'building the future' angle for an Egypt/MENA-linked activation, though limited by the lack of an international footprint (est).</t>
        </is>
      </c>
      <c r="Q16" s="11" t="inlineStr">
        <is>
          <t>family-controlled (Moustafa family) with public minority float; domestic Egypt-only revenue base limits multi-market fit</t>
        </is>
      </c>
      <c r="R16" s="11" t="inlineStr">
        <is>
          <t>verified-new</t>
        </is>
      </c>
      <c r="S16" s="11" t="inlineStr">
        <is>
          <t>2026-09-28</t>
        </is>
      </c>
    </row>
    <row r="17">
      <c r="A17" s="11" t="n">
        <v>14</v>
      </c>
      <c r="B17" s="11" t="n">
        <v>52</v>
      </c>
      <c r="C17" s="11" t="inlineStr">
        <is>
          <t>Poulina Group Holding</t>
        </is>
      </c>
      <c r="D17" s="11" t="inlineStr">
        <is>
          <t>poulina.com.tn</t>
        </is>
      </c>
      <c r="E17" s="11" t="inlineStr">
        <is>
          <t>Tunis, Tunisia</t>
        </is>
      </c>
      <c r="F17" s="11" t="inlineStr">
        <is>
          <t>Privately controlled by the Ben Ayed family with a minority free float on the Tunis Stock Exchange (BVMT: POULA). No state ownership found in search.</t>
        </is>
      </c>
      <c r="G17" s="11" t="inlineStr">
        <is>
          <t>Diversified conglomerate - food/agribusiness, building materials, appliances, packaging, distribution, operating in Tunisia, Libya, Algeria, France, Morocco and China</t>
        </is>
      </c>
      <c r="H17" s="11" t="inlineStr">
        <is>
          <t>10k+</t>
        </is>
      </c>
      <c r="I17" s="11" t="inlineStr">
        <is>
          <t>TND 4.16bn revenue FY2025, +6.3% YoY (Réalités Magazine/ilBoursa, reported early 2026) - approx $1.3-1.4B at ~3.1 TND/USD</t>
        </is>
      </c>
      <c r="J17" s="11" t="inlineStr">
        <is>
          <t>Market cap ~TND 4.84bn (2025-2026, stockanalysis.com/BVMT) - approx $1.5-1.6B</t>
        </is>
      </c>
      <c r="K17" s="11" t="inlineStr">
        <is>
          <t>N/A - established listed conglomerate, no recent funding round</t>
        </is>
      </c>
      <c r="L17" s="11" t="inlineStr">
        <is>
          <t>meets parameters</t>
        </is>
      </c>
      <c r="M17" s="11" t="n">
        <v>2</v>
      </c>
      <c r="N17" s="11" t="inlineStr">
        <is>
          <t>Stretch</t>
        </is>
      </c>
      <c r="O17" s="11" t="inlineStr">
        <is>
          <t>Both hard bars pass independently and comfortably: revenue ~$1.3-1.4B (&gt;&gt;$100M) and market cap ~$1.5-1.6B (&gt;$1B, not reliant on the family-owned/no-valuation carve-out). Headcount ~20,000+ (10k+), net profit +26.4% YoY (clearly improving), broad multi-country consumer/B2B customer base (not concentrated), no F1 conflict, no state ownership. Downgraded to Stretch because fit score is exactly 2 with weak angles (mass-market goods, no strong performance/tech story).</t>
        </is>
      </c>
      <c r="P17" s="11" t="inlineStr">
        <is>
          <t>Open, uncontested category (diversified consumer/industrial conglomerate) with a genuine multi-market footprint (Tunisia, Libya, Algeria, Morocco, France, China) - a 'local champion scaling into global supply chains' growth story (est).</t>
        </is>
      </c>
      <c r="Q17" s="11" t="inlineStr">
        <is>
          <t>family-controlled (Ben Ayed family) with public minority float; mass-market consumer/industrial conglomerate - limited brand-story alignment to performance/technology theme</t>
        </is>
      </c>
      <c r="R17" s="11" t="inlineStr">
        <is>
          <t>verified-new</t>
        </is>
      </c>
      <c r="S17" s="11" t="inlineStr">
        <is>
          <t>2026-09-28</t>
        </is>
      </c>
    </row>
    <row r="18">
      <c r="A18" s="11" t="n">
        <v>15</v>
      </c>
      <c r="B18" s="11" t="n">
        <v>52</v>
      </c>
      <c r="C18" s="11" t="inlineStr">
        <is>
          <t>BUA Cement Plc</t>
        </is>
      </c>
      <c r="D18" s="11" t="inlineStr">
        <is>
          <t>buacement.com</t>
        </is>
      </c>
      <c r="E18" s="11" t="inlineStr">
        <is>
          <t>Lagos, Nigeria</t>
        </is>
      </c>
      <c r="F18" s="11" t="inlineStr">
        <is>
          <t>Majority privately held by Abdul Samad Rabiu/BUA Group family, with a minority free float on NGX. No state ownership found in search.</t>
        </is>
      </c>
      <c r="G18" s="11" t="inlineStr">
        <is>
          <t>Cement manufacturing and distribution across Nigeria</t>
        </is>
      </c>
      <c r="H18" s="11" t="inlineStr">
        <is>
          <t>1k-5k</t>
        </is>
      </c>
      <c r="I18" s="11" t="inlineStr">
        <is>
          <t>NGN 1.18 trillion revenue FY2025, up from NGN 876.47bn in 2024 (Proshare/company results, reported early 2026) - approx $787M at ~1,500 NGN/USD</t>
        </is>
      </c>
      <c r="J18" s="11" t="inlineStr">
        <is>
          <t>Market cap ~NGN 14.39 trillion as of May 13, 2026 (stockanalysis.com) - approx $9.6B</t>
        </is>
      </c>
      <c r="K18" s="11" t="inlineStr">
        <is>
          <t>N/A - established listed cement producer, no recent funding round</t>
        </is>
      </c>
      <c r="L18" s="11" t="inlineStr">
        <is>
          <t>meets parameters</t>
        </is>
      </c>
      <c r="M18" s="11" t="n">
        <v>2</v>
      </c>
      <c r="N18" s="11" t="inlineStr">
        <is>
          <t>Stretch</t>
        </is>
      </c>
      <c r="O18" s="11" t="inlineStr">
        <is>
          <t>All hard filters pass: revenue ~$787M (&gt;&gt;$100M), market cap ~$9.6B (&gt;$1B), headcount ~3,000 (1k-5k band), net profit surged (+~4.8x YoY, clearly improving), broad dealer/distributor base across Nigeria (not concentrated), no F1 conflict, no state ownership. Downgraded to Stretch for fit score of 2 with weak/domestic-only market angle and an FX-tailwind earnings-quality caveat on the profit growth.</t>
        </is>
      </c>
      <c r="P18" s="11" t="inlineStr">
        <is>
          <t>Nigeria's infrastructure-boom growth story (record profit, capacity expansion) - a 'building the foundations of growth' angle, with an open cement/building-materials category, though the domestic-only footprint limits global market fit (est).</t>
        </is>
      </c>
      <c r="Q18" s="11" t="inlineStr">
        <is>
          <t>family-controlled (Rabiu/BUA Group) with public minority float; FY2025 profit surge (net profit up ~4.8x) flagged by analysts (Proshare) as partly FX-tailwind driven - earnings-quality caveat; domestic Nigeria-only footprint limits multi-market fit</t>
        </is>
      </c>
      <c r="R18" s="11" t="inlineStr">
        <is>
          <t>verified-new</t>
        </is>
      </c>
      <c r="S18" s="11" t="inlineStr">
        <is>
          <t>2026-09-28</t>
        </is>
      </c>
    </row>
  </sheetData>
  <autoFilter ref="A3:S18"/>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S10"/>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Central Asia &amp; Caucasus Champions — brand-new sector — 7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"39 Central Asia &amp; Caucasus Cham".</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1" t="n">
        <v>1</v>
      </c>
      <c r="B4" s="11" t="n">
        <v>52</v>
      </c>
      <c r="C4" s="11" t="inlineStr">
        <is>
          <t>TBC Bank Group PLC</t>
        </is>
      </c>
      <c r="D4" s="11" t="inlineStr">
        <is>
          <t>tbcbankgroup.com</t>
        </is>
      </c>
      <c r="E4" s="11" t="inlineStr">
        <is>
          <t>Tbilisi, Georgia</t>
        </is>
      </c>
      <c r="F4" s="11" t="inlineStr">
        <is>
          <t>Publicly listed on the LSE (FTSE 250); ~85% held by public companies/individual investors, ~12.6% institutional (Vanguard the largest holder), ~2% insiders; no state ownership or PEP control found (searched Sept 2026, fintel.io, morningstar.com)</t>
        </is>
      </c>
      <c r="G4" s="11" t="inlineStr">
        <is>
          <t>Digital-first commercial and retail banking in Georgia and Uzbekistan</t>
        </is>
      </c>
      <c r="H4" s="11" t="inlineStr">
        <is>
          <t>10k+ (~13,000, est per input, not independently re-verified)</t>
        </is>
      </c>
      <c r="I4" s="11" t="inlineStr">
        <is>
          <t>FY2025 revenue GEL 3,390.0M / ~$2.94B (+12.44% YoY), net income GEL 1,420.3M (searched Sept 2026, stockanalysis.com) - clears $100M bar comfortably</t>
        </is>
      </c>
      <c r="J4" s="11" t="inlineStr">
        <is>
          <t>Market cap ~$3.31B as of May 26, 2026 (searched Sept 2026, stockanalysis.com) - clears $1B bar</t>
        </is>
      </c>
      <c r="K4" s="11" t="inlineStr">
        <is>
          <t>N/A - long-listed public company on the LSE</t>
        </is>
      </c>
      <c r="L4" s="11" t="inlineStr">
        <is>
          <t>exceeds - mega-brand</t>
        </is>
      </c>
      <c r="M4" s="11" t="n">
        <v>2</v>
      </c>
      <c r="N4" s="11" t="inlineStr">
        <is>
          <t>Stretch</t>
        </is>
      </c>
      <c r="O4" s="11" t="inlineStr">
        <is>
          <t>Passes all hard filters cleanly (strong revenue/valuation, no state/PEP ownership, no F1 conflict, ample capacity, broad customer base) but fit is exactly at the threshold with weak angles (2/4): only a 2-market footprint and the digital-banking story is a thin differentiator in an already-saturated F1 banking category.</t>
        </is>
      </c>
      <c r="P4" s="11" t="inlineStr">
        <is>
          <t>Digital-challenger angle: TBC's app-first, AI-driven banking platform and its cross-border Uzbekistan expansion as a 'digital disruptor from an emerging region' story tied to F1's technology/precision brand pillars (est) - a real but thin differentiator given banking is already occupied at the series level.</t>
        </is>
      </c>
      <c r="Q4" s="11" t="inlineStr">
        <is>
          <t>banking category already saturated on the F1 grid/series; only a 2-market footprint (Georgia + Uzbekistan)</t>
        </is>
      </c>
      <c r="R4" s="11" t="inlineStr">
        <is>
          <t>verified-new</t>
        </is>
      </c>
      <c r="S4" s="11" t="inlineStr">
        <is>
          <t>2026-09-28</t>
        </is>
      </c>
    </row>
    <row r="5">
      <c r="A5" s="11" t="n">
        <v>2</v>
      </c>
      <c r="B5" s="11" t="n">
        <v>52</v>
      </c>
      <c r="C5" s="11" t="inlineStr">
        <is>
          <t>Silknet JSC</t>
        </is>
      </c>
      <c r="D5" s="11" t="inlineStr">
        <is>
          <t>silknet.ge</t>
        </is>
      </c>
      <c r="E5" s="11" t="inlineStr">
        <is>
          <t>Tbilisi, Georgia</t>
        </is>
      </c>
      <c r="F5" s="11" t="inlineStr">
        <is>
          <t>Privately held by Silk Road Group (Georgian conglomerate; Gia Jokhtaberidze and family). No state or PEP stake identified.</t>
        </is>
      </c>
      <c r="G5" s="11" t="inlineStr">
        <is>
          <t>Fixed broadband, mobile and pay-TV telecom services in Georgia</t>
        </is>
      </c>
      <c r="H5" s="11" t="inlineStr">
        <is>
          <t>1k-5k</t>
        </is>
      </c>
      <c r="I5" s="11" t="inlineStr">
        <is>
          <t>GEL 619M in FY2025 (~$229M at ~2.7 GEL/USD), per Silknet JSC consolidated financial statements published April 2026 - clears the $100M hard bar</t>
        </is>
      </c>
      <c r="J5" s="11" t="inlineStr">
        <is>
          <t>Not publicly disclosed - 100% privately held by Silk Road Group; no market valuation available</t>
        </is>
      </c>
      <c r="K5" s="11" t="inlineStr">
        <is>
          <t>N/A - privately held, no recent equity raise identified (issues corporate bonds per cbonds.com)</t>
        </is>
      </c>
      <c r="L5" s="11" t="inlineStr">
        <is>
          <t>meets parameters</t>
        </is>
      </c>
      <c r="M5" s="11" t="n">
        <v>2</v>
      </c>
      <c r="N5" s="11" t="inlineStr">
        <is>
          <t>Stretch</t>
        </is>
      </c>
      <c r="O5" s="11" t="inlineStr">
        <is>
          <t>Passes hard filters (revenue ~$229M FY2025 clears $100M bar, no F1 conflicts found, private family ownership with no state/PEP issue, headcount 1k-5k) but is capped at Stretch per policy: privately held with no published valuation.</t>
        </is>
      </c>
      <c r="P5" s="11" t="inlineStr">
        <is>
          <t>Domestic 5G/fiber market leader championing next-gen network infrastructure - align Silknet's speed/technology story with F1's precision-engineering narrative in an open telecom category (est).</t>
        </is>
      </c>
      <c r="Q5" s="11" t="inlineStr">
        <is>
          <t>family-owned, no published valuation</t>
        </is>
      </c>
      <c r="R5" s="11" t="inlineStr">
        <is>
          <t>verified-new</t>
        </is>
      </c>
      <c r="S5" s="11" t="inlineStr">
        <is>
          <t>2026-09-28</t>
        </is>
      </c>
    </row>
    <row r="6">
      <c r="A6" s="11" t="n">
        <v>3</v>
      </c>
      <c r="B6" s="11" t="n">
        <v>52</v>
      </c>
      <c r="C6" s="11" t="inlineStr">
        <is>
          <t>Ameriabank CJSC</t>
        </is>
      </c>
      <c r="D6" s="11" t="inlineStr">
        <is>
          <t>ameriabank.am</t>
        </is>
      </c>
      <c r="E6" s="11" t="inlineStr">
        <is>
          <t>Yerevan, Armenia</t>
        </is>
      </c>
      <c r="F6" s="11" t="inlineStr">
        <is>
          <t>Privately held; shareholders include Armenian private investors and MGP Capital. No state or PEP stake identified.</t>
        </is>
      </c>
      <c r="G6" s="11" t="inlineStr">
        <is>
          <t>Corporate, retail and investment banking - Armenia's largest bank by assets</t>
        </is>
      </c>
      <c r="H6" s="11" t="inlineStr">
        <is>
          <t>1k-5k</t>
        </is>
      </c>
      <c r="I6" s="11" t="inlineStr">
        <is>
          <t>Annual revenue ~$245.8M (source: bitscale.ai company profile, dated Sept 23, 2025) - clears the $100M hard bar</t>
        </is>
      </c>
      <c r="J6" s="11" t="inlineStr">
        <is>
          <t>Not publicly disclosed - privately held bank, no published market valuation found</t>
        </is>
      </c>
      <c r="K6" s="11" t="inlineStr">
        <is>
          <t>N/A - no recent equity raise identified</t>
        </is>
      </c>
      <c r="L6" s="11" t="inlineStr">
        <is>
          <t>meets parameters</t>
        </is>
      </c>
      <c r="M6" s="11" t="n">
        <v>2</v>
      </c>
      <c r="N6" s="11" t="inlineStr">
        <is>
          <t>Stretch</t>
        </is>
      </c>
      <c r="O6" s="11" t="inlineStr">
        <is>
          <t>Passes hard filters (revenue ~$245.8M clears $100M bar, no F1 conflicts found - only general Armenia/FIA cooperation talks unrelated to Ameriabank, private ownership with no state/PEP issue, headcount 1k-5k) but capped at Stretch: no published valuation.</t>
        </is>
      </c>
      <c r="P6" s="11" t="inlineStr">
        <is>
          <t>Armenia's largest bank showcasing digital-banking innovation (MyCar.am platform) and corporate decision-maker reach - position as the Caucasus region's financial-services pioneer in an open banking category (est).</t>
        </is>
      </c>
      <c r="Q6" s="11" t="inlineStr">
        <is>
          <t>no published valuation; smallest single-country economy in this cohort - revenue base concentrated entirely in Armenia</t>
        </is>
      </c>
      <c r="R6" s="11" t="inlineStr">
        <is>
          <t>verified-new</t>
        </is>
      </c>
      <c r="S6" s="11" t="inlineStr">
        <is>
          <t>2026-09-28</t>
        </is>
      </c>
    </row>
    <row r="7">
      <c r="A7" s="11" t="n">
        <v>4</v>
      </c>
      <c r="B7" s="11" t="n">
        <v>46</v>
      </c>
      <c r="C7" s="11" t="inlineStr">
        <is>
          <t>Bank CenterCredit JSC</t>
        </is>
      </c>
      <c r="D7" s="11" t="inlineStr">
        <is>
          <t>bcc.kz</t>
        </is>
      </c>
      <c r="E7" s="11" t="inlineStr">
        <is>
          <t>Almaty, Kazakhstan</t>
        </is>
      </c>
      <c r="F7" s="11" t="inlineStr">
        <is>
          <t>Privately held; South Korea's Kookmin Bank (which invested $500M for a large stake in 2008) exited/reduced its position over time to a consortium including TsesnaBank JSC / Financial Holding Tsesna JSC and BCC chairman Bakhitbek Bayseitov; no state control and no PEP flag surfaced in search (searched Sept 2026, clearygottlieb.com, spglobal.com)</t>
        </is>
      </c>
      <c r="G7" s="11" t="inlineStr">
        <is>
          <t>Commercial and retail banking - one of Kazakhstan's top-5 banks by assets</t>
        </is>
      </c>
      <c r="H7" s="11" t="inlineStr">
        <is>
          <t>5k-10k (~6,000, est per input, not independently re-verified)</t>
        </is>
      </c>
      <c r="I7" s="11" t="inlineStr">
        <is>
          <t>TTM revenue (as of Q2 2025) KZT 530.08bn (+53.98% YoY); FY2025 net profit KZT 268.3bn (+32.6% YoY) (searched Sept 2026, interfax.kz, stockanalysis.com) - revenue equivalent clears $100M comfortably</t>
        </is>
      </c>
      <c r="J7" s="11" t="inlineStr">
        <is>
          <t>No current published valuation/market cap found; the only figure surfaced is the historical 2008 Kookmin transaction (~$1.2B for its stake), now 18 years stale and not representative of current value. Treated as no-published-current-valuation - passes on revenue alone per the Track B private-company carve-out, capped at Stretch.</t>
        </is>
      </c>
      <c r="K7" s="11" t="inlineStr">
        <is>
          <t>N/A - no recent capital raise identified; historical Kookmin $500M investment (2008) is stale</t>
        </is>
      </c>
      <c r="L7" s="11" t="inlineStr">
        <is>
          <t>meets parameters</t>
        </is>
      </c>
      <c r="M7" s="11" t="n">
        <v>1</v>
      </c>
      <c r="N7" s="11" t="inlineStr">
        <is>
          <t>Stretch</t>
        </is>
      </c>
      <c r="O7" s="11" t="inlineStr">
        <is>
          <t>Passes all hard filters (revenue clears the bar; capacity fine given +32.6% net profit growth; broad retail/corporate customer base; no F1 conflict; private ownership with no confirmed state or PEP control) but carries real reservations: no current published valuation (only a stale 2008 transaction figure) and a thin fit (1/4) as a single-market bank in an already-saturated F1 banking category.</t>
        </is>
      </c>
      <c r="P7" s="11" t="inlineStr">
        <is>
          <t>Regional-resilience narrative: a top-5 Kazakh bank that has weathered a major foreign-investor exit (Kookmin) and returned to strong profitability (est) - a thin angle given the single-market, undifferentiated banking positioning.</t>
        </is>
      </c>
      <c r="Q7" s="11" t="inlineStr">
        <is>
          <t>no current published valuation; figures partly est, not independently re-verified beyond this search round</t>
        </is>
      </c>
      <c r="R7" s="11" t="inlineStr">
        <is>
          <t>verified-new</t>
        </is>
      </c>
      <c r="S7" s="11" t="inlineStr">
        <is>
          <t>2026-09-28</t>
        </is>
      </c>
    </row>
    <row r="8">
      <c r="A8" s="11" t="n">
        <v>5</v>
      </c>
      <c r="B8" s="11" t="n">
        <v>46</v>
      </c>
      <c r="C8" s="11" t="inlineStr">
        <is>
          <t>Korzinka.uz</t>
        </is>
      </c>
      <c r="D8" s="11" t="inlineStr">
        <is>
          <t>korzinka.uz</t>
        </is>
      </c>
      <c r="E8" s="11" t="inlineStr">
        <is>
          <t>Tashkent, Uzbekistan</t>
        </is>
      </c>
      <c r="F8" s="11" t="inlineStr">
        <is>
          <t>Majority owned by founder Zafar Khashimov (private); minority stakes held by the European Bank for Reconstruction and Development (EBRD) and, since a $110M ($102M) raise closed in June 2025, by Uzbek-Oman Investment Company (UzOman - a JV of Oman's sovereign Oman Investment Authority and Uzbekistan's state Fund for Reconstruction and Development, UFRD) and Abu Dhabi Uzbek Investment (ADUI - a JV of Abu Dhabi Fund for Development and Uzbekistan's UFRD). Minority sovereign/state co-investment; no majority state or PEP control found (searched Sept 2026, korzinka.uz, dentons.com, kun.uz).</t>
        </is>
      </c>
      <c r="G8" s="11" t="inlineStr">
        <is>
          <t>Supermarket and hypermarket retail chain</t>
        </is>
      </c>
      <c r="H8" s="11" t="inlineStr">
        <is>
          <t>5k-10k (est, based on a 224-store network as of 2026; not independently verified)</t>
        </is>
      </c>
      <c r="I8" s="11" t="inlineStr">
        <is>
          <t>FY2024 like-for-like revenue UZS 9.4 trillion (~EUR 630M / ~$680M est. conversion), +9.3% YoY; grew from 156 stores (2024 annual report) to 224 stores by 2026 (searched Sept 2026, esmmagazine.com, intellinews.com) - clears $100M bar</t>
        </is>
      </c>
      <c r="J8" s="11" t="inlineStr">
        <is>
          <t>Post-money valuation of the June 2025 $110M raise was not publicly disclosed - no published valuation; passes on revenue alone per the Track B private-company carve-out, capped at Stretch</t>
        </is>
      </c>
      <c r="K8" s="11" t="inlineStr">
        <is>
          <t>$110M ($102M) equity raise led by UzOman and ADUI, closed June 2025 - explicitly earmarked for store-network expansion, e-commerce (Korzinka Go), and a new distribution center (searched Sept 2026, dentons.com)</t>
        </is>
      </c>
      <c r="L8" s="11" t="inlineStr">
        <is>
          <t>meets parameters</t>
        </is>
      </c>
      <c r="M8" s="11" t="n">
        <v>1</v>
      </c>
      <c r="N8" s="11" t="inlineStr">
        <is>
          <t>Stretch</t>
        </is>
      </c>
      <c r="O8" s="11" t="inlineStr">
        <is>
          <t>Passes all hard filters (revenue clears the bar; the June 2025 $110M raise for expansion covers capacity within the 18-month window; broad customer base; no F1 conflict; majority ownership private/no PEP, with only a flagged minority sovereign stake) but carries real reservations: no published valuation and thin fit (1/4) given a single-market, non-differentiated retail brand story.</t>
        </is>
      </c>
      <c r="P8" s="11" t="inlineStr">
        <is>
          <t>Open-category angle: no grocery/retail sponsor currently on the F1 grid, paired with Uzbekistan's rapidly modernizing consumer market and a fresh $110M sovereign-backed expansion round (est) - a thin angle given the domestic-only footprint.</t>
        </is>
      </c>
      <c r="Q8" s="11" t="inlineStr">
        <is>
          <t>no published valuation; minority state/sovereign co-investment (Oman + Abu Dhabi + Uzbekistan state development funds via UzOman/ADUI JVs); figures partly est</t>
        </is>
      </c>
      <c r="R8" s="11" t="inlineStr">
        <is>
          <t>verified-new</t>
        </is>
      </c>
      <c r="S8" s="11" t="inlineStr">
        <is>
          <t>2026-09-28</t>
        </is>
      </c>
    </row>
    <row r="9">
      <c r="A9" s="11" t="n">
        <v>6</v>
      </c>
      <c r="B9" s="11" t="n">
        <v>46</v>
      </c>
      <c r="C9" s="11" t="inlineStr">
        <is>
          <t>Bank of Georgia Group PLC</t>
        </is>
      </c>
      <c r="D9" s="11" t="inlineStr">
        <is>
          <t>bankofgeorgiagroup.com</t>
        </is>
      </c>
      <c r="E9" s="11" t="inlineStr">
        <is>
          <t>Tbilisi, Georgia</t>
        </is>
      </c>
      <c r="F9" s="11" t="inlineStr">
        <is>
          <t>Publicly listed on the LSE (FTSE 100); the group renamed itself Lion Finance Group PLC in Feb 2025 (input's company name kept exactly as given). Broad institutional shareholder base (JPMorgan Asset Management, BlackRock, etc.); no state ownership or PEP control found (searched Sept 2026, en.wikipedia.org/Lion_Finance_Group, marketscreener.com).</t>
        </is>
      </c>
      <c r="G9" s="11" t="inlineStr">
        <is>
          <t>Universal commercial banking (retail, corporate, investment banking) and insurance, plus Armenian banking via subsidiary Ameriabank</t>
        </is>
      </c>
      <c r="H9" s="11" t="inlineStr">
        <is>
          <t>10k+ (~11,000, est per input, not independently re-verified)</t>
        </is>
      </c>
      <c r="I9" s="11" t="inlineStr">
        <is>
          <t>FY2025 revenue GEL 4,303.3M (~$1.6B est. conversion), net income GEL 2,163.2M (searched Sept 2026, marketscreener.com, tipranks.com) - clears $100M bar comfortably</t>
        </is>
      </c>
      <c r="J9" s="11" t="inlineStr">
        <is>
          <t>Market cap ~GBP 4.38B (~$5.5-5.6B) as of 2026 (searched Sept 2026, tradingeconomics.com) - clears $1B bar</t>
        </is>
      </c>
      <c r="K9" s="11" t="inlineStr">
        <is>
          <t>N/A - long-listed public company; periodic share buybacks on the LSE (not a capital raise)</t>
        </is>
      </c>
      <c r="L9" s="11" t="inlineStr">
        <is>
          <t>exceeds - mega-brand</t>
        </is>
      </c>
      <c r="M9" s="11" t="n">
        <v>1</v>
      </c>
      <c r="N9" s="11" t="inlineStr">
        <is>
          <t>Stretch</t>
        </is>
      </c>
      <c r="O9" s="11" t="inlineStr">
        <is>
          <t>Passes all hard filters cleanly (strong revenue/valuation well above the bars, no state/PEP ownership, no F1 conflict, ample capacity, broad customer base) but fit is thin (1/4): only a 2-market footprint (Georgia + Armenia), a generic regional-bank brand story, and banking is an already-saturated F1 sponsor category.</t>
        </is>
      </c>
      <c r="P9" s="11" t="inlineStr">
        <is>
          <t>Growth-market angle: the Caucasus's largest, most profitable bank expanding into Armenia via Ameriabank, framed around financial modernization in an underserved region (est) - a thin angle given the 2-market footprint and saturated banking category.</t>
        </is>
      </c>
      <c r="Q9" s="11" t="inlineStr">
        <is>
          <t>company renamed to Lion Finance Group PLC, Feb 2025 - name kept as given in input per instructions; banking category already saturated on the F1 grid/series</t>
        </is>
      </c>
      <c r="R9" s="11" t="inlineStr">
        <is>
          <t>verified-new</t>
        </is>
      </c>
      <c r="S9" s="11" t="inlineStr">
        <is>
          <t>2026-09-28</t>
        </is>
      </c>
    </row>
    <row r="10">
      <c r="A10" s="11" t="n">
        <v>7</v>
      </c>
      <c r="B10" s="11" t="n">
        <v>46</v>
      </c>
      <c r="C10" s="11" t="inlineStr">
        <is>
          <t>Georgia Capital PLC</t>
        </is>
      </c>
      <c r="D10" s="11" t="inlineStr">
        <is>
          <t>georgiacapital.ge</t>
        </is>
      </c>
      <c r="E10" s="11" t="inlineStr">
        <is>
          <t>Tbilisi, Georgia</t>
        </is>
      </c>
      <c r="F10" s="11" t="inlineStr">
        <is>
          <t>Publicly listed on London Stock Exchange (LSE: CGEO.L); spun off from Bank of Georgia Group in 2018; broad institutional/free-float ownership. No state or PEP stake identified (verified via LSE/company listings, Sept 2026).</t>
        </is>
      </c>
      <c r="G10" s="11" t="inlineStr">
        <is>
          <t>Investment holding company with a portfolio spanning healthcare (GHG), real estate (m2), insurance, renewable energy, water utility and education in Georgia</t>
        </is>
      </c>
      <c r="H10" s="11" t="inlineStr">
        <is>
          <t>10k+</t>
        </is>
      </c>
      <c r="I10" s="11" t="inlineStr">
        <is>
          <t>No single consolidated operating revenue figure (holding company); portfolio-level revenue est. ~$400-500M (est, unconfirmed by search - individual portfolio subsidiaries report separately)</t>
        </is>
      </c>
      <c r="J10" s="11" t="inlineStr">
        <is>
          <t>Market cap ~£1.52B (~$2.0B) as of Sept 2026, LSE: CGEO (source: stockanalysis.com / lse.co.uk, Sept 2026) - clears the $1B hard bar</t>
        </is>
      </c>
      <c r="K10" s="11" t="inlineStr">
        <is>
          <t>N/A - publicly listed since 2018 spin-off</t>
        </is>
      </c>
      <c r="L10" s="11" t="inlineStr">
        <is>
          <t>meets parameters</t>
        </is>
      </c>
      <c r="M10" s="11" t="n">
        <v>1</v>
      </c>
      <c r="N10" s="11" t="inlineStr">
        <is>
          <t>Stretch</t>
        </is>
      </c>
      <c r="O10" s="11" t="inlineStr">
        <is>
          <t>All hard filters pass (valuation ~$2.0B clears the $1B bar, no F1 conflicts found, no state/PEP ownership issue, headcount 10k+), but fit score is only 1/4 - weak brand and audience alignment as a domestic Georgian financial holding company.</t>
        </is>
      </c>
      <c r="P10" s="11" t="inlineStr">
        <is>
          <t>Market-timing/open-category angle: position Georgia Capital as the Caucasus region's flagship investment brand using F1's global stage to signal its transition from a domestic holding company to an internationally recognized institutional investor (est).</t>
        </is>
      </c>
      <c r="Q10" s="11" t="inlineStr">
        <is>
          <t>holding company - a portfolio subsidiary, not the parent, would likely be the real sponsor decision-maker; domestic-Georgia-only revenue base limits a global F1 marketing tie-in</t>
        </is>
      </c>
      <c r="R10" s="11" t="inlineStr">
        <is>
          <t>verified-new</t>
        </is>
      </c>
      <c r="S10" s="11" t="inlineStr">
        <is>
          <t>2026-09-28</t>
        </is>
      </c>
    </row>
  </sheetData>
  <autoFilter ref="A3:S10"/>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S21"/>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SE Asia Private Conglomerates — brand-new sector — 18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"40 SE Asia Private Conglomerate".</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0" t="n">
        <v>1</v>
      </c>
      <c r="B4" s="10" t="n">
        <v>92</v>
      </c>
      <c r="C4" s="10" t="inlineStr">
        <is>
          <t>Vingroup</t>
        </is>
      </c>
      <c r="D4" s="10" t="inlineStr">
        <is>
          <t>vingroup.net</t>
        </is>
      </c>
      <c r="E4" s="10" t="inlineStr">
        <is>
          <t>Hanoi, Vietnam</t>
        </is>
      </c>
      <c r="F4" s="10" t="inlineStr">
        <is>
          <t>Private; founder Pham Nhat Vuong holds majority control via holding entities. Not state-owned.</t>
        </is>
      </c>
      <c r="G4" s="10" t="inlineStr">
        <is>
          <t>Real estate (Vinhomes), retail (Vincom Retail), electric vehicles (VinFast), healthcare</t>
        </is>
      </c>
      <c r="H4" s="10" t="inlineStr">
        <is>
          <t>10k+</t>
        </is>
      </c>
      <c r="I4" s="10" t="inlineStr">
        <is>
          <t>TTM revenue ~$16.1B as of June 30, 2026 (Vingroup JSC, HOSE:VIC; stockanalysis.com/PitchBook); FY2024 revenue 189.07T VND, +17% YoY</t>
        </is>
      </c>
      <c r="J4" s="10" t="inlineStr">
        <is>
          <t>Market cap ~$69.6B as of Sept 16, 2026 (HOSE:VIC); VinFast (Nasdaq:VFS) separately valued at ~$8B market cap / $12B EV as of June 5, 2026</t>
        </is>
      </c>
      <c r="K4" s="10" t="inlineStr">
        <is>
          <t>N/A - publicly listed (VIC on HOSE since 2007; VinFast on Nasdaq via SPAC merger, Aug 2023)</t>
        </is>
      </c>
      <c r="L4" s="10" t="inlineStr">
        <is>
          <t>exceeds - mega-brand</t>
        </is>
      </c>
      <c r="M4" s="10" t="n">
        <v>4</v>
      </c>
      <c r="N4" s="10" t="inlineStr">
        <is>
          <t>Yes</t>
        </is>
      </c>
      <c r="O4" s="10" t="inlineStr">
        <is>
          <t>All hard filters pass: revenue $16.1B and market cap $69.6B far exceed the bars; ownership is private/founder-controlled with no state stake; headcount 50,000+; no current F1 conflict; fit score 4/4.</t>
        </is>
      </c>
      <c r="P4" s="10" t="inlineStr">
        <is>
          <t>VinFast's global EV expansion (US, Europe, Indonesia) pairs naturally with F1's global stage and an open EV/auto-tech sponsor category; the group's past (lapsed) Vietnam GP relationship is a credible re-entry story.</t>
        </is>
      </c>
      <c r="Q4" s="10" t="inlineStr">
        <is>
          <t>VinFast was title sponsor of the 2020 Vietnam GP, which was cancelled and never held and has been off the calendar since - a lapsed relationship, not a current tie; VinFast posted EBITDA of roughly -$2B in its most recent fiscal year despite 62% revenue growth - the EV unit is cash-burning even though the wider group is profitable</t>
        </is>
      </c>
      <c r="R4" s="10" t="inlineStr">
        <is>
          <t>verified-new</t>
        </is>
      </c>
      <c r="S4" s="10" t="inlineStr">
        <is>
          <t>2026-09-28</t>
        </is>
      </c>
    </row>
    <row r="5">
      <c r="A5" s="10" t="n">
        <v>2</v>
      </c>
      <c r="B5" s="10" t="n">
        <v>92</v>
      </c>
      <c r="C5" s="10" t="inlineStr">
        <is>
          <t>YTL Corporation</t>
        </is>
      </c>
      <c r="D5" s="10" t="inlineStr">
        <is>
          <t>ytl.com</t>
        </is>
      </c>
      <c r="E5" s="10" t="inlineStr">
        <is>
          <t>Kuala Lumpur, Malaysia</t>
        </is>
      </c>
      <c r="F5" s="10" t="inlineStr">
        <is>
          <t>Private/family-controlled, Yeoh family; publicly listed on Bursa Malaysia (minority free float); no state ownership, no sanctions/PEP exposure found</t>
        </is>
      </c>
      <c r="G5" s="10" t="inlineStr">
        <is>
          <t>Utilities/power generation, cement, property, hospitality, telecom (Yes 5G), AI/cloud data centers</t>
        </is>
      </c>
      <c r="H5" s="10" t="inlineStr">
        <is>
          <t>10k+</t>
        </is>
      </c>
      <c r="I5" s="10" t="inlineStr">
        <is>
          <t>FY2025 revenue RM30.80B (~$7.6B USD, est FX), up 1% YoY (source: stockanalysis.com/KLSE:YTL, as of Sep 22, 2026)</t>
        </is>
      </c>
      <c r="J5" s="10" t="inlineStr">
        <is>
          <t>YTL Corp standalone market cap RM27.97B (~$6.95B USD); combined with listed subsidiaries (YTL Power, YTL Hospitality REIT, Malayan Cement, Ranhill, CEP) ~RM92.2B (~$22.9B USD) as of Aug 31, 2026 (source: stockanalysis.com, ytl.com investor materials)</t>
        </is>
      </c>
      <c r="K5" s="10" t="inlineStr">
        <is>
          <t>N/A — long-listed conglomerate group (Bursa Malaysia); actively expanding via AI data-center capex, not a funding round</t>
        </is>
      </c>
      <c r="L5" s="10" t="inlineStr">
        <is>
          <t>exceeds - mega-brand</t>
        </is>
      </c>
      <c r="M5" s="10" t="n">
        <v>4</v>
      </c>
      <c r="N5" s="10" t="inlineStr">
        <is>
          <t>Yes</t>
        </is>
      </c>
      <c r="O5" s="10" t="inlineStr">
        <is>
          <t>All hard filters pass comfortably: revenue ~$7.6B, combined group valuation ~$22.9B (well above $1B bar), headcount 30,000+ (est, 10k+ band), momentum/profitability strong (AI data-center-driven re-rating, not distress), broad utility/telecom customer base, no F1 ties found, family-controlled public company with no state/sanctions/PEP exposure. Fit score 4/4 — exceeds parameters by a wide margin.</t>
        </is>
      </c>
      <c r="P5" s="10" t="inlineStr">
        <is>
          <t>Malaysia's leading infrastructure conglomerate riding the AI data-center boom — a clean 'technology/global-ambition' story (precision infrastructure powering AI) for an open category, with momentum from its current market re-rating.</t>
        </is>
      </c>
      <c r="Q5" s="10" t="n"/>
      <c r="R5" s="10" t="inlineStr">
        <is>
          <t>verified-new</t>
        </is>
      </c>
      <c r="S5" s="10" t="inlineStr">
        <is>
          <t>2026-09-28</t>
        </is>
      </c>
    </row>
    <row r="6">
      <c r="A6" s="10" t="n">
        <v>3</v>
      </c>
      <c r="B6" s="10" t="n">
        <v>84</v>
      </c>
      <c r="C6" s="10" t="inlineStr">
        <is>
          <t>Charoen Pokphand Group</t>
        </is>
      </c>
      <c r="D6" s="10" t="inlineStr">
        <is>
          <t>cpgroupglobal.com</t>
        </is>
      </c>
      <c r="E6" s="10" t="inlineStr">
        <is>
          <t>Bangkok, Thailand</t>
        </is>
      </c>
      <c r="F6" s="10" t="inlineStr">
        <is>
          <t>Privately held, Chearavanont family. No state or PEP stake identified.</t>
        </is>
      </c>
      <c r="G6" s="10" t="inlineStr">
        <is>
          <t>Diversified conglomerate: agribusiness/animal feed, food processing (CP Foods), convenience retail (7-Eleven Thailand via CP All), telecom (True Corp), e-commerce</t>
        </is>
      </c>
      <c r="H6" s="10" t="inlineStr">
        <is>
          <t>10k+</t>
        </is>
      </c>
      <c r="I6" s="10" t="inlineStr">
        <is>
          <t>Group revenue ~$111.4B in 2025 (source: web aggregation of CP Group financial reporting, Sept 2026) - far exceeds the $100M hard bar</t>
        </is>
      </c>
      <c r="J6" s="10" t="inlineStr">
        <is>
          <t>Private parent has no single published valuation, but listed arms are independently valued: CP Foods (CPF.BK, ~£13.29B/~$17B FY2024 revenue) and other listed units combined market cap well above $1B (est &gt;$30B per input); valuation established via public subsidiaries, not treated as 'no published valuation'</t>
        </is>
      </c>
      <c r="K6" s="10" t="inlineStr">
        <is>
          <t>N/A - established conglomerate; listed subsidiaries (CP Foods, CP All, True Corp) trade publicly</t>
        </is>
      </c>
      <c r="L6" s="10" t="inlineStr">
        <is>
          <t>exceeds - mega-brand</t>
        </is>
      </c>
      <c r="M6" s="10" t="n">
        <v>3</v>
      </c>
      <c r="N6" s="10" t="inlineStr">
        <is>
          <t>Yes</t>
        </is>
      </c>
      <c r="O6" s="10" t="inlineStr">
        <is>
          <t>All hard filters pass: revenue ~$111.4B (2025) far exceeds $100M bar, valuation established via multi-billion-dollar listed subsidiaries, no F1 conflicts found, private family ownership with no state/PEP issue, headcount 10k+ (400,000+ est), clearly capacity to spend, broad multi-market consumer/B2B audience. Fit score 3/4.</t>
        </is>
      </c>
      <c r="P6" s="10" t="inlineStr">
        <is>
          <t>Position CP Group as a blank-slate mega-conglomerate entrant spanning agribusiness to telecom - align its 'Kitchen of the World' and digital-transformation (True Corp 5G) narratives with F1's global technology and precision-engineering story (est).</t>
        </is>
      </c>
      <c r="Q6" s="10" t="inlineStr">
        <is>
          <t>conglomerate structure - unclear which listed/private arm would be the actual sponsor decision-maker</t>
        </is>
      </c>
      <c r="R6" s="10" t="inlineStr">
        <is>
          <t>verified-new</t>
        </is>
      </c>
      <c r="S6" s="10" t="inlineStr">
        <is>
          <t>2026-09-28</t>
        </is>
      </c>
    </row>
    <row r="7">
      <c r="A7" s="10" t="n">
        <v>4</v>
      </c>
      <c r="B7" s="10" t="n">
        <v>84</v>
      </c>
      <c r="C7" s="10" t="inlineStr">
        <is>
          <t>Thai Beverage PCL (ThaiBev)</t>
        </is>
      </c>
      <c r="D7" s="10" t="inlineStr">
        <is>
          <t>thaibev.com</t>
        </is>
      </c>
      <c r="E7" s="10" t="inlineStr">
        <is>
          <t>Bangkok, Thailand (dual-listed Singapore)</t>
        </is>
      </c>
      <c r="F7" s="10" t="inlineStr">
        <is>
          <t>Majority owned by the Sirivadhanabhakdi family (TCC Group); listed on SGX (free float minority). No state or PEP stake identified.</t>
        </is>
      </c>
      <c r="G7" s="10" t="inlineStr">
        <is>
          <t>Beer, spirits, non-alcoholic beverages, snack foods (Chang, Oishi, Grand Royal, F&amp;N stake)</t>
        </is>
      </c>
      <c r="H7" s="10" t="inlineStr">
        <is>
          <t>10k+</t>
        </is>
      </c>
      <c r="I7" s="10" t="inlineStr">
        <is>
          <t>THB 334.70B in FY2025 (~$9.56B at ~35 THB/USD), down 2.03% YoY (source: stockanalysis.com, Sept 2026) - far exceeds the $100M hard bar</t>
        </is>
      </c>
      <c r="J7" s="10" t="inlineStr">
        <is>
          <t>SGX-listed (ticker Y92) market cap ~$8.65-9.48B as of Sept-Oct 2026 (sources: companiesmarketcap.com, tipranks.com) - clears the $1B hard bar</t>
        </is>
      </c>
      <c r="K7" s="10" t="inlineStr">
        <is>
          <t>N/A - publicly listed</t>
        </is>
      </c>
      <c r="L7" s="10" t="inlineStr">
        <is>
          <t>exceeds - mega-brand</t>
        </is>
      </c>
      <c r="M7" s="10" t="n">
        <v>3</v>
      </c>
      <c r="N7" s="10" t="inlineStr">
        <is>
          <t>Yes</t>
        </is>
      </c>
      <c r="O7" s="10" t="inlineStr">
        <is>
          <t>All hard filters pass: revenue ~$9.56B (FY2025) far exceeds $100M bar, market cap ~$8.7-9.5B clears $1B bar, no F1 conflicts found (existing sponsorships are football - Everton FC 2004-2017, Thai national team - not F1), majority family ownership with no state/PEP issue, headcount 10k+, profitable mass-market and premium consumer base. Fit score 3/4.</t>
        </is>
      </c>
      <c r="P7" s="10" t="inlineStr">
        <is>
          <t>Southeast Asia's dominant beverage powerhouse already sponsors global football (Everton, Thai national team) - natural extension into F1's premium global platform via an open beverage/alcohol category, leveraging multi-market distribution across UK/China/SEA (est).</t>
        </is>
      </c>
      <c r="Q7" s="10" t="inlineStr">
        <is>
          <t>compliance-frame (alcohol); FY2025 revenue declined -2.03% YoY (described as modest, not distress)</t>
        </is>
      </c>
      <c r="R7" s="10" t="inlineStr">
        <is>
          <t>verified-new</t>
        </is>
      </c>
      <c r="S7" s="10" t="inlineStr">
        <is>
          <t>2026-09-28</t>
        </is>
      </c>
    </row>
    <row r="8">
      <c r="A8" s="10" t="n">
        <v>5</v>
      </c>
      <c r="B8" s="10" t="n">
        <v>84</v>
      </c>
      <c r="C8" s="10" t="inlineStr">
        <is>
          <t>Central Group</t>
        </is>
      </c>
      <c r="D8" s="10" t="inlineStr">
        <is>
          <t>centralgroup.com</t>
        </is>
      </c>
      <c r="E8" s="10" t="inlineStr">
        <is>
          <t>Bangkok, Thailand</t>
        </is>
      </c>
      <c r="F8" s="10" t="inlineStr">
        <is>
          <t>Privately held, Chirathivat family; Central Retail Corporation is a minority-float listed arm (SET: CRC). No state or PEP stake identified.</t>
        </is>
      </c>
      <c r="G8" s="10" t="inlineStr">
        <is>
          <t>Department stores, supermarkets, e-commerce, hotels, real estate</t>
        </is>
      </c>
      <c r="H8" s="10" t="inlineStr">
        <is>
          <t>10k+</t>
        </is>
      </c>
      <c r="I8" s="10" t="inlineStr">
        <is>
          <t>Central Retail Corporation (listed arm) posted THB 262.8B in FY2024 (~$7.3B), up 5.7% YoY (source: Bangkok Post, 2024 results); broader private group revenue estimated higher (~$8-10B+, est) - clears the $100M hard bar</t>
        </is>
      </c>
      <c r="J8" s="10" t="inlineStr">
        <is>
          <t>Central Retail Corporation market cap ~THB 110.4B (~$3.07B) as of recent data (source: web aggregation, 2025-2026); private parent Central Group itself has no single published valuation but the listed arm alone clears the $1B hard bar</t>
        </is>
      </c>
      <c r="K8" s="10" t="inlineStr">
        <is>
          <t>N/A - Central Retail earmarked up to $1.4B for a 2025-2027 expansion plan (self-funded, not external capital raise)</t>
        </is>
      </c>
      <c r="L8" s="10" t="inlineStr">
        <is>
          <t>exceeds - mega-brand</t>
        </is>
      </c>
      <c r="M8" s="10" t="n">
        <v>3</v>
      </c>
      <c r="N8" s="10" t="inlineStr">
        <is>
          <t>Yes</t>
        </is>
      </c>
      <c r="O8" s="10" t="inlineStr">
        <is>
          <t>All hard filters pass: Central Retail Corp revenue ~$7.3B (FY2024) far exceeds $100M bar, listed arm's market cap ~$3.07B clears $1B bar, no F1 conflicts found, private family ownership with no state/PEP issue, headcount 10k+ (70,000+ est), actively expanding (not distressed - $1.4B expansion plan through 2027). Fit score 3/4.</t>
        </is>
      </c>
      <c r="P8" s="10" t="inlineStr">
        <is>
          <t>Southeast Asia's premier omni-channel retail and lifestyle conglomerate (Central Department Store, Central Retail, La Rinascente in Italy) - open 'retail/lifestyle' category on the grid, tying into F1's affluent shopper demographic and Central's active expansion into F1-market countries like Italy and Vietnam (est).</t>
        </is>
      </c>
      <c r="Q8" s="10" t="inlineStr">
        <is>
          <t>conglomerate structure - unclear whether private parent or listed Central Retail arm would be the sponsor decision-maker</t>
        </is>
      </c>
      <c r="R8" s="10" t="inlineStr">
        <is>
          <t>verified-new</t>
        </is>
      </c>
      <c r="S8" s="10" t="inlineStr">
        <is>
          <t>2026-09-28</t>
        </is>
      </c>
    </row>
    <row r="9">
      <c r="A9" s="10" t="n">
        <v>6</v>
      </c>
      <c r="B9" s="10" t="n">
        <v>84</v>
      </c>
      <c r="C9" s="10" t="inlineStr">
        <is>
          <t>Vietjet Aviation</t>
        </is>
      </c>
      <c r="D9" s="10" t="inlineStr">
        <is>
          <t>vietjetair.com</t>
        </is>
      </c>
      <c r="E9" s="10" t="inlineStr">
        <is>
          <t>Hanoi, Vietnam</t>
        </is>
      </c>
      <c r="F9" s="10" t="inlineStr">
        <is>
          <t>Private; founder/chair Nguyen Thi Phuong Thao majority control via Sovico Group. Not state-owned.</t>
        </is>
      </c>
      <c r="G9" s="10" t="inlineStr">
        <is>
          <t>Low-cost passenger airline</t>
        </is>
      </c>
      <c r="H9" s="10" t="inlineStr">
        <is>
          <t>5k-10k</t>
        </is>
      </c>
      <c r="I9" s="10" t="inlineStr">
        <is>
          <t>FY2025 revenue 82.09T VND (~$3.15B est), +13.95% YoY (stockanalysis.com/companiesmarketcap.com)</t>
        </is>
      </c>
      <c r="J9" s="10" t="inlineStr">
        <is>
          <t>Market cap ~$3.41B as of March 23, 2026 (HOSE:VJC; PitchBook)</t>
        </is>
      </c>
      <c r="K9" s="10" t="inlineStr">
        <is>
          <t>N/A - publicly listed since 2017</t>
        </is>
      </c>
      <c r="L9" s="10" t="inlineStr">
        <is>
          <t>meets parameters</t>
        </is>
      </c>
      <c r="M9" s="10" t="n">
        <v>3</v>
      </c>
      <c r="N9" s="10" t="inlineStr">
        <is>
          <t>Yes</t>
        </is>
      </c>
      <c r="O9" s="10" t="inlineStr">
        <is>
          <t>All hard filters pass: revenue ~$3.15B, market cap $3.41B, headcount 7,680 (5k-10k band), no F1 conflict found, private non-state ownership, growing route network signals capacity to spend; fit score 3/4.</t>
        </is>
      </c>
      <c r="P9" s="10" t="inlineStr">
        <is>
          <t>Position Vietjet as F1's growth-market travel partner, tying its rapid international route expansion to F1's global calendar and Southeast Asia's rising fanbase.</t>
        </is>
      </c>
      <c r="Q9" s="10" t="n"/>
      <c r="R9" s="10" t="inlineStr">
        <is>
          <t>verified-new</t>
        </is>
      </c>
      <c r="S9" s="10" t="inlineStr">
        <is>
          <t>2026-09-28</t>
        </is>
      </c>
    </row>
    <row r="10">
      <c r="A10" s="10" t="n">
        <v>7</v>
      </c>
      <c r="B10" s="10" t="n">
        <v>84</v>
      </c>
      <c r="C10" s="10" t="inlineStr">
        <is>
          <t>Ayala Corporation</t>
        </is>
      </c>
      <c r="D10" s="10" t="inlineStr">
        <is>
          <t>ayala.com.ph</t>
        </is>
      </c>
      <c r="E10" s="10" t="inlineStr">
        <is>
          <t>Makati, Philippines</t>
        </is>
      </c>
      <c r="F10" s="10" t="inlineStr">
        <is>
          <t>Private; Zobel de Ayala family control; Mitsubishi Corp holds a minority stake. Not state-owned.</t>
        </is>
      </c>
      <c r="G10" s="10" t="inlineStr">
        <is>
          <t>Real estate (Ayala Land), banking (BPI), telecom (Globe Telecom), water utilities</t>
        </is>
      </c>
      <c r="H10" s="10" t="inlineStr">
        <is>
          <t>10k+</t>
        </is>
      </c>
      <c r="I10" s="10" t="inlineStr">
        <is>
          <t>FY2025 revenue PHP383.64B (~$6.6B est at ~58 PHP/USD), +3.67% YoY (stockanalysis.com)</t>
        </is>
      </c>
      <c r="J10" s="10" t="inlineStr">
        <is>
          <t>Market cap PHP357.76B (~$6.2B est) as of Feb 23, 2026 (stockanalysis.com/finbox)</t>
        </is>
      </c>
      <c r="K10" s="10" t="inlineStr">
        <is>
          <t>N/A - publicly listed</t>
        </is>
      </c>
      <c r="L10" s="10" t="inlineStr">
        <is>
          <t>meets parameters</t>
        </is>
      </c>
      <c r="M10" s="10" t="n">
        <v>3</v>
      </c>
      <c r="N10" s="10" t="inlineStr">
        <is>
          <t>Yes</t>
        </is>
      </c>
      <c r="O10" s="10" t="inlineStr">
        <is>
          <t>All hard filters pass: revenue ~$6.6B, market cap ~$6.2B, no F1 conflict, private non-state ownership (Mitsubishi is only a minority partner), headcount 33,813; fit score 3/4 on the strength of its multi-country digital/telecom/energy portfolio.</t>
        </is>
      </c>
      <c r="P10" s="10" t="inlineStr">
        <is>
          <t>Position Ayala's telecom (Globe) and renewable-energy (AC Energy) growth story as a 'connectivity meets performance' angle, leveraging its expanding India/Malaysia footprint alongside F1's global reach.</t>
        </is>
      </c>
      <c r="Q10" s="10" t="n"/>
      <c r="R10" s="10" t="inlineStr">
        <is>
          <t>verified-new</t>
        </is>
      </c>
      <c r="S10" s="10" t="inlineStr">
        <is>
          <t>2026-09-28</t>
        </is>
      </c>
    </row>
    <row r="11">
      <c r="A11" s="10" t="n">
        <v>8</v>
      </c>
      <c r="B11" s="10" t="n">
        <v>84</v>
      </c>
      <c r="C11" s="10" t="inlineStr">
        <is>
          <t>JG Summit Holdings</t>
        </is>
      </c>
      <c r="D11" s="10" t="inlineStr">
        <is>
          <t>jgsummit.com.ph</t>
        </is>
      </c>
      <c r="E11" s="10" t="inlineStr">
        <is>
          <t>Pasig, Philippines</t>
        </is>
      </c>
      <c r="F11" s="10" t="inlineStr">
        <is>
          <t>Private/family-controlled, Gokongwei family; publicly listed on PSE (minority free float); no state ownership, no sanctions/PEP exposure found</t>
        </is>
      </c>
      <c r="G11" s="10" t="inlineStr">
        <is>
          <t>Diversified conglomerate: branded food &amp; beverage (Universal Robina), budget airline (Cebu Pacific), real estate (Robinsons Land), petrochemicals</t>
        </is>
      </c>
      <c r="H11" s="10" t="inlineStr">
        <is>
          <t>10k+</t>
        </is>
      </c>
      <c r="I11" s="10" t="inlineStr">
        <is>
          <t>FY2025 revenue PHP 368.6B (~$6.4B USD, est FX) — up 9% on ongoing businesses; net income PHP 36.2B, up 67% YoY (source: insiderph.com, stockanalysis.com, reported for full year 2025)</t>
        </is>
      </c>
      <c r="J11" s="10" t="inlineStr">
        <is>
          <t>Market cap PHP 142.45B (~$2.46B USD, est FX) as of Sep 22, 2026 (source: stockanalysis.com/PSE:JGS)</t>
        </is>
      </c>
      <c r="K11" s="10" t="inlineStr">
        <is>
          <t>N/A — long-listed conglomerate (PSE), no recent private raise</t>
        </is>
      </c>
      <c r="L11" s="10" t="inlineStr">
        <is>
          <t>meets parameters</t>
        </is>
      </c>
      <c r="M11" s="10" t="n">
        <v>3</v>
      </c>
      <c r="N11" s="10" t="inlineStr">
        <is>
          <t>Yes</t>
        </is>
      </c>
      <c r="O11" s="10" t="inlineStr">
        <is>
          <t>All hard filters pass: revenue ~$6.4B (&gt;$100M), valuation ~$2.46B (&gt;$1B), headcount 60,000+ (est, 10k+ band), profitable and net income up 67% YoY (not distressed), broad consumer/B2B customer base (not concentrated), no F1 team/series/driver/GP ties found, family ownership with no state/sanctions/PEP exposure. Fit score 3/4.</t>
        </is>
      </c>
      <c r="P11" s="10" t="inlineStr">
        <is>
          <t>Diversified Philippine consumer-to-travel conglomerate anchored by Cebu Pacific (regional airline) — open 'conglomerate/travel' category on the grid, timed to Southeast Asia's growing outbound travel and consumer spending story.</t>
        </is>
      </c>
      <c r="Q11" s="10" t="n"/>
      <c r="R11" s="10" t="inlineStr">
        <is>
          <t>verified-new</t>
        </is>
      </c>
      <c r="S11" s="10" t="inlineStr">
        <is>
          <t>2026-09-28</t>
        </is>
      </c>
    </row>
    <row r="12">
      <c r="A12" s="10" t="n">
        <v>9</v>
      </c>
      <c r="B12" s="10" t="n">
        <v>84</v>
      </c>
      <c r="C12" s="10" t="inlineStr">
        <is>
          <t>Sunway Group</t>
        </is>
      </c>
      <c r="D12" s="10" t="inlineStr">
        <is>
          <t>sunway.com.my</t>
        </is>
      </c>
      <c r="E12" s="10" t="inlineStr">
        <is>
          <t>Selangor, Malaysia</t>
        </is>
      </c>
      <c r="F12" s="10" t="inlineStr">
        <is>
          <t>Private/family-controlled, Jeffrey Cheah family; publicly listed on Bursa Malaysia (Sunway Berhad); no state ownership, no sanctions/PEP exposure found</t>
        </is>
      </c>
      <c r="G12" s="10" t="inlineStr">
        <is>
          <t>Property development, construction, healthcare, education, retail malls</t>
        </is>
      </c>
      <c r="H12" s="10" t="inlineStr">
        <is>
          <t>10k+</t>
        </is>
      </c>
      <c r="I12" s="10" t="inlineStr">
        <is>
          <t>FY2025 revenue RM9.81B (~$2.44B USD, est FX), up 25% YoY; net income RM1.28B, up 16% YoY (source: stockanalysis.com/KLSE:SUNWAY)</t>
        </is>
      </c>
      <c r="J12" s="10" t="inlineStr">
        <is>
          <t>Market cap RM35.7B (~$8.87B USD, est FX) as of late Aug 2026 (source: stockanalysis.com)</t>
        </is>
      </c>
      <c r="K12" s="10" t="inlineStr">
        <is>
          <t>N/A — long-listed conglomerate (Bursa Malaysia)</t>
        </is>
      </c>
      <c r="L12" s="10" t="inlineStr">
        <is>
          <t>meets parameters</t>
        </is>
      </c>
      <c r="M12" s="10" t="n">
        <v>3</v>
      </c>
      <c r="N12" s="10" t="inlineStr">
        <is>
          <t>Yes</t>
        </is>
      </c>
      <c r="O12" s="10" t="inlineStr">
        <is>
          <t>All hard filters pass: revenue ~$2.44B (up 25% YoY), valuation ~$8.87B (well above $1B), headcount 20,000+ (est, 10k+ band), clearly improving profitability (net income +16%), broad B2C/B2B customer base across property/healthcare/education/retail, no F1 ties found, family-controlled public company with no state/sanctions/PEP exposure. Fit score 3/4.</t>
        </is>
      </c>
      <c r="P12" s="10" t="inlineStr">
        <is>
          <t>Malaysian property-healthcare-education conglomerate with regional expansion momentum — open 'urban development/wellness' category, timed to its 25% revenue growth story.</t>
        </is>
      </c>
      <c r="Q12" s="10" t="n"/>
      <c r="R12" s="10" t="inlineStr">
        <is>
          <t>verified-new</t>
        </is>
      </c>
      <c r="S12" s="10" t="inlineStr">
        <is>
          <t>2026-09-28</t>
        </is>
      </c>
    </row>
    <row r="13">
      <c r="A13" s="10" t="n">
        <v>10</v>
      </c>
      <c r="B13" s="10" t="n">
        <v>84</v>
      </c>
      <c r="C13" s="10" t="inlineStr">
        <is>
          <t>Golden Agri-Resources</t>
        </is>
      </c>
      <c r="D13" s="10" t="inlineStr">
        <is>
          <t>goldenagri.com.sg</t>
        </is>
      </c>
      <c r="E13" s="10" t="inlineStr">
        <is>
          <t>Singapore</t>
        </is>
      </c>
      <c r="F13" s="10" t="inlineStr">
        <is>
          <t>Private/family-controlled, Widjaja family (Sinar Mas Group arm); publicly listed on SGX (minority free float); no state ownership, no sanctions/PEP exposure found</t>
        </is>
      </c>
      <c r="G13" s="10" t="inlineStr">
        <is>
          <t>Palm oil plantations, edible oils, agribusiness (global commodity supply chain)</t>
        </is>
      </c>
      <c r="H13" s="10" t="inlineStr">
        <is>
          <t>10k+</t>
        </is>
      </c>
      <c r="I13" s="10" t="inlineStr">
        <is>
          <t>FY2025 TTM revenue ~$12.8-13.0B USD (source: stockanalysis.com/SGX:E5H, Simply Wall St, FY2025 media release Feb 2026)</t>
        </is>
      </c>
      <c r="J13" s="10" t="inlineStr">
        <is>
          <t>Market cap ~$3.35B USD as of Sep 5, 2026 (up from ~$2.48B as of Jun 30, 2025) (source: stockanalysis.com/SGX:E5H)</t>
        </is>
      </c>
      <c r="K13" s="10" t="inlineStr">
        <is>
          <t>N/A — long-listed agribusiness (SGX)</t>
        </is>
      </c>
      <c r="L13" s="10" t="inlineStr">
        <is>
          <t>meets parameters</t>
        </is>
      </c>
      <c r="M13" s="10" t="n">
        <v>3</v>
      </c>
      <c r="N13" s="10" t="inlineStr">
        <is>
          <t>Yes</t>
        </is>
      </c>
      <c r="O13" s="10" t="inlineStr">
        <is>
          <t>All hard filters pass: revenue ~$12.8B (far above $100M), valuation ~$3.35B (above $1B), headcount 30,000+ (est, 10k+ band), profitable ('sustains strong performance' FY2025 release) though margins are thin, broad global B2B customer base (not concentrated), no F1 ties found, family-controlled public company with no state/sanctions/PEP exposure. Fit score 3/4.</t>
        </is>
      </c>
      <c r="P13" s="10" t="inlineStr">
        <is>
          <t>Global palm-oil/agribusiness supply-chain leader — a 'precision agriculture and global logistics' angle, open commodities/agribusiness category on the grid.</t>
        </is>
      </c>
      <c r="Q13" s="10" t="inlineStr">
        <is>
          <t>thin operating margin (~3.1% per Simply Wall St FY2025 analysis) despite large revenue base — commodity price sensitivity</t>
        </is>
      </c>
      <c r="R13" s="10" t="inlineStr">
        <is>
          <t>verified-new</t>
        </is>
      </c>
      <c r="S13" s="10" t="inlineStr">
        <is>
          <t>2026-09-28</t>
        </is>
      </c>
    </row>
    <row r="14">
      <c r="A14" s="11" t="n">
        <v>11</v>
      </c>
      <c r="B14" s="11" t="n">
        <v>64</v>
      </c>
      <c r="C14" s="11" t="inlineStr">
        <is>
          <t>Siam Cement Group (SCG)</t>
        </is>
      </c>
      <c r="D14" s="11" t="inlineStr">
        <is>
          <t>scg.com</t>
        </is>
      </c>
      <c r="E14" s="11" t="inlineStr">
        <is>
          <t>Bangkok, Thailand</t>
        </is>
      </c>
      <c r="F14" s="11" t="inlineStr">
        <is>
          <t>Crown Property Bureau (Thai royal institution) holds a confirmed ~33.5% minority stake as of Dec 31, 2023 (making it the largest single shareholder); remainder is free float/institutional. Minority - not majority - royal/state stake.</t>
        </is>
      </c>
      <c r="G14" s="11" t="inlineStr">
        <is>
          <t>Cement and building materials, chemicals, packaging</t>
        </is>
      </c>
      <c r="H14" s="11" t="inlineStr">
        <is>
          <t>10k+</t>
        </is>
      </c>
      <c r="I14" s="11" t="inlineStr">
        <is>
          <t>US$15.1B in 2025, down 3% YoY (partly a currency effect from Thai baht appreciation); adjusted EBITDA rose 6% to $1.7B (source: cemnet.com / vir.com.vn, 2025 results) - far exceeds the $100M hard bar</t>
        </is>
      </c>
      <c r="J14" s="11" t="inlineStr">
        <is>
          <t>SET-listed (ticker SCC) market cap ~THB 313.2B (~$8.7B) as of Sept 28, 2026 (source: SET.or.th / TradingView) - clears the $1B hard bar</t>
        </is>
      </c>
      <c r="K14" s="11" t="inlineStr">
        <is>
          <t>N/A - publicly listed, long-established</t>
        </is>
      </c>
      <c r="L14" s="11" t="inlineStr">
        <is>
          <t>exceeds - mega-brand</t>
        </is>
      </c>
      <c r="M14" s="11" t="n">
        <v>4</v>
      </c>
      <c r="N14" s="11" t="inlineStr">
        <is>
          <t>Stretch</t>
        </is>
      </c>
      <c r="O14" s="11" t="inlineStr">
        <is>
          <t>All hard filters pass (revenue $15.1B in 2025, market cap ~$8.7B clears $1B bar, no F1 conflicts found, headcount 10k+, EBITDA improving/not in distress) and fit score is a strong 4/4, but the Crown Property Bureau's confirmed ~33.5% minority state/royal stake caps this at Stretch per policy.</t>
        </is>
      </c>
      <c r="P14" s="11" t="inlineStr">
        <is>
          <t>Position SCG as the engineering/materials-science backbone of ASEAN infrastructure and green construction - align its advanced-materials and sustainability innovation story with F1's precision-engineering narrative, in an open industrial-materials category, timed with its chemicals/packaging export growth into F1 markets (est).</t>
        </is>
      </c>
      <c r="Q14" s="11" t="inlineStr">
        <is>
          <t>minority royal/state stake (Crown Property Bureau, ~33.5% as of Dec 2023); B2B industrial buyer base - more distributor/construction-industry facing than consumer-facing</t>
        </is>
      </c>
      <c r="R14" s="11" t="inlineStr">
        <is>
          <t>verified-new</t>
        </is>
      </c>
      <c r="S14" s="11" t="inlineStr">
        <is>
          <t>2026-09-28</t>
        </is>
      </c>
    </row>
    <row r="15">
      <c r="A15" s="11" t="n">
        <v>12</v>
      </c>
      <c r="B15" s="11" t="n">
        <v>58</v>
      </c>
      <c r="C15" s="11" t="inlineStr">
        <is>
          <t>Hoa Phat Group</t>
        </is>
      </c>
      <c r="D15" s="11" t="inlineStr">
        <is>
          <t>hoaphat.com.vn</t>
        </is>
      </c>
      <c r="E15" s="11" t="inlineStr">
        <is>
          <t>Hanoi, Vietnam</t>
        </is>
      </c>
      <c r="F15" s="11" t="inlineStr">
        <is>
          <t>Private; founder Tran Dinh Long majority control. Not state-owned.</t>
        </is>
      </c>
      <c r="G15" s="11" t="inlineStr">
        <is>
          <t>Steel manufacturing, industrial and agricultural products</t>
        </is>
      </c>
      <c r="H15" s="11" t="inlineStr">
        <is>
          <t>10k+</t>
        </is>
      </c>
      <c r="I15" s="11" t="inlineStr">
        <is>
          <t>FY2025 revenue VND158.33T (~$6.09B), 93% of annual target; net profit ~$596M, +3% vs plan (steelorbis.com/theinvestor.vn)</t>
        </is>
      </c>
      <c r="J15" s="11" t="inlineStr">
        <is>
          <t>Market cap ~$6.53B as of Aug 24, 2026 (HOSE:HPG; PitchBook)</t>
        </is>
      </c>
      <c r="K15" s="11" t="inlineStr">
        <is>
          <t>N/A - publicly listed</t>
        </is>
      </c>
      <c r="L15" s="11" t="inlineStr">
        <is>
          <t>meets parameters</t>
        </is>
      </c>
      <c r="M15" s="11" t="n">
        <v>3</v>
      </c>
      <c r="N15" s="11" t="inlineStr">
        <is>
          <t>Stretch</t>
        </is>
      </c>
      <c r="O15" s="11" t="inlineStr">
        <is>
          <t>All hard filters pass (revenue $6.09B, market cap $6.53B, no F1 conflict, private non-state ownership, headcount 10k+) but there is a real reservation: a B2B commodity steel brand has only a thin, indirect fit to F1's performance/consumer narrative.</t>
        </is>
      </c>
      <c r="P15" s="11" t="inlineStr">
        <is>
          <t>Materials-engineering/global-ambition story: Southeast Asia's largest steelmaker supplying advanced high-strength steel to automotive and infrastructure - a supply-chain/technology angle rather than a consumer brand angle.</t>
        </is>
      </c>
      <c r="Q15" s="11" t="inlineStr">
        <is>
          <t>Primarily a B2B industrial steel producer, not consumer-facing - input flag confirmed</t>
        </is>
      </c>
      <c r="R15" s="11" t="inlineStr">
        <is>
          <t>verified-new</t>
        </is>
      </c>
      <c r="S15" s="11" t="inlineStr">
        <is>
          <t>2026-09-28</t>
        </is>
      </c>
    </row>
    <row r="16">
      <c r="A16" s="11" t="n">
        <v>13</v>
      </c>
      <c r="B16" s="11" t="n">
        <v>52</v>
      </c>
      <c r="C16" s="11" t="inlineStr">
        <is>
          <t>Sinar Mas Group</t>
        </is>
      </c>
      <c r="D16" s="11" t="inlineStr">
        <is>
          <t>sinarmas.com</t>
        </is>
      </c>
      <c r="E16" s="11" t="inlineStr">
        <is>
          <t>Jakarta, Indonesia</t>
        </is>
      </c>
      <c r="F16" s="11" t="inlineStr">
        <is>
          <t>Private; Widjaja family control. Not state-owned.</t>
        </is>
      </c>
      <c r="G16" s="11" t="inlineStr">
        <is>
          <t>Diversified: pulp &amp; paper (APP), palm oil/agribusiness (Golden Agri-Resources), financial services, telecom, real estate</t>
        </is>
      </c>
      <c r="H16" s="11" t="inlineStr">
        <is>
          <t>10k+</t>
        </is>
      </c>
      <c r="I16" s="11" t="inlineStr">
        <is>
          <t>Golden Agri-Resources (agribusiness arm) FY2025 revenue $16.4B, +19% YoY (company results); PT SMART Tbk TTM revenue $5.27B as of Dec 31, 2025 (PitchBook)</t>
        </is>
      </c>
      <c r="J16" s="11" t="inlineStr">
        <is>
          <t>Golden Agri-Resources (SGX:E5H) market cap ~$3.50B as of May 2026; PT SMART Tbk market cap ~$830M as of March 16, 2026 (companiesmarketcap.com)</t>
        </is>
      </c>
      <c r="K16" s="11" t="inlineStr">
        <is>
          <t>N/A - private parent; public listed arms (GAR, SMART) raise via equity markets, not recent PE/VC rounds</t>
        </is>
      </c>
      <c r="L16" s="11" t="inlineStr">
        <is>
          <t>meets parameters</t>
        </is>
      </c>
      <c r="M16" s="11" t="n">
        <v>2</v>
      </c>
      <c r="N16" s="11" t="inlineStr">
        <is>
          <t>Stretch</t>
        </is>
      </c>
      <c r="O16" s="11" t="inlineStr">
        <is>
          <t>Hard filters pass via listed arms (GAR revenue $16.4B, GAR market cap $3.5B, no F1 conflict, private non-state family ownership) but fit is weak (2/4, commodity B2B narrative) and the deforestation/ESG controversy is a real additional reservation.</t>
        </is>
      </c>
      <c r="P16" s="11" t="inlineStr">
        <is>
          <t>Weak: a sustainability/energy-transition narrative (renewable palm biodiesel) is possible but undercut by deforestation controversy - would need significant reputational groundwork before an F1 pitch.</t>
        </is>
      </c>
      <c r="Q16" s="11" t="inlineStr">
        <is>
          <t>Subsidiaries APP and Golden Agri-Resources have a history of deforestation/community-conflict controversy - a reputational risk under F1/sponsor ESG scrutiny; Group-wide financials are opaque - parent Sinar Mas is unlisted; figures above cover only its public arms (GAR, SMART)</t>
        </is>
      </c>
      <c r="R16" s="11" t="inlineStr">
        <is>
          <t>verified-new</t>
        </is>
      </c>
      <c r="S16" s="11" t="inlineStr">
        <is>
          <t>2026-09-28</t>
        </is>
      </c>
    </row>
    <row r="17">
      <c r="A17" s="11" t="n">
        <v>14</v>
      </c>
      <c r="B17" s="11" t="n">
        <v>52</v>
      </c>
      <c r="C17" s="11" t="inlineStr">
        <is>
          <t>Salim Group</t>
        </is>
      </c>
      <c r="D17" s="11" t="inlineStr">
        <is>
          <t>salimgroup.com</t>
        </is>
      </c>
      <c r="E17" s="11" t="inlineStr">
        <is>
          <t>Jakarta, Indonesia</t>
        </is>
      </c>
      <c r="F17" s="11" t="inlineStr">
        <is>
          <t>Private; Anthoni Salim / Salim family control. Not state-owned.</t>
        </is>
      </c>
      <c r="G17" s="11" t="inlineStr">
        <is>
          <t>Food (Indofood instant noodles), convenience retail (Indomaret), agribusiness, property</t>
        </is>
      </c>
      <c r="H17" s="11" t="inlineStr">
        <is>
          <t>10k+</t>
        </is>
      </c>
      <c r="I17" s="11" t="inlineStr">
        <is>
          <t>Indofood CBP (ICBP) FY2024 consolidated net sales Rp72.60T (~$4.6B est), +7% YoY; 9M2025 sales IDR56.26T (companiesmarketcap.com/Indofood CBP)</t>
        </is>
      </c>
      <c r="J17" s="11" t="inlineStr">
        <is>
          <t>Indofood CBP (IDX:ICBP) market cap ~$5.02B as of Aug 2026 (companiesmarketcap.com)</t>
        </is>
      </c>
      <c r="K17" s="11" t="inlineStr">
        <is>
          <t>N/A - publicly listed</t>
        </is>
      </c>
      <c r="L17" s="11" t="inlineStr">
        <is>
          <t>meets parameters</t>
        </is>
      </c>
      <c r="M17" s="11" t="n">
        <v>2</v>
      </c>
      <c r="N17" s="11" t="inlineStr">
        <is>
          <t>Stretch</t>
        </is>
      </c>
      <c r="O17" s="11" t="inlineStr">
        <is>
          <t>All hard filters pass (ICBP revenue ~$4.6B+, market cap $5.02B, no F1 conflict, private non-state ownership, headcount 10k+ via Indofood) but fit is weak (2/4) with a thin brand-story angle for a mass-market instant-noodle/FMCG business.</t>
        </is>
      </c>
      <c r="P17" s="11" t="inlineStr">
        <is>
          <t>Global recognition play: Indomie is one of the world's best-known instant-noodle brands - could use F1's global audience for an emerging-markets consumer awareness campaign, though the fit to F1's performance narrative is weak.</t>
        </is>
      </c>
      <c r="Q17" s="11" t="n"/>
      <c r="R17" s="11" t="inlineStr">
        <is>
          <t>verified-new</t>
        </is>
      </c>
      <c r="S17" s="11" t="inlineStr">
        <is>
          <t>2026-09-28</t>
        </is>
      </c>
    </row>
    <row r="18">
      <c r="A18" s="11" t="n">
        <v>15</v>
      </c>
      <c r="B18" s="11" t="n">
        <v>52</v>
      </c>
      <c r="C18" s="11" t="inlineStr">
        <is>
          <t>Barito Pacific</t>
        </is>
      </c>
      <c r="D18" s="11" t="inlineStr">
        <is>
          <t>barito-pacific.com</t>
        </is>
      </c>
      <c r="E18" s="11" t="inlineStr">
        <is>
          <t>Jakarta, Indonesia</t>
        </is>
      </c>
      <c r="F18" s="11" t="inlineStr">
        <is>
          <t>Private; Prajogo Pangestu majority control. Not state-owned.</t>
        </is>
      </c>
      <c r="G18" s="11" t="inlineStr">
        <is>
          <t>Petrochemicals (Chandra Asri), renewable/geothermal energy (Barito Renewables, Star Energy), forestry</t>
        </is>
      </c>
      <c r="H18" s="11" t="inlineStr">
        <is>
          <t>5k-10k</t>
        </is>
      </c>
      <c r="I18" s="11" t="inlineStr">
        <is>
          <t>TTM revenue ~$10.1B as of June 30, 2026; FY2025 revenue ~$7.6B (PitchBook/companiesmarketcap.com)</t>
        </is>
      </c>
      <c r="J18" s="11" t="inlineStr">
        <is>
          <t>Market cap ~$9.4B as of Aug 31, 2026 (IDX:BRPT); historical peak &gt;$30B on thin free float - highly volatile (input flag confirmed)</t>
        </is>
      </c>
      <c r="K18" s="11" t="inlineStr">
        <is>
          <t>N/A - publicly listed</t>
        </is>
      </c>
      <c r="L18" s="11" t="inlineStr">
        <is>
          <t>meets parameters</t>
        </is>
      </c>
      <c r="M18" s="11" t="n">
        <v>2</v>
      </c>
      <c r="N18" s="11" t="inlineStr">
        <is>
          <t>Stretch</t>
        </is>
      </c>
      <c r="O18" s="11" t="inlineStr">
        <is>
          <t>Hard filters pass on paper (revenue $7.6-10.1B, market cap $9.4B, no F1 conflict, private non-state ownership) but the valuation is unusually volatile/thin-float and fit is weak (2/4) given Aramco's existing oil/petrochemical presence in F1.</t>
        </is>
      </c>
      <c r="P18" s="11" t="inlineStr">
        <is>
          <t>Energy-transition narrative via Barito Renewables' geothermal growth story, though the traditional petrochemical category overlaps with F1's existing Aramco partnership, weakening the pitch.</t>
        </is>
      </c>
      <c r="Q18" s="11" t="inlineStr">
        <is>
          <t>Extremely thin free float - market cap has swung from single-digit billions to over $30B on low trading volume, making the current valuation figure unreliable; Reported headcount (5,060, Sept 2026) may reflect only the parent holding entity, not the full consolidated Chandra Asri/Star Energy group (est)</t>
        </is>
      </c>
      <c r="R18" s="11" t="inlineStr">
        <is>
          <t>verified-new</t>
        </is>
      </c>
      <c r="S18" s="11" t="inlineStr">
        <is>
          <t>2026-09-28</t>
        </is>
      </c>
    </row>
    <row r="19">
      <c r="A19" s="11" t="n">
        <v>16</v>
      </c>
      <c r="B19" s="11" t="n">
        <v>52</v>
      </c>
      <c r="C19" s="11" t="inlineStr">
        <is>
          <t>SM Investments Corporation</t>
        </is>
      </c>
      <c r="D19" s="11" t="inlineStr">
        <is>
          <t>sminvestments.com</t>
        </is>
      </c>
      <c r="E19" s="11" t="inlineStr">
        <is>
          <t>Pasay, Philippines</t>
        </is>
      </c>
      <c r="F19" s="11" t="inlineStr">
        <is>
          <t>Private; Sy family control. Not state-owned.</t>
        </is>
      </c>
      <c r="G19" s="11" t="inlineStr">
        <is>
          <t>Retail (SM malls, department stores, supermarkets), banking (BDO Unibank), property (SM Prime)</t>
        </is>
      </c>
      <c r="H19" s="11" t="inlineStr">
        <is>
          <t>10k+</t>
        </is>
      </c>
      <c r="I19" s="11" t="inlineStr">
        <is>
          <t>Annual revenue ~$10.4B (most recent data, PitchBook company profile)</t>
        </is>
      </c>
      <c r="J19" s="11" t="inlineStr">
        <is>
          <t>Market cap ~$11.3B as of May 29, 2026 (PSE:SM; PitchBook)</t>
        </is>
      </c>
      <c r="K19" s="11" t="inlineStr">
        <is>
          <t>N/A - publicly listed</t>
        </is>
      </c>
      <c r="L19" s="11" t="inlineStr">
        <is>
          <t>meets parameters</t>
        </is>
      </c>
      <c r="M19" s="11" t="n">
        <v>2</v>
      </c>
      <c r="N19" s="11" t="inlineStr">
        <is>
          <t>Stretch</t>
        </is>
      </c>
      <c r="O19" s="11" t="inlineStr">
        <is>
          <t>All hard filters pass (revenue $10.4B, market cap $11.3B, no F1 conflict, private non-state ownership, headcount 141,000) but fit is weak (2/4) - a domestically-focused retail/banking/property conglomerate with limited global brand relevance.</t>
        </is>
      </c>
      <c r="P19" s="11" t="inlineStr">
        <is>
          <t>Weak: a Philippines market-entry/visibility play tied to F1's growing Southeast Asian fanbase, but the conglomerate lacks the global footprint F1 sponsors typically need.</t>
        </is>
      </c>
      <c r="Q19" s="11" t="inlineStr">
        <is>
          <t>Business is almost entirely domestic to the Philippines - limited international brand recognition for F1's global audience</t>
        </is>
      </c>
      <c r="R19" s="11" t="inlineStr">
        <is>
          <t>verified-new</t>
        </is>
      </c>
      <c r="S19" s="11" t="inlineStr">
        <is>
          <t>2026-09-28</t>
        </is>
      </c>
    </row>
    <row r="20">
      <c r="A20" s="11" t="n">
        <v>17</v>
      </c>
      <c r="B20" s="11" t="n">
        <v>46</v>
      </c>
      <c r="C20" s="11" t="inlineStr">
        <is>
          <t>Masan Group</t>
        </is>
      </c>
      <c r="D20" s="11" t="inlineStr">
        <is>
          <t>masangroup.com</t>
        </is>
      </c>
      <c r="E20" s="11" t="inlineStr">
        <is>
          <t>Ho Chi Minh City, Vietnam</t>
        </is>
      </c>
      <c r="F20" s="11" t="inlineStr">
        <is>
          <t>Private; founder Nguyen Dang Quang majority control; SK Group (Korea) holds a minority stake. Not state-owned.</t>
        </is>
      </c>
      <c r="G20" s="11" t="inlineStr">
        <is>
          <t>Branded consumer packaged goods (instant noodles, sauces via Masan Consumer), retail (WinMart), meat processing</t>
        </is>
      </c>
      <c r="H20" s="11" t="inlineStr">
        <is>
          <t>10k+</t>
        </is>
      </c>
      <c r="I20" s="11" t="inlineStr">
        <is>
          <t>TTM revenue ~$3.20B as of Dec 2025 (companiesmarketcap.com); Q3 2025 earnings up 1.4x YoY, achieved &gt;90% of full-year target (Masan press release)</t>
        </is>
      </c>
      <c r="J20" s="11" t="inlineStr">
        <is>
          <t>Market cap ~$3.89B as of Sept 2026 (HOSE:MSN; companiesmarketcap.com)</t>
        </is>
      </c>
      <c r="K20" s="11" t="inlineStr">
        <is>
          <t>N/A - publicly listed; SK Group minority stake acquired in prior years</t>
        </is>
      </c>
      <c r="L20" s="11" t="inlineStr">
        <is>
          <t>meets parameters</t>
        </is>
      </c>
      <c r="M20" s="11" t="n">
        <v>1</v>
      </c>
      <c r="N20" s="11" t="inlineStr">
        <is>
          <t>Stretch</t>
        </is>
      </c>
      <c r="O20" s="11" t="inlineStr">
        <is>
          <t>All hard filters pass (revenue $3.2B, market cap $3.89B, headcount ~40,834, no F1 conflict, private non-state ownership) but the fit score is weak (1/4) - a largely domestic CPG/retail brand with no clear performance or global-ambition story for F1.</t>
        </is>
      </c>
      <c r="P20" s="11" t="inlineStr">
        <is>
          <t>Weak: WinMart/Masan Consumer could use an F1 Vietnam-market activation to build regional CPG brand awareness, but the brand lacks the global reach or premium positioning F1 audiences typically reward.</t>
        </is>
      </c>
      <c r="Q20" s="11" t="inlineStr">
        <is>
          <t>Primarily a domestic Vietnam consumer business - limited international brand reach for F1's global audience</t>
        </is>
      </c>
      <c r="R20" s="11" t="inlineStr">
        <is>
          <t>verified-new</t>
        </is>
      </c>
      <c r="S20" s="11" t="inlineStr">
        <is>
          <t>2026-09-28</t>
        </is>
      </c>
    </row>
    <row r="21">
      <c r="A21" s="11" t="n">
        <v>18</v>
      </c>
      <c r="B21" s="11" t="n">
        <v>46</v>
      </c>
      <c r="C21" s="11" t="inlineStr">
        <is>
          <t>Sheng Siong Group</t>
        </is>
      </c>
      <c r="D21" s="11" t="inlineStr">
        <is>
          <t>shengsiong.com.sg</t>
        </is>
      </c>
      <c r="E21" s="11" t="inlineStr">
        <is>
          <t>Singapore</t>
        </is>
      </c>
      <c r="F21" s="11" t="inlineStr">
        <is>
          <t>Private/family-founded, Lim family; publicly listed on SGX (minority free float); no state ownership, no sanctions/PEP exposure found</t>
        </is>
      </c>
      <c r="G21" s="11" t="inlineStr">
        <is>
          <t>Supermarket retail chain (88+ stores, Singapore only)</t>
        </is>
      </c>
      <c r="H21" s="11" t="inlineStr">
        <is>
          <t>1k-5k (~2,500 employees per company profile data)</t>
        </is>
      </c>
      <c r="I21" s="11" t="inlineStr">
        <is>
          <t>FY2025 revenue S$1.57B (~$1.17B USD, est FX) (source: minichart.com.sg, companiesmarketcap.com)</t>
        </is>
      </c>
      <c r="J21" s="11" t="inlineStr">
        <is>
          <t>Market cap ~S$4.0B (~$2.98B USD, est FX) as of late 2025/early 2026 (source: stockanalysis.com/SGX:OV8)</t>
        </is>
      </c>
      <c r="K21" s="11" t="inlineStr">
        <is>
          <t>N/A — long-listed retailer (SGX)</t>
        </is>
      </c>
      <c r="L21" s="11" t="inlineStr">
        <is>
          <t>meets parameters</t>
        </is>
      </c>
      <c r="M21" s="11" t="n">
        <v>1</v>
      </c>
      <c r="N21" s="11" t="inlineStr">
        <is>
          <t>Stretch</t>
        </is>
      </c>
      <c r="O21" s="11" t="inlineStr">
        <is>
          <t>All hard financial/compliance filters pass (revenue ~$1.17B, valuation ~$2.98B, headcount ~2,500 in 1k-5k band, profitable domestic retailer, no F1 ties, family ownership with no state/sanctions/PEP exposure), but fit is very weak (1/4): Sheng Siong is a single-market (Singapore-only), budget-positioned domestic supermarket chain with no clear global-ambition or performance/technology brand story — a real reservation on outreach viability despite clean hard-filter results.</t>
        </is>
      </c>
      <c r="P21" s="11" t="inlineStr">
        <is>
          <t>Weak fit overall; if pursued, the only real angle is Singapore Grand Prix home-market visibility (local pride/host-nation retailer), not a global sponsorship story.</t>
        </is>
      </c>
      <c r="Q21" s="11" t="inlineStr">
        <is>
          <t>single-market operator (Singapore only) — no international footprint, unlike most F1 sponsor profiles; note: Singapore GP's own title sponsor is Singapore Airlines, unrelated to Sheng Siong — no conflict, just context</t>
        </is>
      </c>
      <c r="R21" s="11" t="inlineStr">
        <is>
          <t>verified-new</t>
        </is>
      </c>
      <c r="S21" s="11" t="inlineStr">
        <is>
          <t>2026-09-28</t>
        </is>
      </c>
    </row>
  </sheetData>
  <autoFilter ref="A3:S2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S17"/>
  <sheetViews>
    <sheetView workbookViewId="0">
      <pane ySplit="3" topLeftCell="A4"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8" customWidth="1" min="5" max="5"/>
    <col width="40" customWidth="1" min="6" max="6"/>
    <col width="36" customWidth="1" min="7" max="7"/>
    <col width="11" customWidth="1" min="8" max="8"/>
    <col width="55" customWidth="1" min="9" max="9"/>
    <col width="55" customWidth="1" min="10" max="10"/>
    <col width="30" customWidth="1" min="11" max="11"/>
    <col width="16" customWidth="1" min="12" max="12"/>
    <col width="7" customWidth="1" min="13" max="13"/>
    <col width="9" customWidth="1" min="14" max="14"/>
    <col width="70" customWidth="1" min="15" max="15"/>
    <col width="60" customWidth="1" min="16" max="16"/>
    <col width="40" customWidth="1" min="17" max="17"/>
    <col width="14" customWidth="1" min="18" max="18"/>
    <col width="11" customWidth="1" min="19" max="19"/>
  </cols>
  <sheetData>
    <row r="1">
      <c r="A1" s="1" t="inlineStr">
        <is>
          <t>LatAm Consumer &amp; Retail Champions — brand-new sector — 14 verified brands (Yes blue / Stretch amber), ranked by priority</t>
        </is>
      </c>
    </row>
    <row r="2">
      <c r="A2" s="8" t="inlineStr">
        <is>
          <t>Every name here was verified company by company against the v2 parameters (F1 conflict check, revenue &gt;$100M, valuation &gt;$1B or private-partnership rule, ownership, capacity). Blue = Yes, amber = Stretch. Source: F1-Expansion-Book-2026-09.xlsx tab "41 LatAm Consumer &amp; Retail Cham".</t>
        </is>
      </c>
    </row>
    <row r="3" ht="30" customHeight="1">
      <c r="A3" s="9" t="inlineStr">
        <is>
          <t>rank</t>
        </is>
      </c>
      <c r="B3" s="9" t="inlineStr">
        <is>
          <t>priority_score</t>
        </is>
      </c>
      <c r="C3" s="9" t="inlineStr">
        <is>
          <t>company</t>
        </is>
      </c>
      <c r="D3" s="9" t="inlineStr">
        <is>
          <t>domain</t>
        </is>
      </c>
      <c r="E3" s="9" t="inlineStr">
        <is>
          <t>hq</t>
        </is>
      </c>
      <c r="F3" s="9" t="inlineStr">
        <is>
          <t>ownership</t>
        </is>
      </c>
      <c r="G3" s="9" t="inlineStr">
        <is>
          <t>what_it_sells</t>
        </is>
      </c>
      <c r="H3" s="9" t="inlineStr">
        <is>
          <t>headcount_band</t>
        </is>
      </c>
      <c r="I3" s="9" t="inlineStr">
        <is>
          <t>revenue (dated, sourced)</t>
        </is>
      </c>
      <c r="J3" s="9" t="inlineStr">
        <is>
          <t>valuation (dated, sourced)</t>
        </is>
      </c>
      <c r="K3" s="9" t="inlineStr">
        <is>
          <t>latest_raise</t>
        </is>
      </c>
      <c r="L3" s="9" t="inlineStr">
        <is>
          <t>tier</t>
        </is>
      </c>
      <c r="M3" s="9" t="inlineStr">
        <is>
          <t>fit_score</t>
        </is>
      </c>
      <c r="N3" s="9" t="inlineStr">
        <is>
          <t>verdict</t>
        </is>
      </c>
      <c r="O3" s="9" t="inlineStr">
        <is>
          <t>verdict_reason</t>
        </is>
      </c>
      <c r="P3" s="9" t="inlineStr">
        <is>
          <t>best_angle</t>
        </is>
      </c>
      <c r="Q3" s="9" t="inlineStr">
        <is>
          <t>soft_flags</t>
        </is>
      </c>
      <c r="R3" s="9" t="inlineStr">
        <is>
          <t>source</t>
        </is>
      </c>
      <c r="S3" s="9" t="inlineStr">
        <is>
          <t>verified_on</t>
        </is>
      </c>
    </row>
    <row r="4">
      <c r="A4" s="10" t="n">
        <v>1</v>
      </c>
      <c r="B4" s="10" t="n">
        <v>92</v>
      </c>
      <c r="C4" s="10" t="inlineStr">
        <is>
          <t>LATAM Airlines Group</t>
        </is>
      </c>
      <c r="D4" s="10" t="inlineStr">
        <is>
          <t>latamairlines.com</t>
        </is>
      </c>
      <c r="E4" s="10" t="inlineStr">
        <is>
          <t>Santiago, Chile</t>
        </is>
      </c>
      <c r="F4" s="10" t="inlineStr">
        <is>
          <t>Public (NYSE/Santiago: LTM); Cueto family plus Delta Air Lines and Qatar Airways minority stakes; no state ownership</t>
        </is>
      </c>
      <c r="G4" s="10" t="inlineStr">
        <is>
          <t>Full-service passenger and cargo airline, largest in Latin America</t>
        </is>
      </c>
      <c r="H4" s="10" t="inlineStr">
        <is>
          <t>10k+</t>
        </is>
      </c>
      <c r="I4" s="10" t="inlineStr">
        <is>
          <t>$14.5B USD FY2025 (ir.latam.com, reported early 2026), +11.2% YoY</t>
        </is>
      </c>
      <c r="J4" s="10" t="inlineStr">
        <is>
          <t>~$16.64B USD market cap (stockanalysis.com, Feb 2026)</t>
        </is>
      </c>
      <c r="K4" s="10" t="inlineStr">
        <is>
          <t>N/A (post-Chapter 11 restructuring completed 2022)</t>
        </is>
      </c>
      <c r="L4" s="10" t="inlineStr">
        <is>
          <t>exceeds - mega-brand</t>
        </is>
      </c>
      <c r="M4" s="10" t="n">
        <v>4</v>
      </c>
      <c r="N4" s="10" t="inlineStr">
        <is>
          <t>Yes</t>
        </is>
      </c>
      <c r="O4" s="10" t="inlineStr">
        <is>
          <t>All hard filters pass: no F1 team/series/driver/GP sponsorship found (only an unrelated F1-FOX Sports LatAm broadcast distribution deal); revenue $14.5B and market cap ~$16.64B far exceed the bars; net income $1.5B (+49.4% YoY) shows strong, improving profitability, not distress; 30,000+ headcount; 87M+ passengers annually with no customer-concentration risk; no state, sanctioned or PEP ownership. Fit 4/4.</t>
        </is>
      </c>
      <c r="P4" s="10" t="inlineStr">
        <is>
          <t>Post-restructuring turnaround and global-ambition growth story (largest airline group in the Southern Hemisphere), timed to expanding F1 travel demand around the Brazil/Mexico/Miami race weekends.</t>
        </is>
      </c>
      <c r="Q4" s="10" t="n"/>
      <c r="R4" s="10" t="inlineStr">
        <is>
          <t>verified-new</t>
        </is>
      </c>
      <c r="S4" s="10" t="inlineStr">
        <is>
          <t>2026-09-28</t>
        </is>
      </c>
    </row>
    <row r="5">
      <c r="A5" s="10" t="n">
        <v>2</v>
      </c>
      <c r="B5" s="10" t="n">
        <v>84</v>
      </c>
      <c r="C5" s="10" t="inlineStr">
        <is>
          <t>Natura &amp;Co</t>
        </is>
      </c>
      <c r="D5" s="10" t="inlineStr">
        <is>
          <t>naturaeco.com</t>
        </is>
      </c>
      <c r="E5" s="10" t="inlineStr">
        <is>
          <t>Sao Paulo, Brazil</t>
        </is>
      </c>
      <c r="F5" s="10" t="inlineStr">
        <is>
          <t>Publicly listed (B3: NTCO3); founding families (Seabra, Passos, Leal) retain a significant stake; no state ownership, no sanctions/PEP exposure found</t>
        </is>
      </c>
      <c r="G5" s="10" t="inlineStr">
        <is>
          <t>Cosmetics and personal care (Natura, Avon brands)</t>
        </is>
      </c>
      <c r="H5" s="10" t="inlineStr">
        <is>
          <t>10k+</t>
        </is>
      </c>
      <c r="I5" s="10" t="inlineStr">
        <is>
          <t>FY2025 quarterly revenues of R$6.7B (Q1), R$5.194B (Q3, -3.8% YoY constant currency), R$6.2B (Q4) — full-year total est. ~R$23-24B (~$4.4-4.6B USD, est FX); FY2025 net income ~$187M with 14.6% recurring EBITDA margin, up 130bps YoY (source: PRNewswire/Direct Selling News, Mar 2026 FY2025 results)</t>
        </is>
      </c>
      <c r="J5" s="10" t="inlineStr">
        <is>
          <t>Market cap ~$2.71B USD as of May 2026 (source: companiesmarketcap.com/natura-co)</t>
        </is>
      </c>
      <c r="K5" s="10" t="inlineStr">
        <is>
          <t>N/A — long-listed multinational (B3); recently completed corporate streamlining/integration of Natura and Avon brands (2025)</t>
        </is>
      </c>
      <c r="L5" s="10" t="inlineStr">
        <is>
          <t>meets parameters</t>
        </is>
      </c>
      <c r="M5" s="10" t="n">
        <v>3</v>
      </c>
      <c r="N5" s="10" t="inlineStr">
        <is>
          <t>Yes</t>
        </is>
      </c>
      <c r="O5" s="10" t="inlineStr">
        <is>
          <t>Hard filters pass: revenue ~$4.4-4.6B (est, above $100M), valuation ~$2.71B (above $1B), headcount 25,000+ (est, 10k+ band), profitable with improving margins (14.6% EBITDA, up 130bps) despite mixed quarterly revenue, broad multinational consumer base, no F1 ties found, founder/public ownership with no state/sanctions/PEP exposure. Fit score 3/4.</t>
        </is>
      </c>
      <c r="P5" s="10" t="inlineStr">
        <is>
          <t>Latin America's leading beauty multinational (Natura + Avon) — a glamour/lifestyle angle tied to F1's red-carpet race-weekend audience, open beauty/cosmetics category on the grid.</t>
        </is>
      </c>
      <c r="Q5" s="10" t="inlineStr">
        <is>
          <t>Brazil HQ; revenue softness in some quarters (Q3 2025 -3.8% YoY constant currency) though profitability/margins improving overall</t>
        </is>
      </c>
      <c r="R5" s="10" t="inlineStr">
        <is>
          <t>verified-new</t>
        </is>
      </c>
      <c r="S5" s="10" t="inlineStr">
        <is>
          <t>2026-09-28</t>
        </is>
      </c>
    </row>
    <row r="6">
      <c r="A6" s="10" t="n">
        <v>3</v>
      </c>
      <c r="B6" s="10" t="n">
        <v>84</v>
      </c>
      <c r="C6" s="10" t="inlineStr">
        <is>
          <t>Itau Unibanco</t>
        </is>
      </c>
      <c r="D6" s="10" t="inlineStr">
        <is>
          <t>itau.com.br</t>
        </is>
      </c>
      <c r="E6" s="10" t="inlineStr">
        <is>
          <t>Sao Paulo, Brazil</t>
        </is>
      </c>
      <c r="F6" s="10" t="inlineStr">
        <is>
          <t>Public (B3/NYSE: ITUB); founding families (Egydio de Souza Aranha / Moreira Salles, via Itausa/IUPAR holding) hold control; no state ownership (verified)</t>
        </is>
      </c>
      <c r="G6" s="10" t="inlineStr">
        <is>
          <t>Retail, corporate and investment banking, insurance, asset management, credit cards</t>
        </is>
      </c>
      <c r="H6" s="10" t="inlineStr">
        <is>
          <t>10k+</t>
        </is>
      </c>
      <c r="I6" s="10" t="inlineStr">
        <is>
          <t>~$33.2B USD net revenue FY2025 (stockanalysis.com/macrotrends.net, reported Feb 2026)</t>
        </is>
      </c>
      <c r="J6" s="10" t="inlineStr">
        <is>
          <t>~$75B USD market cap (R$396.5B per stockanalysis.com, Sept 2025) (est conversion)</t>
        </is>
      </c>
      <c r="K6" s="10" t="inlineStr">
        <is>
          <t>N/A (long-established public company)</t>
        </is>
      </c>
      <c r="L6" s="10" t="inlineStr">
        <is>
          <t>exceeds - mega-brand</t>
        </is>
      </c>
      <c r="M6" s="10" t="n">
        <v>3</v>
      </c>
      <c r="N6" s="10" t="inlineStr">
        <is>
          <t>Yes</t>
        </is>
      </c>
      <c r="O6" s="10" t="inlineStr">
        <is>
          <t>All hard filters pass: no F1 team/series/driver/GP conflict found (direct or via parent); revenue ~$33.2B and market cap ~$75B far exceed the $100M/$1B bars; 90,000+ headcount; profitable and growing (net income +5.5% YoY 2025), not in distress; mass consumer/corporate client base with no concentration risk; no state, sanctioned or PEP ownership. Fit 3/4.</t>
        </is>
      </c>
      <c r="P6" s="10" t="inlineStr">
        <is>
          <t>Position Itau as LatAm's flagship financial-services entrant, timed to F1's growing Brazilian fanbase around the Sao Paulo GP, with a private-banking hospitality tier for affluent clients.</t>
        </is>
      </c>
      <c r="Q6" s="10" t="inlineStr">
        <is>
          <t>Brazil HQ</t>
        </is>
      </c>
      <c r="R6" s="10" t="inlineStr">
        <is>
          <t>verified-new</t>
        </is>
      </c>
      <c r="S6" s="10" t="inlineStr">
        <is>
          <t>2026-09-28</t>
        </is>
      </c>
    </row>
    <row r="7">
      <c r="A7" s="10" t="n">
        <v>4</v>
      </c>
      <c r="B7" s="10" t="n">
        <v>84</v>
      </c>
      <c r="C7" s="10" t="inlineStr">
        <is>
          <t>Banco Bradesco</t>
        </is>
      </c>
      <c r="D7" s="10" t="inlineStr">
        <is>
          <t>bradesco.com.br</t>
        </is>
      </c>
      <c r="E7" s="10" t="inlineStr">
        <is>
          <t>Osasco, Brazil</t>
        </is>
      </c>
      <c r="F7" s="10" t="inlineStr">
        <is>
          <t>Public (B3/NYSE: BBDC); Fundacao Bradesco / Cidade de Deus holding structure controls; no state ownership (verified)</t>
        </is>
      </c>
      <c r="G7" s="10" t="inlineStr">
        <is>
          <t>Retail and commercial banking, insurance, asset management</t>
        </is>
      </c>
      <c r="H7" s="10" t="inlineStr">
        <is>
          <t>10k+</t>
        </is>
      </c>
      <c r="I7" s="10" t="inlineStr">
        <is>
          <t>~$35.3B USD FY2025 (investing.com/stockanalysis.com, reported early 2026)</t>
        </is>
      </c>
      <c r="J7" s="10" t="inlineStr">
        <is>
          <t>~$34.7B USD market cap (stockanalysis.com, June 2026)</t>
        </is>
      </c>
      <c r="K7" s="10" t="inlineStr">
        <is>
          <t>N/A (long-established public company)</t>
        </is>
      </c>
      <c r="L7" s="10" t="inlineStr">
        <is>
          <t>exceeds - mega-brand</t>
        </is>
      </c>
      <c r="M7" s="10" t="n">
        <v>3</v>
      </c>
      <c r="N7" s="10" t="inlineStr">
        <is>
          <t>Yes</t>
        </is>
      </c>
      <c r="O7" s="10" t="inlineStr">
        <is>
          <t>No confirmed F1 team/series/driver/GP sponsorship for Bradesco itself (Aston Martin's Brazilian-bank sponsor is Banco Master, a separate, unrelated institution); Bradesco's F1 presence found in searches is marketing/hospitality activation at the Sao Paulo GP, not a sponsorship tie. Revenue ~$35.3B and market cap ~$34.7B clear both hard bars; 80,000+ headcount; profitable; mass consumer base; no state/sanctioned/PEP ownership. Fit 3/4.</t>
        </is>
      </c>
      <c r="P7" s="10" t="inlineStr">
        <is>
          <t>Build on Bradesco's existing marketing presence around the Sao Paulo GP into a formal partnership, targeting the Bradesco Prime affluent segment.</t>
        </is>
      </c>
      <c r="Q7" s="10" t="inlineStr">
        <is>
          <t>Brazil HQ</t>
        </is>
      </c>
      <c r="R7" s="10" t="inlineStr">
        <is>
          <t>verified-new</t>
        </is>
      </c>
      <c r="S7" s="10" t="inlineStr">
        <is>
          <t>2026-09-28</t>
        </is>
      </c>
    </row>
    <row r="8">
      <c r="A8" s="10" t="n">
        <v>5</v>
      </c>
      <c r="B8" s="10" t="n">
        <v>84</v>
      </c>
      <c r="C8" s="10" t="inlineStr">
        <is>
          <t>Grupo Nutresa</t>
        </is>
      </c>
      <c r="D8" s="10" t="inlineStr">
        <is>
          <t>gruponutresa.com</t>
        </is>
      </c>
      <c r="E8" s="10" t="inlineStr">
        <is>
          <t>Medellín, Colombia</t>
        </is>
      </c>
      <c r="F8" s="10" t="inlineStr">
        <is>
          <t>Public (BVC: NUTRESA); ~99.38% effectively controlled by Grupo Gilinski / Erton Holding (Jaime Gilinski Bacal) following the April 2024 tender-offer completion and 2025-26 GEA unwind. No state, sovereign, or sanctioned ownership; no PEP control identified.</t>
        </is>
      </c>
      <c r="G8" s="10" t="inlineStr">
        <is>
          <t>Branded packaged food: chocolate, coffee, cold cuts, biscuits, pasta; ~40% of revenue is international (pan-LatAm/US distribution)</t>
        </is>
      </c>
      <c r="H8" s="10" t="inlineStr">
        <is>
          <t>10k+</t>
        </is>
      </c>
      <c r="I8" s="10" t="inlineStr">
        <is>
          <t>COP 20.6T (~US$5.6B) FY2025, record sales, +10.7% YoY, adjusted EBITDA COP 3.45T (source: company press release via Newswire/Morningstar, early 2026)</t>
        </is>
      </c>
      <c r="J8" s="10" t="inlineStr">
        <is>
          <t>Market cap ~COP 144T (~US$35-36B) as of Sep 2026 (source: stockanalysis.com, financecharts.com). Caveat: Gilinski/Erton holds 99.38% of shares post-tender, so free float is extremely thin — quoted market cap may be distorted by illiquid pricing, but even a heavy discount leaves the company far above the $1B hard bar.</t>
        </is>
      </c>
      <c r="K8" s="10" t="inlineStr">
        <is>
          <t>N/A (established listed company); COP 5.7T (~$1.56B) preferred-share issuance to Erton Holding (Gilinski vehicle) approved 2025/2026 (source: company filings)</t>
        </is>
      </c>
      <c r="L8" s="10" t="inlineStr">
        <is>
          <t>exceeds - mega-brand</t>
        </is>
      </c>
      <c r="M8" s="10" t="n">
        <v>3</v>
      </c>
      <c r="N8" s="10" t="inlineStr">
        <is>
          <t>Yes</t>
        </is>
      </c>
      <c r="O8" s="10" t="inlineStr">
        <is>
          <t>All hard filters pass: revenue $5.6B (&gt;&gt;$100M bar), market cap ~$35B nominal (even heavily discounted for illiquidity, remains far above $1B bar), headcount 10k+, profitable/growing (record sales), mass consumer audience, no F1 team/series/driver ties found, no state/sanctions/PEP ownership. Fit 3/4 (&gt;=2).</t>
        </is>
      </c>
      <c r="P8" s="10" t="inlineStr">
        <is>
          <t>Position as LatAm's flagship packaged-food conglomerate entering a new, internationally-ambitious ownership era (Gilinski) — an open confectionery/snacks category story timed to the ~40% international sales push (est).</t>
        </is>
      </c>
      <c r="Q8" s="10" t="inlineStr">
        <is>
          <t>ownership in flux post-Gilinski tender offer / GEA unwind; quoted market cap likely distorted by illiquid post-tender float (99.38% held by one control group) — treat $ figure as directional, not verified market pricing</t>
        </is>
      </c>
      <c r="R8" s="10" t="inlineStr">
        <is>
          <t>verified-new</t>
        </is>
      </c>
      <c r="S8" s="10" t="inlineStr">
        <is>
          <t>2026-09-28</t>
        </is>
      </c>
    </row>
    <row r="9">
      <c r="A9" s="11" t="n">
        <v>6</v>
      </c>
      <c r="B9" s="11" t="n">
        <v>58</v>
      </c>
      <c r="C9" s="11" t="inlineStr">
        <is>
          <t>Compania Cervecerias Unidas (CCU)</t>
        </is>
      </c>
      <c r="D9" s="11" t="inlineStr">
        <is>
          <t>ccu.cl</t>
        </is>
      </c>
      <c r="E9" s="11" t="inlineStr">
        <is>
          <t>Santiago, Chile</t>
        </is>
      </c>
      <c r="F9" s="11" t="inlineStr">
        <is>
          <t>Public (NYSE/Santiago: CCU); 50/50 joint venture between Quinenco (Luksic family, Chile) and Heineken (Netherlands); no state ownership</t>
        </is>
      </c>
      <c r="G9" s="11" t="inlineStr">
        <is>
          <t>Beer, soft drinks, spirits, water (Cristal, Escudo, Heineken license, wine)</t>
        </is>
      </c>
      <c r="H9" s="11" t="inlineStr">
        <is>
          <t>5k-10k</t>
        </is>
      </c>
      <c r="I9" s="11" t="inlineStr">
        <is>
          <t>~$3.2B USD TTM (ccuinvestor.com Q3 2025 corporate presentation)</t>
        </is>
      </c>
      <c r="J9" s="11" t="inlineStr">
        <is>
          <t>~$2.3B USD market cap (quinenco.cl consolidated filing, Sept 30 2025)</t>
        </is>
      </c>
      <c r="K9" s="11" t="inlineStr">
        <is>
          <t>N/A</t>
        </is>
      </c>
      <c r="L9" s="11" t="inlineStr">
        <is>
          <t>meets parameters</t>
        </is>
      </c>
      <c r="M9" s="11" t="n">
        <v>3</v>
      </c>
      <c r="N9" s="11" t="inlineStr">
        <is>
          <t>Stretch</t>
        </is>
      </c>
      <c r="O9" s="11" t="inlineStr">
        <is>
          <t>Hard filters pass - no F1 conflict found; revenue ~$3.2B and market cap ~$2.3B clear the bars; 8,000+ headcount; mass beverage consumer base; no state ownership. Real reservation: alcohol sponsorship needs compliance-frame review (advertising/broadcast restrictions vary across F1 markets) and Q3 2025 revenue softened 4.1% YoY.</t>
        </is>
      </c>
      <c r="P9" s="11" t="inlineStr">
        <is>
          <t>Heritage beverage story (Cristal, 190+ years of brewing) via a compliance-safe hospitality/paddock-club partnership rather than car livery, leaning into the Chile/Argentina fan base.</t>
        </is>
      </c>
      <c r="Q9" s="11" t="inlineStr">
        <is>
          <t>compliance-frame (alcohol); Q3 2025 revenue down 4.1% YoY on International/Wine segment weakness</t>
        </is>
      </c>
      <c r="R9" s="11" t="inlineStr">
        <is>
          <t>verified-new</t>
        </is>
      </c>
      <c r="S9" s="11" t="inlineStr">
        <is>
          <t>2026-09-28</t>
        </is>
      </c>
    </row>
    <row r="10">
      <c r="A10" s="11" t="n">
        <v>7</v>
      </c>
      <c r="B10" s="11" t="n">
        <v>58</v>
      </c>
      <c r="C10" s="11" t="inlineStr">
        <is>
          <t>Avianca Group International</t>
        </is>
      </c>
      <c r="D10" s="11" t="inlineStr">
        <is>
          <t>avianca.com</t>
        </is>
      </c>
      <c r="E10" s="11" t="inlineStr">
        <is>
          <t>Bogotá, Colombia</t>
        </is>
      </c>
      <c r="F10" s="11" t="inlineStr">
        <is>
          <t>Private, multi-shareholder structure under parent Abra Group: Constantino family (GOL/Brazil founders) ~33.4%, Kingsland Holdings/Roberto Kriete ~16.3%, Quiroga family ~15%, Elliott Management ~12%, United Airlines ~8.8% (post-2021 Chapter 11 reorganization). Founding families combined hold a majority (~64.7%); no state ownership, no sanctions/PEP flags identified (source: Halcones y Palomas ownership breakdown, Sep 2026).</t>
        </is>
      </c>
      <c r="G10" s="11" t="inlineStr">
        <is>
          <t>Full-service and low-cost passenger/cargo airline operations across the Americas; Abra Group also owns GOL (Brazil), Wamos Air, and NG Servicios Aéreos</t>
        </is>
      </c>
      <c r="H10" s="11" t="inlineStr">
        <is>
          <t>10k+</t>
        </is>
      </c>
      <c r="I10" s="11" t="inlineStr">
        <is>
          <t>Abra Group (parent) reported &gt;US$9.7B revenue for FY2025, 71M passengers, 30,000 employees, 15%+ YoY growth (source: company FY2025 disclosures / Investing.com Q4 2025 earnings call transcript)</t>
        </is>
      </c>
      <c r="J10" s="11" t="inlineStr">
        <is>
          <t>No confirmed published valuation found. Private company; confidentially filed for a US IPO (announced July 2024), timing/pricing not yet set as of Sep 2026. Raised/received ~$1.4B in exit financing during the 2021-2022 Chapter 11 restructuring (source: ch-aviation, Forge/PitchBook profile).</t>
        </is>
      </c>
      <c r="K10" s="11" t="inlineStr">
        <is>
          <t>~$1.4B exit/restructuring financing (2021-22, post-Chapter 11); US IPO process initiated 2024, not completed as of Sep 2026 (est timing uncertain)</t>
        </is>
      </c>
      <c r="L10" s="11" t="inlineStr">
        <is>
          <t>exceeds - mega-brand</t>
        </is>
      </c>
      <c r="M10" s="11" t="n">
        <v>3</v>
      </c>
      <c r="N10" s="11" t="inlineStr">
        <is>
          <t>Stretch</t>
        </is>
      </c>
      <c r="O10" s="11" t="inlineStr">
        <is>
          <t>Revenue hard bar passes decisively (~$9.7B FY2025, group-wide). No published valuation exists for this private, multi-investor entity (not a clean family-owned pass-through given Elliott/United involvement), so this is capped at Stretch pending a real number. No F1 conflicts found; ownership carries no state/sanctions exposure; fit 3/4.</t>
        </is>
      </c>
      <c r="P10" s="11" t="inlineStr">
        <is>
          <t>LatAm's rebuilt, growth-mode airline group ahead of a US IPO — 'turnaround to global scale' storyline; since the airline category is exclusively held by Qatar Airways at series level, best entry point is likely a team-level or regional partnership rather than a series-level deal (est).</t>
        </is>
      </c>
      <c r="Q10" s="11" t="inlineStr">
        <is>
          <t>no published valuation — hybrid family + institutional (Elliott Management, United Airlines) ownership, not a clean family-owned case; post-Chapter 11 restructuring (2021) — verify sustained profitability trend beyond the reported growth; pending US IPO could change capital structure and sponsorship spend capacity</t>
        </is>
      </c>
      <c r="R10" s="11" t="inlineStr">
        <is>
          <t>verified-new</t>
        </is>
      </c>
      <c r="S10" s="11" t="inlineStr">
        <is>
          <t>2026-09-28</t>
        </is>
      </c>
    </row>
    <row r="11">
      <c r="A11" s="11" t="n">
        <v>8</v>
      </c>
      <c r="B11" s="11" t="n">
        <v>58</v>
      </c>
      <c r="C11" s="11" t="inlineStr">
        <is>
          <t>Intercorp Peru</t>
        </is>
      </c>
      <c r="D11" s="11" t="inlineStr">
        <is>
          <t>intercorp.com.pe</t>
        </is>
      </c>
      <c r="E11" s="11" t="inlineStr">
        <is>
          <t>Lima, Peru</t>
        </is>
      </c>
      <c r="F11" s="11" t="inlineStr">
        <is>
          <t>Private holding company; Rodríguez-Pastor family majority control (Carlos Rodríguez-Pastor, chairman). Listed subsidiaries: Intercorp Financial Services (NYSE: IFS) and InRetail Peru Corp (BVL/OTC). No state ownership, no sanctions/PEP concerns.</t>
        </is>
      </c>
      <c r="G11" s="11" t="inlineStr">
        <is>
          <t>Diversified conglomerate: banking/insurance/wealth (Interbank, IFS), retail (InRetail), education, real estate</t>
        </is>
      </c>
      <c r="H11" s="11" t="inlineStr">
        <is>
          <t>10k+</t>
        </is>
      </c>
      <c r="I11" s="11" t="inlineStr">
        <is>
          <t>S/10.22B (~US$2.7B est) — most recent consolidated holding-level figure found, reported for FY2023 (source: cbonds/company filings); more recent consolidated parent-level figures are not separately published, though listed subsidiaries report strong 2024-2025 results individually</t>
        </is>
      </c>
      <c r="J11" s="11" t="inlineStr">
        <is>
          <t>No separately published valuation for the private parent. Key listed subsidiary Intercorp Financial Services (IFS, NYSE) has a market cap of ~US$6.6B as of Aug 2026; combined with InRetail's ~$3.2-3.8B, the group's listed units alone exceed $9B (source: multiple stock-data sites, 2026) — well above the $1B threshold used as a proxy.</t>
        </is>
      </c>
      <c r="K11" s="11" t="inlineStr">
        <is>
          <t>N/A — established conglomerate; operating subsidiaries are separately publicly traded</t>
        </is>
      </c>
      <c r="L11" s="11" t="inlineStr">
        <is>
          <t>exceeds - mega-brand</t>
        </is>
      </c>
      <c r="M11" s="11" t="n">
        <v>3</v>
      </c>
      <c r="N11" s="11" t="inlineStr">
        <is>
          <t>Stretch</t>
        </is>
      </c>
      <c r="O11" s="11" t="inlineStr">
        <is>
          <t>Hard filters pass on scale (2023 holding-level revenue ~$2.7B; listed subsidiaries alone worth &gt;$9B combined; no state/sanctions ties; no F1 conflicts; fit 3/4), but capped at Stretch: consolidated parent revenue/valuation figures are stale (2023) and not separately published for the private holding entity, and this candidate substantially duplicates InRetail Peru Corp under the same family ownership.</t>
        </is>
      </c>
      <c r="P11" s="11" t="inlineStr">
        <is>
          <t>Peru's largest private conglomerate spanning banking and retail — pitch around Interbank's digital-banking/fintech disruption story (Naranja X-style innovation) as the performance/technology hook (est); note the overlap with InRetail Peru Corp means these are effectively one relationship, not two independent leads.</t>
        </is>
      </c>
      <c r="Q11" s="11" t="inlineStr">
        <is>
          <t>consolidated parent revenue figure is dated (2023) — most recent found in search; no separately published valuation for the private holding co — relying on listed-subsidiary market caps as a proxy; overlaps with InRetail Peru Corp (its own subsidiary, also in this candidate set) — same ownership group, likely a single buying relationship</t>
        </is>
      </c>
      <c r="R11" s="11" t="inlineStr">
        <is>
          <t>verified-new</t>
        </is>
      </c>
      <c r="S11" s="11" t="inlineStr">
        <is>
          <t>2026-09-28</t>
        </is>
      </c>
    </row>
    <row r="12">
      <c r="A12" s="11" t="n">
        <v>9</v>
      </c>
      <c r="B12" s="11" t="n">
        <v>52</v>
      </c>
      <c r="C12" s="11" t="inlineStr">
        <is>
          <t>Grupo Chedraui</t>
        </is>
      </c>
      <c r="D12" s="11" t="inlineStr">
        <is>
          <t>chedraui.com.mx</t>
        </is>
      </c>
      <c r="E12" s="11" t="inlineStr">
        <is>
          <t>Xalapa, Mexico</t>
        </is>
      </c>
      <c r="F12" s="11" t="inlineStr">
        <is>
          <t>Public (BMV: CHDRAUI.B); Chedraui family majority control, minority free float; no state ownership</t>
        </is>
      </c>
      <c r="G12" s="11" t="inlineStr">
        <is>
          <t>Supermarket retail in Mexico and the US (Bodega Latina/El Super, Fiesta Mart, Smart &amp; Final)</t>
        </is>
      </c>
      <c r="H12" s="11" t="inlineStr">
        <is>
          <t>10k+</t>
        </is>
      </c>
      <c r="I12" s="11" t="inlineStr">
        <is>
          <t>~295.3B MXN / ~$16-17B USD FY2025 (stockanalysis.com, 2026)</t>
        </is>
      </c>
      <c r="J12" s="11" t="inlineStr">
        <is>
          <t>~$4.94B USD market cap (stockanalysis.com/disfold.com, Sept 2026)</t>
        </is>
      </c>
      <c r="K12" s="11" t="inlineStr">
        <is>
          <t>N/A</t>
        </is>
      </c>
      <c r="L12" s="11" t="inlineStr">
        <is>
          <t>exceeds - mega-brand</t>
        </is>
      </c>
      <c r="M12" s="11" t="n">
        <v>2</v>
      </c>
      <c r="N12" s="11" t="inlineStr">
        <is>
          <t>Stretch</t>
        </is>
      </c>
      <c r="O12" s="11" t="inlineStr">
        <is>
          <t>Hard filters pass: no F1 conflict found; revenue ~$16-17B and market cap ~$4.94B clear the bars; profitable and growing (~4.8% YoY); 60,000+ headcount; mass consumer base; no state ownership. Real reservation: fit is only 2/4 - a supermarket brand's cross-border growth story is a thin performance/global-ambition angle and its footprint doesn't clearly reach a 3rd F1 market.</t>
        </is>
      </c>
      <c r="P12" s="11" t="inlineStr">
        <is>
          <t>Cross-border retail growth story (Mexico-to-US expansion via El Super/Smart &amp; Final) timed to the Mexico City GP, targeting bicultural US-Mexico shoppers.</t>
        </is>
      </c>
      <c r="Q12" s="11" t="inlineStr">
        <is>
          <t>family-owned; narrow 2-market footprint (fit reservation)</t>
        </is>
      </c>
      <c r="R12" s="11" t="inlineStr">
        <is>
          <t>verified-new</t>
        </is>
      </c>
      <c r="S12" s="11" t="inlineStr">
        <is>
          <t>2026-09-28</t>
        </is>
      </c>
    </row>
    <row r="13">
      <c r="A13" s="11" t="n">
        <v>10</v>
      </c>
      <c r="B13" s="11" t="n">
        <v>52</v>
      </c>
      <c r="C13" s="11" t="inlineStr">
        <is>
          <t>InRetail Peru Corp</t>
        </is>
      </c>
      <c r="D13" s="11" t="inlineStr">
        <is>
          <t>inretail.pe</t>
        </is>
      </c>
      <c r="E13" s="11" t="inlineStr">
        <is>
          <t>Lima, Peru</t>
        </is>
      </c>
      <c r="F13" s="11" t="inlineStr">
        <is>
          <t>Public (BVL: INRETC1, OTC: INREF), subsidiary of Intercorp Retail Inc / Intercorp Peru Ltd (Rodríguez-Pastor family majority control). No state ownership, no sanctions/PEP concerns.</t>
        </is>
      </c>
      <c r="G13" s="11" t="inlineStr">
        <is>
          <t>Supermarkets (Plaza Vea), pharmacies (Inkafarma, Mifarma — Mifarma/Quicorp historically also operated in Ecuador, Bolivia, Colombia), shopping malls, home-improvement (Promart)</t>
        </is>
      </c>
      <c r="H13" s="11" t="inlineStr">
        <is>
          <t>10k+</t>
        </is>
      </c>
      <c r="I13" s="11" t="inlineStr">
        <is>
          <t>S/22.82B (~US$6.1B est) FY2025, +5.24% YoY (source: stockanalysis.com / company Q4'25 financial statements, 2026)</t>
        </is>
      </c>
      <c r="J13" s="11" t="inlineStr">
        <is>
          <t>Market cap ~US$3.16-3.8B as of Sep 2026 (source: stockanalysis.com, investing.com) — clears the $1B hard bar</t>
        </is>
      </c>
      <c r="K13" s="11" t="inlineStr">
        <is>
          <t>N/A — established public company (BVL primary listing, OTC ADR INREF)</t>
        </is>
      </c>
      <c r="L13" s="11" t="inlineStr">
        <is>
          <t>exceeds - mega-brand</t>
        </is>
      </c>
      <c r="M13" s="11" t="n">
        <v>2</v>
      </c>
      <c r="N13" s="11" t="inlineStr">
        <is>
          <t>Stretch</t>
        </is>
      </c>
      <c r="O13" s="11" t="inlineStr">
        <is>
          <t>Hard filters pass: revenue ~$6.1B, market cap ~$3.2-3.8B, private-family/public ownership with no state ties, no F1 conflicts, headcount 10k+, broad mass-market audience. Capped at Stretch because fit is only 2/4 — weak brand-story and affluent-audience alignment for a domestic supermarket/pharmacy conglomerate.</t>
        </is>
      </c>
      <c r="P13" s="11" t="inlineStr">
        <is>
          <t>Peru's dominant multi-format retail/pharmacy platform — a 'first LatAm mass-retail sponsor' angle using loyalty-program/in-store activation to reach millions of everyday shoppers (est); category fit is generic versus performance-branded sponsors already on the grid.</t>
        </is>
      </c>
      <c r="Q13" s="11" t="inlineStr">
        <is>
          <t>fit==2 with weak angles — Peru-concentrated, mass-market consumer base; overlaps with Intercorp Peru (its own parent, also in this candidate set) — same ownership group, likely a single buying relationship</t>
        </is>
      </c>
      <c r="R13" s="11" t="inlineStr">
        <is>
          <t>verified-new</t>
        </is>
      </c>
      <c r="S13" s="11" t="inlineStr">
        <is>
          <t>2026-09-28</t>
        </is>
      </c>
    </row>
    <row r="14">
      <c r="A14" s="11" t="n">
        <v>11</v>
      </c>
      <c r="B14" s="11" t="n">
        <v>52</v>
      </c>
      <c r="C14" s="11" t="inlineStr">
        <is>
          <t>Grupo Financiero Galicia (Banco Galicia)</t>
        </is>
      </c>
      <c r="D14" s="11" t="inlineStr">
        <is>
          <t>grupogalicia.com.ar</t>
        </is>
      </c>
      <c r="E14" s="11" t="inlineStr">
        <is>
          <t>Buenos Aires, Argentina</t>
        </is>
      </c>
      <c r="F14" s="11" t="inlineStr">
        <is>
          <t>Public (NASDAQ: GGAL; BYMA). EBA Holding — wholly owned by the Escasany, Ayerza, and Braun founding families — holds Class A shares representing 17.5% of capital and 51.5% of voting rights. No state ownership, no sanctions/PEP concerns.</t>
        </is>
      </c>
      <c r="G14" s="11" t="inlineStr">
        <is>
          <t>Retail/commercial banking, insurance, consumer finance, digital wallet (Naranja X), wealth management — largest domestically-owned private bank in Argentina</t>
        </is>
      </c>
      <c r="H14" s="11" t="inlineStr">
        <is>
          <t>5k-10k</t>
        </is>
      </c>
      <c r="I14" s="11" t="inlineStr">
        <is>
          <t>ARS 1.75T reported for a recent quarter (source: Nasdaq financials, Mar 2026); precise annualized USD comparison is uncertain due to Argentina's hyperinflation (IAS 29) accounting, but scale is comfortably multi-billion-dollar-equivalent, well above the $100M bar (est)</t>
        </is>
      </c>
      <c r="J14" s="11" t="inlineStr">
        <is>
          <t>Market cap ~US$7.5B (ADR) as of Sep 2026, ranging $5.2-7.6B across sources during 2026 (source: investing.com, wallstreetzen, tipranks) — clears the $1B hard bar</t>
        </is>
      </c>
      <c r="K14" s="11" t="inlineStr">
        <is>
          <t>N/A — established public company</t>
        </is>
      </c>
      <c r="L14" s="11" t="inlineStr">
        <is>
          <t>exceeds - mega-brand</t>
        </is>
      </c>
      <c r="M14" s="11" t="n">
        <v>2</v>
      </c>
      <c r="N14" s="11" t="inlineStr">
        <is>
          <t>Stretch</t>
        </is>
      </c>
      <c r="O14" s="11" t="inlineStr">
        <is>
          <t>Hard filters pass: market cap ~$7.5B, revenue scale well above $100M even adjusting for peso volatility, family/public ownership with no state ties, no F1 conflicts. Capped at Stretch: fit is only 2/4 with weak angles — single-market concentration and a banking category already occupied by Santander.</t>
        </is>
      </c>
      <c r="P14" s="11" t="inlineStr">
        <is>
          <t>Argentina's largest private domestic bank pivoting to digital/fintech (Naranja X) — a 'banking the future' technology story, though it would need a differentiated hook versus Santander's existing F1 Global Partner banking slot (est).</t>
        </is>
      </c>
      <c r="Q14" s="11" t="inlineStr">
        <is>
          <t>single-market (Argentina) concentration; revenue reported in hyperinflation-adjusted pesos — USD comparability uncertain (est); banking/finance category already crowded in F1 (Santander is a Global Partner)</t>
        </is>
      </c>
      <c r="R14" s="11" t="inlineStr">
        <is>
          <t>verified-new</t>
        </is>
      </c>
      <c r="S14" s="11" t="inlineStr">
        <is>
          <t>2026-09-28</t>
        </is>
      </c>
    </row>
    <row r="15">
      <c r="A15" s="11" t="n">
        <v>12</v>
      </c>
      <c r="B15" s="11" t="n">
        <v>46</v>
      </c>
      <c r="C15" s="11" t="inlineStr">
        <is>
          <t>Ambev</t>
        </is>
      </c>
      <c r="D15" s="11" t="inlineStr">
        <is>
          <t>ambev.com.br</t>
        </is>
      </c>
      <c r="E15" s="11" t="inlineStr">
        <is>
          <t>Sao Paulo, Brazil</t>
        </is>
      </c>
      <c r="F15" s="11" t="inlineStr">
        <is>
          <t>Majority owned by Anheuser-Busch InBev (Belgium, private multinational corporation — not state/sovereign); minority free float on B3/NYSE; no sanctions/PEP exposure found</t>
        </is>
      </c>
      <c r="G15" s="11" t="inlineStr">
        <is>
          <t>Beer, soft drinks, malt beverages (Brahma, Skol, Budweiser Brazil/Canada/Argentina license, Guarana Antarctica)</t>
        </is>
      </c>
      <c r="H15" s="11" t="inlineStr">
        <is>
          <t>10k+</t>
        </is>
      </c>
      <c r="I15" s="11" t="inlineStr">
        <is>
          <t>FY2025 revenue $15.9B USD / R$88.24B, net income $2.8B USD / R$15.99B (source: Ambev 20-F FY2025, SEC filing, reported early 2026)</t>
        </is>
      </c>
      <c r="J15" s="11" t="inlineStr">
        <is>
          <t>Market cap ~$45.8-46.9B USD (~R$246.15B) as of Sep 2026 (source: tradingeconomics.com, stockanalysis.com, marketcapof.com)</t>
        </is>
      </c>
      <c r="K15" s="11" t="inlineStr">
        <is>
          <t>N/A — long-listed multinational brewer (B3/NYSE)</t>
        </is>
      </c>
      <c r="L15" s="11" t="inlineStr">
        <is>
          <t>exceeds - mega-brand</t>
        </is>
      </c>
      <c r="M15" s="11" t="n">
        <v>1</v>
      </c>
      <c r="N15" s="11" t="inlineStr">
        <is>
          <t>Stretch</t>
        </is>
      </c>
      <c r="O15" s="11" t="inlineStr">
        <is>
          <t>Hard filters pass with enormous headroom (revenue $15.9B, valuation ~$46B, headcount 30,000+, highly profitable, broad mass-consumer base, no current F1 conflicts — 1980s Fittipaldi sponsorship is long defunct, family/majority-corporate ownership with no state/sanctions/PEP issue), but fit is weak (1/4): beer/alcohol is already an F1 global-partner category (Heineken 0.0), and Ambev's mass-market beer brands don't map to an affluent or performance/technology narrative — a real reservation despite otherwise excellent financial profile.</t>
        </is>
      </c>
      <c r="P15" s="11" t="inlineStr">
        <is>
          <t>If pursued despite the Heineken category overlap, the angle would need to be a non-beer Ambev brand (e.g., a soft-drink/RTD line) or a LatAm-market-specific activation distinct from F1's global beer partner.</t>
        </is>
      </c>
      <c r="Q15" s="11" t="inlineStr">
        <is>
          <t>compliance-frame (alcohol); Brazil HQ; majority foreign-owned by AB InBev (Belgium) — not a state/sanctions concern, informational only; historical F1 tie: Brahma sponsored Emerson Fittipaldi's F1 team 1980-1981, discontinued 1982 — no current tie</t>
        </is>
      </c>
      <c r="R15" s="11" t="inlineStr">
        <is>
          <t>verified-new</t>
        </is>
      </c>
      <c r="S15" s="11" t="inlineStr">
        <is>
          <t>2026-09-28</t>
        </is>
      </c>
    </row>
    <row r="16">
      <c r="A16" s="11" t="n">
        <v>13</v>
      </c>
      <c r="B16" s="11" t="n">
        <v>46</v>
      </c>
      <c r="C16" s="11" t="inlineStr">
        <is>
          <t>Raia Drogasil</t>
        </is>
      </c>
      <c r="D16" s="11" t="inlineStr">
        <is>
          <t>raiadrogasil.com.br</t>
        </is>
      </c>
      <c r="E16" s="11" t="inlineStr">
        <is>
          <t>Sao Paulo, Brazil</t>
        </is>
      </c>
      <c r="F16" s="11" t="inlineStr">
        <is>
          <t>Publicly listed (B3: RADL3); founding families plus free float; no state ownership, no sanctions/PEP exposure found</t>
        </is>
      </c>
      <c r="G16" s="11" t="inlineStr">
        <is>
          <t>Pharmacy retail chain (Droga Raia, Drogasil brands), Brazil-only footprint</t>
        </is>
      </c>
      <c r="H16" s="11" t="inlineStr">
        <is>
          <t>10k+</t>
        </is>
      </c>
      <c r="I16" s="11" t="inlineStr">
        <is>
          <t>FY2025 revenue R$44.25B (~$8.43B USD, est FX), up 13.84% YoY; Q3 2025 gross revenue R$12.1B, up 12.7% YoY with digital revenue up 62% (source: stockanalysis.com/BVMF:RADL3)</t>
        </is>
      </c>
      <c r="J16" s="11" t="inlineStr">
        <is>
          <t>Market cap R$29.92B (~$5.70B USD, est FX) as of Sep 28, 2026 (source: stockanalysis.com/BVMF:RADL3)</t>
        </is>
      </c>
      <c r="K16" s="11" t="inlineStr">
        <is>
          <t>N/A — long-listed retailer (B3)</t>
        </is>
      </c>
      <c r="L16" s="11" t="inlineStr">
        <is>
          <t>meets parameters</t>
        </is>
      </c>
      <c r="M16" s="11" t="n">
        <v>1</v>
      </c>
      <c r="N16" s="11" t="inlineStr">
        <is>
          <t>Stretch</t>
        </is>
      </c>
      <c r="O16" s="11" t="inlineStr">
        <is>
          <t>Hard filters pass strongly (revenue ~$8.43B up ~14% YoY, valuation ~$5.70B, headcount 45,000+ in 10k+ band, clearly profitable and growing, mass national customer base, no F1 ties, founder/public ownership with no state/sanctions/PEP exposure), but fit is weak (1/4): Raia Drogasil is a Brazil-only domestic pharmacy chain with no international presence and no clear performance/technology or affluent-buyer brand story — a real reservation despite an otherwise excellent financial profile.</t>
        </is>
      </c>
      <c r="P16" s="11" t="inlineStr">
        <is>
          <t>Weak fit overall; if pursued, the angle would lean on strong digital-transformation growth (+62% digital revenue) as a 'health-tech modernization' story rather than a traditional global-brand F1 angle.</t>
        </is>
      </c>
      <c r="Q16" s="11" t="inlineStr">
        <is>
          <t>Brazil HQ; single-market operator (Brazil only) despite very large scale — no international footprint</t>
        </is>
      </c>
      <c r="R16" s="11" t="inlineStr">
        <is>
          <t>verified-new</t>
        </is>
      </c>
      <c r="S16" s="11" t="inlineStr">
        <is>
          <t>2026-09-28</t>
        </is>
      </c>
    </row>
    <row r="17">
      <c r="A17" s="11" t="n">
        <v>14</v>
      </c>
      <c r="B17" s="11" t="n">
        <v>46</v>
      </c>
      <c r="C17" s="11" t="inlineStr">
        <is>
          <t>Grupo Lala</t>
        </is>
      </c>
      <c r="D17" s="11" t="inlineStr">
        <is>
          <t>grupolala.com</t>
        </is>
      </c>
      <c r="E17" s="11" t="inlineStr">
        <is>
          <t>Torreon, Mexico</t>
        </is>
      </c>
      <c r="F17" s="11" t="inlineStr">
        <is>
          <t>Public with free float (BMV: LALA B); Rangel family majority control; no state ownership</t>
        </is>
      </c>
      <c r="G17" s="11" t="inlineStr">
        <is>
          <t>Dairy products and branded beverages</t>
        </is>
      </c>
      <c r="H17" s="11" t="inlineStr">
        <is>
          <t>10k+</t>
        </is>
      </c>
      <c r="I17" s="11" t="inlineStr">
        <is>
          <t>~100.7B MXN / ~$5.4B USD FY2024 (Opportimes/HR Ratings, reported 2025); 10 consecutive years of sales growth</t>
        </is>
      </c>
      <c r="J17" s="11" t="inlineStr">
        <is>
          <t>~MXN 31.7B / ~$1.6-1.7B USD market cap (tradingeconomics.com, 2026) (est conversion) - thin margin above the $1B bar</t>
        </is>
      </c>
      <c r="K17" s="11" t="inlineStr">
        <is>
          <t>N/A</t>
        </is>
      </c>
      <c r="L17" s="11" t="inlineStr">
        <is>
          <t>meets parameters</t>
        </is>
      </c>
      <c r="M17" s="11" t="n">
        <v>1</v>
      </c>
      <c r="N17" s="11" t="inlineStr">
        <is>
          <t>Stretch</t>
        </is>
      </c>
      <c r="O17" s="11" t="inlineStr">
        <is>
          <t>Hard filters pass but with reservations: no F1 conflict found; revenue ~$5.4B USD clears the bar; market cap only modestly above $1B (~$1.6-1.7B est, thin margin, conversion-sensitive); profitable with 10 straight years of sales growth; 30,000+ headcount; mass consumer base; no state ownership. Fit is weak (1/4) - a dairy brand lacks a strong performance/technology/global-ambition story and isn't confidently present in 3+ F1 markets.</t>
        </is>
      </c>
      <c r="P17" s="11" t="inlineStr">
        <is>
          <t>Nutrition-and-performance angle (dairy/protein fueling athletic performance) via a driver or junior-team partnership, leaning into Mexican national pride around the Mexico City GP.</t>
        </is>
      </c>
      <c r="Q17" s="11" t="inlineStr">
        <is>
          <t>thin margin on $1B valuation bar; weak fit (1/4) - mass consumer-staples brand</t>
        </is>
      </c>
      <c r="R17" s="11" t="inlineStr">
        <is>
          <t>verified-new</t>
        </is>
      </c>
      <c r="S17" s="11" t="inlineStr">
        <is>
          <t>2026-09-28</t>
        </is>
      </c>
    </row>
  </sheetData>
  <autoFilter ref="A3:S17"/>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551"/>
  <sheetViews>
    <sheetView workbookViewId="0">
      <pane ySplit="3" topLeftCell="A4" activePane="bottomLeft" state="frozen"/>
      <selection pane="bottomLeft" activeCell="A1" sqref="A1"/>
    </sheetView>
  </sheetViews>
  <sheetFormatPr baseColWidth="8" defaultRowHeight="15"/>
  <cols>
    <col width="32" customWidth="1" min="1" max="1"/>
    <col width="30" customWidth="1" min="2" max="2"/>
    <col width="16" customWidth="1" min="3" max="3"/>
    <col width="110" customWidth="1" min="4" max="4"/>
  </cols>
  <sheetData>
    <row r="1">
      <c r="A1" s="1" t="inlineStr">
        <is>
          <t>REJECTS - 548 names that failed the parameters during the expansion run</t>
        </is>
      </c>
    </row>
    <row r="2">
      <c r="A2" s="8" t="inlineStr">
        <is>
          <t>Stage = "desk triage" (obvious fail on public facts) or "full verification" (live-searched, company by company). Reason states the filter that failed.</t>
        </is>
      </c>
    </row>
    <row r="3" ht="30" customHeight="1">
      <c r="A3" s="9" t="inlineStr">
        <is>
          <t>company</t>
        </is>
      </c>
      <c r="B3" s="9" t="inlineStr">
        <is>
          <t>sector_tab</t>
        </is>
      </c>
      <c r="C3" s="9" t="inlineStr">
        <is>
          <t>stage</t>
        </is>
      </c>
      <c r="D3" s="9" t="inlineStr">
        <is>
          <t>reason</t>
        </is>
      </c>
    </row>
    <row r="4">
      <c r="A4" s="12" t="inlineStr">
        <is>
          <t>Akuna Capital</t>
        </is>
      </c>
      <c r="B4" s="12" t="inlineStr">
        <is>
          <t>Asset Mgmt, PE &amp; Trading Fir</t>
        </is>
      </c>
      <c r="C4" s="12" t="inlineStr">
        <is>
          <t>full verification</t>
        </is>
      </c>
      <c r="D4" s="12" t="inlineStr">
        <is>
          <t>Fails the audience hard filter: Akuna is a proprietary options market maker that trades only its own capital and has no external customers or investors (confirmed via company description and third-party review), so there is no sponsorship-relevant audience/customer base at all.</t>
        </is>
      </c>
    </row>
    <row r="5">
      <c r="A5" s="12" t="inlineStr">
        <is>
          <t>Eisler Capital</t>
        </is>
      </c>
      <c r="B5" s="12" t="inlineStr">
        <is>
          <t>Asset Mgmt, PE &amp; Trading Fir</t>
        </is>
      </c>
      <c r="C5" s="12" t="inlineStr">
        <is>
          <t>full verification</t>
        </is>
      </c>
      <c r="D5" s="12" t="inlineStr">
        <is>
          <t xml:space="preserve">Hard filter fail — capacity/distress: Eisler Capital announced in September 2025 it would shut its hedge fund business amid weak returns and rising costs, laid off 79 New York staff, and fully wound down the fund by December 31, 2025 (Bloomberg, Hedgeweek, Jan 2026). The firm is not an active going </t>
        </is>
      </c>
    </row>
    <row r="6">
      <c r="A6" s="12" t="inlineStr">
        <is>
          <t>Winton Group</t>
        </is>
      </c>
      <c r="B6" s="12" t="inlineStr">
        <is>
          <t>Asset Mgmt, PE &amp; Trading Fir</t>
        </is>
      </c>
      <c r="C6" s="12" t="inlineStr">
        <is>
          <t>full verification</t>
        </is>
      </c>
      <c r="D6" s="12" t="inlineStr">
        <is>
          <t xml:space="preserve">Fails the capacity-to-spend/scale hard filter: AUM has fallen from a ~$30B peak to just $7-13B (conflicting sources, mid-2025), headcount has shrunk to ~190-204 (bottom of the 51-200 band), and revenue estimates are unreliable and plausibly below the $100M bar. This is a pattern of real contraction </t>
        </is>
      </c>
    </row>
    <row r="7">
      <c r="A7" s="12" t="inlineStr">
        <is>
          <t>Arctos Partners</t>
        </is>
      </c>
      <c r="B7" s="12" t="inlineStr">
        <is>
          <t>Asset Mgmt, PE &amp; Trading Fir</t>
        </is>
      </c>
      <c r="C7" s="12" t="inlineStr">
        <is>
          <t>full verification</t>
        </is>
      </c>
      <c r="D7" s="12" t="inlineStr">
        <is>
          <t>F1 conflict (hard filter fail) — Arctos Partners holds a direct minority equity stake in Aston Martin F1 Team's holding company (AMR Holdings GP), a deal reported to value the team at roughly $1B, and remains an active investor in the team as of 2026.</t>
        </is>
      </c>
    </row>
    <row r="8">
      <c r="A8" s="12" t="inlineStr">
        <is>
          <t>RedBird Capital Partners</t>
        </is>
      </c>
      <c r="B8" s="12" t="inlineStr">
        <is>
          <t>Asset Mgmt, PE &amp; Trading Fir</t>
        </is>
      </c>
      <c r="C8" s="12" t="inlineStr">
        <is>
          <t>full verification</t>
        </is>
      </c>
      <c r="D8" s="12" t="inlineStr">
        <is>
          <t>F1 conflict (hard filter fail) — RedBird Capital holds a direct equity stake in the Alpine F1 Team, part of a ~€200M ($218-220M) consortium investment announced Oct 2023 alongside Ryan Reynolds, Rob McElhenney and others, valuing Alpine Racing at roughly $900M; as of May 2026 RedBird states it inten</t>
        </is>
      </c>
    </row>
    <row r="9">
      <c r="A9" s="12" t="inlineStr">
        <is>
          <t>Keller Williams Realty</t>
        </is>
      </c>
      <c r="B9" s="12" t="inlineStr">
        <is>
          <t>Real Estate &amp; Building Produ</t>
        </is>
      </c>
      <c r="C9" s="12" t="inlineStr">
        <is>
          <t>full verification</t>
        </is>
      </c>
      <c r="D9" s="12" t="inlineStr">
        <is>
          <t>Valuation hard bar cannot be verified: Keller Williams is privately held and founder/management-controlled, not a formally family-owned or employee-owned/cooperative business, so it does not qualify for the family-owned exception, and no published valuation figure was found. Revenue is also unverifi</t>
        </is>
      </c>
    </row>
    <row r="10">
      <c r="A10" s="12" t="inlineStr">
        <is>
          <t>LGI Homes Inc</t>
        </is>
      </c>
      <c r="B10" s="12" t="inlineStr">
        <is>
          <t>Real Estate &amp; Building Produ</t>
        </is>
      </c>
      <c r="C10" s="12" t="inlineStr">
        <is>
          <t>full verification</t>
        </is>
      </c>
      <c r="D10" s="12" t="inlineStr">
        <is>
          <t>Fails the capacity-to-spend hard filter: net income fell from $196.1M (FY2024) to a ~$74M annualized pace through the first 9 months of 2025 (~62% YoY decline), with management guidance citing affordability headwinds and 'mixed economic conditions' — this is a deteriorating trend, not 'profitable or</t>
        </is>
      </c>
    </row>
    <row r="11">
      <c r="A11" s="12" t="inlineStr">
        <is>
          <t>NRW Holdings</t>
        </is>
      </c>
      <c r="B11" s="12" t="inlineStr">
        <is>
          <t>Mining, Metals &amp; Commodities</t>
        </is>
      </c>
      <c r="C11" s="12" t="inlineStr">
        <is>
          <t>full verification</t>
        </is>
      </c>
      <c r="D11" s="12" t="inlineStr">
        <is>
          <t>Audience hard filter fails: sourced reporting confirms revenue is concentrated among a small number of large mining/coal clients, with loss of even one major contract cited as having an outsized earnings impact — the dependence-on-few-customers profile the brief flags as disqualifying for B2B suppli</t>
        </is>
      </c>
    </row>
    <row r="12">
      <c r="A12" s="12" t="inlineStr">
        <is>
          <t>Eramet</t>
        </is>
      </c>
      <c r="B12" s="12" t="inlineStr">
        <is>
          <t>Mining, Metals &amp; Commodities</t>
        </is>
      </c>
      <c r="C12" s="12" t="inlineStr">
        <is>
          <t>full verification</t>
        </is>
      </c>
      <c r="D12" s="12" t="inlineStr">
        <is>
          <t>Fails the capacity-to-spend hard filter: FY2025 net loss of €477M and a publicly announced recapitalization/turnaround plan (Dec 2025) indicate active financial distress, not "profitable or clearly improving" - despite revenue (~€2.9B+) clearing the &gt;$100M bar and market cap ($2.14B) clearing the &gt;$</t>
        </is>
      </c>
    </row>
    <row r="13">
      <c r="A13" s="12" t="inlineStr">
        <is>
          <t>MP Materials</t>
        </is>
      </c>
      <c r="B13" s="12" t="inlineStr">
        <is>
          <t>Mining, Metals &amp; Commodities</t>
        </is>
      </c>
      <c r="C13" s="12" t="inlineStr">
        <is>
          <t>full verification</t>
        </is>
      </c>
      <c r="D13" s="12" t="inlineStr">
        <is>
          <t>Fails the audience hard filter: MP Materials' rare-earth/magnet revenue is concentrated among a small number of large strategic buyers (US DoD, defense primes, automakers, an Apple supply deal) rather than the 'thousands of customers' bar required - a classic B2B/strategic-supplier customer-concentr</t>
        </is>
      </c>
    </row>
    <row r="14">
      <c r="A14" s="12" t="inlineStr">
        <is>
          <t>Salzgitter</t>
        </is>
      </c>
      <c r="B14" s="12" t="inlineStr">
        <is>
          <t>Mining, Metals &amp; Commodities</t>
        </is>
      </c>
      <c r="C14" s="12" t="inlineStr">
        <is>
          <t>full verification</t>
        </is>
      </c>
      <c r="D14" s="12" t="inlineStr">
        <is>
          <t>Fails the capacity-to-spend hard filter: net loss of €69.8M in FY2025 (improved from -€347.9M in FY2024 but still loss-making), revenue down 10.3% YoY, and an active cost-cutting/restructuring program (P28) — explicit distress/cost-cutting posture, despite passing the revenue-size and valuation bars</t>
        </is>
      </c>
    </row>
    <row r="15">
      <c r="A15" s="12" t="inlineStr">
        <is>
          <t>Tata Steel</t>
        </is>
      </c>
      <c r="B15" s="12" t="inlineStr">
        <is>
          <t>Mining, Metals &amp; Commodities</t>
        </is>
      </c>
      <c r="C15" s="12" t="inlineStr">
        <is>
          <t>full verification</t>
        </is>
      </c>
      <c r="D15" s="12" t="inlineStr">
        <is>
          <t>F1 conflict: Tata Communications, a sibling Tata Group company under the shared 'Tata' master brand, is Formula 1's current official broadcast-connectivity partner (renewed 2022, active through 2026, per dtnext.in/Wikipedia); Tata Consultancy Services also has a long-running Ferrari technology-partn</t>
        </is>
      </c>
    </row>
    <row r="16">
      <c r="A16" s="12" t="inlineStr">
        <is>
          <t>Wheaton Precious Metals</t>
        </is>
      </c>
      <c r="B16" s="12" t="inlineStr">
        <is>
          <t>Mining, Metals &amp; Commodities</t>
        </is>
      </c>
      <c r="C16" s="12" t="inlineStr">
        <is>
          <t>full verification</t>
        </is>
      </c>
      <c r="D16" s="12" t="inlineStr">
        <is>
          <t>Headcount hard bar fails: Wheaton had only ~47 employees in 2025 (Revelio Labs/company filings), below the 51-employee minimum, despite massive revenue and valuation.</t>
        </is>
      </c>
    </row>
    <row r="17">
      <c r="A17" s="12" t="inlineStr">
        <is>
          <t>Netafim (Orbia)</t>
        </is>
      </c>
      <c r="B17" s="12" t="inlineStr">
        <is>
          <t>Agriculture &amp; AgTech</t>
        </is>
      </c>
      <c r="C17" s="12" t="inlineStr">
        <is>
          <t>full verification</t>
        </is>
      </c>
      <c r="D17" s="12" t="inlineStr">
        <is>
          <t>Capacity/distress hard filter fails - parent Orbia is under heavy financial pressure ($8.6B debt, negative free cash flow) and is actively running a sale process for Netafim itself (~$1.2-1.5B EV, Chinese bidder reportedly leading, 2026 reporting); segment revenue has declined 3 consecutive years wi</t>
        </is>
      </c>
    </row>
    <row r="18">
      <c r="A18" s="12" t="inlineStr">
        <is>
          <t>Nufarm Limited</t>
        </is>
      </c>
      <c r="B18" s="12" t="inlineStr">
        <is>
          <t>Agriculture &amp; AgTech</t>
        </is>
      </c>
      <c r="C18" s="12" t="inlineStr">
        <is>
          <t>full verification</t>
        </is>
      </c>
      <c r="D18" s="12" t="inlineStr">
        <is>
          <t>Valuation hard filter fails - market cap ~AUD $860M / ~$560M USD (stockanalysis.com, 2025-26 data), below the $1B threshold; compounded by a FY2025 statutory net loss and a Seed Technologies restructuring charge, further weakening the capacity case.</t>
        </is>
      </c>
    </row>
    <row r="19">
      <c r="A19" s="12" t="inlineStr">
        <is>
          <t>PI Industries</t>
        </is>
      </c>
      <c r="B19" s="12" t="inlineStr">
        <is>
          <t>Agriculture &amp; AgTech</t>
        </is>
      </c>
      <c r="C19" s="12" t="inlineStr">
        <is>
          <t>full verification</t>
        </is>
      </c>
      <c r="D19" s="12" t="inlineStr">
        <is>
          <t>Audience hard filter fails - the CSM segment (~76% of total revenue) depends on roughly 20 global innovator customers (18 of the industry's top 20 innovators are PI clients), i.e. dependence on ~20 customers or fewer, which the protocol treats as an automatic No regardless of strong revenue (~$780M)</t>
        </is>
      </c>
    </row>
    <row r="20">
      <c r="A20" s="12" t="inlineStr">
        <is>
          <t>FMC Corporation</t>
        </is>
      </c>
      <c r="B20" s="12" t="inlineStr">
        <is>
          <t>Agriculture &amp; AgTech</t>
        </is>
      </c>
      <c r="C20" s="12" t="inlineStr">
        <is>
          <t>full verification</t>
        </is>
      </c>
      <c r="D20" s="12" t="inlineStr">
        <is>
          <t>Fails the capacity-to-spend hard bar: FMC is a public company showing clear financial distress rather than profitability or improvement — revenue down 18% YoY, market cap down ~75% in a year (stock down ~73% in 52 weeks), and a heavily negative net cash position (-$3.93B). This is not a company posi</t>
        </is>
      </c>
    </row>
    <row r="21">
      <c r="A21" s="12" t="inlineStr">
        <is>
          <t>H&amp;M Group</t>
        </is>
      </c>
      <c r="B21" s="12" t="inlineStr">
        <is>
          <t>Retail &amp; E-commerce</t>
        </is>
      </c>
      <c r="C21" s="12" t="inlineStr">
        <is>
          <t>full verification</t>
        </is>
      </c>
      <c r="D21" s="12" t="inlineStr">
        <is>
          <t>F1 conflict — H&amp;M has an active licensed Formula 1 merchandise partnership, including a 2025-2026 Max Verstappen / Red Bull Racing capsule collection and an Ayrton Senna-branded line, a confirmed tie to a current F1 team and driver.</t>
        </is>
      </c>
    </row>
    <row r="22">
      <c r="A22" s="12" t="inlineStr">
        <is>
          <t>Marks &amp; Spencer</t>
        </is>
      </c>
      <c r="B22" s="12" t="inlineStr">
        <is>
          <t>Retail &amp; E-commerce</t>
        </is>
      </c>
      <c r="C22" s="12" t="inlineStr">
        <is>
          <t>full verification</t>
        </is>
      </c>
      <c r="D22" s="12" t="inlineStr">
        <is>
          <t xml:space="preserve">F1 conflict hard filter fails: M&amp;S is the confirmed official travel kit partner of Atlassian Williams Racing (multi-year deal starting 2026, per fashionunited.com / theindustry.fashion / M&amp;S newsroom, Feb 2026) and holds a separate multi-year Silverstone Circuit partnership spanning its F1 calendar </t>
        </is>
      </c>
    </row>
    <row r="23">
      <c r="A23" s="12" t="inlineStr">
        <is>
          <t>Target</t>
        </is>
      </c>
      <c r="B23" s="12" t="inlineStr">
        <is>
          <t>Retail &amp; E-commerce</t>
        </is>
      </c>
      <c r="C23" s="12" t="inlineStr">
        <is>
          <t>full verification</t>
        </is>
      </c>
      <c r="D23" s="12" t="inlineStr">
        <is>
          <t>Fails the capacity-to-spend hard filter: Target is in active cost-cutting/turnaround mode (1,800 corporate roles cut Oct 2025, ~500 more cut Feb 2026, sales roughly flat for four years, FY2025 net earnings down 9.4%) rather than 'profitable and clearly improving' as the bar requires for a public com</t>
        </is>
      </c>
    </row>
    <row r="24">
      <c r="A24" s="12" t="inlineStr">
        <is>
          <t>Tesco</t>
        </is>
      </c>
      <c r="B24" s="12" t="inlineStr">
        <is>
          <t>Retail &amp; E-commerce</t>
        </is>
      </c>
      <c r="C24" s="12" t="inlineStr">
        <is>
          <t>full verification</t>
        </is>
      </c>
      <c r="D24" s="12" t="inlineStr">
        <is>
          <t>F1 conflict: Tesco has an active partnership/activation with Red Bull Racing - the official 'Tesco F1 Car Tour' (redbull.com/gb-en/tesco-f1-car-tour) and a Tesco Media x Red Bull Racing collaboration - a direct tie to a 2026-grid team.</t>
        </is>
      </c>
    </row>
    <row r="25">
      <c r="A25" s="12" t="inlineStr">
        <is>
          <t>Tata CLiQ (Tata Digital)</t>
        </is>
      </c>
      <c r="B25" s="12" t="inlineStr">
        <is>
          <t>Retail &amp; E-commerce</t>
        </is>
      </c>
      <c r="C25" s="12" t="inlineStr">
        <is>
          <t>full verification</t>
        </is>
      </c>
      <c r="D25" s="12" t="inlineStr">
        <is>
          <t>Two hard filters fail: (1) F1 conflict - sister Tata Group company Tata Communications has an active, ongoing multi-year Formula 1 partnership as F1's broadcast-technology collaborator (Forbes, Sept 2024; corp.formula1.com), and per brief a subsidiary whose parent/group already has an F1 tie is a No</t>
        </is>
      </c>
    </row>
    <row r="26">
      <c r="A26" s="12" t="inlineStr">
        <is>
          <t>Migros</t>
        </is>
      </c>
      <c r="B26" s="12" t="inlineStr">
        <is>
          <t>Retail &amp; E-commerce</t>
        </is>
      </c>
      <c r="C26" s="12" t="inlineStr">
        <is>
          <t>full verification</t>
        </is>
      </c>
      <c r="D26" s="12" t="inlineStr">
        <is>
          <t>F1-fit hard filter fails: Migros' own published sponsorship principles state it sponsors only Switzerland-based events/projects and explicitly refuses to support teams or individual athletes (corporate.migros.ch) — this self-imposed policy rules out any F1 team, series or driver sponsorship regardle</t>
        </is>
      </c>
    </row>
    <row r="27">
      <c r="A27" s="12" t="inlineStr">
        <is>
          <t>Bombardier</t>
        </is>
      </c>
      <c r="B27" s="12" t="inlineStr">
        <is>
          <t>Aviation &amp; Aerospace Supplie</t>
        </is>
      </c>
      <c r="C27" s="12" t="inlineStr">
        <is>
          <t>full verification</t>
        </is>
      </c>
      <c r="D27" s="12" t="inlineStr">
        <is>
          <t>F1 conflict: Bombardier is a listed sponsorship 'Partner' of the Aston Martin Aramco F1 Team (astonmartinf1.com/partner/bombardier), and separately runs a global brand-ambassador program with Mercedes-AMG F1 Team Principal &amp; co-owner Toto Wolff. A direct tie to a current F1 team disqualifies the com</t>
        </is>
      </c>
    </row>
    <row r="28">
      <c r="A28" s="12" t="inlineStr">
        <is>
          <t>Vista Global (VistaJet)</t>
        </is>
      </c>
      <c r="B28" s="12" t="inlineStr">
        <is>
          <t>Aviation &amp; Aerospace Supplie</t>
        </is>
      </c>
      <c r="C28" s="12" t="inlineStr">
        <is>
          <t>full verification</t>
        </is>
      </c>
      <c r="D28" s="12" t="inlineStr">
        <is>
          <t>Fails the F1-conflict hard filter: VistaJet is a confirmed Official Partner of Scuderia Ferrari for the 2026 season (branding on car/helmet/kit, VIP hospitality via Ferrari Paddock Club) - a direct, current sponsorship tie to a 2026-grid team.</t>
        </is>
      </c>
    </row>
    <row r="29">
      <c r="A29" s="12" t="inlineStr">
        <is>
          <t>CCM Hockey</t>
        </is>
      </c>
      <c r="B29" s="12" t="inlineStr">
        <is>
          <t>Sporting Goods &amp; Fitness</t>
        </is>
      </c>
      <c r="C29" s="12" t="inlineStr">
        <is>
          <t>full verification</t>
        </is>
      </c>
      <c r="D29" s="12" t="inlineStr">
        <is>
          <t>Fails the valuation hard filter: the Oct 2024 Altor/Northleaf acquisition valued CCM at ~$450M (Bloomberg range $550-660M), well under the &gt;$1B bar. CCM is PE-owned, not family/employee-owned, so no exception applies. Revenue (~$600M est.) clears its own bar, but valuation does not.</t>
        </is>
      </c>
    </row>
    <row r="30">
      <c r="A30" s="12" t="inlineStr">
        <is>
          <t>Specialized Bicycle Components</t>
        </is>
      </c>
      <c r="B30" s="12" t="inlineStr">
        <is>
          <t>Sporting Goods &amp; Fitness</t>
        </is>
      </c>
      <c r="C30" s="12" t="inlineStr">
        <is>
          <t>full verification</t>
        </is>
      </c>
      <c r="D30" s="12" t="inlineStr">
        <is>
          <t>F1 conflict - Specialized is the official bicycle &amp; e-bicycle partner of the Audi Revolut F1 Team for the 2026-2027 seasons (announced 2026; BikeRadar/Pinkbike/cyclingflash).</t>
        </is>
      </c>
    </row>
    <row r="31">
      <c r="A31" s="12" t="inlineStr">
        <is>
          <t>TaylorMade Golf</t>
        </is>
      </c>
      <c r="B31" s="12" t="inlineStr">
        <is>
          <t>Sporting Goods &amp; Fitness</t>
        </is>
      </c>
      <c r="C31" s="12" t="inlineStr">
        <is>
          <t>full verification</t>
        </is>
      </c>
      <c r="D31" s="12" t="inlineStr">
        <is>
          <t>F1 conflict - TaylorMade has an active, repeated co-branded partnership with Oracle Red Bull Racing (multi-year 'Speed Craft'/'Pursuit' golf collections tied to the team's race cars and drivers, most recently the 2025 collaboration per Forbes/bunkered.co.uk/Golfmagic).</t>
        </is>
      </c>
    </row>
    <row r="32">
      <c r="A32" s="12" t="inlineStr">
        <is>
          <t>Virgin Active</t>
        </is>
      </c>
      <c r="B32" s="12" t="inlineStr">
        <is>
          <t>Sporting Goods &amp; Fitness</t>
        </is>
      </c>
      <c r="C32" s="12" t="inlineStr">
        <is>
          <t>full verification</t>
        </is>
      </c>
      <c r="D32" s="12" t="inlineStr">
        <is>
          <t>Fails the valuation hard bar - Virgin Active is not family-owned (it is majority owned by Brait SE, an investment holding company, not a founding family), and its only published implied valuation (~$550M via Brait's FY2025 carrying value) is well below the $1B hard bar, so it does not qualify for th</t>
        </is>
      </c>
    </row>
    <row r="33">
      <c r="A33" s="12" t="inlineStr">
        <is>
          <t>Frontline plc</t>
        </is>
      </c>
      <c r="B33" s="12" t="inlineStr">
        <is>
          <t>Maritime, Shipping &amp; Ports</t>
        </is>
      </c>
      <c r="C33" s="12" t="inlineStr">
        <is>
          <t>full verification</t>
        </is>
      </c>
      <c r="D33" s="12" t="inlineStr">
        <is>
          <t>Fails the audience hard bar: Frontline is a pure-play crude/product tanker owner whose vessels are chartered to a limited, concentrated set of global oil majors and trading houses (spot and time-charter counterparties), not a broad base of thousands of customers - this is a structural feature of pur</t>
        </is>
      </c>
    </row>
    <row r="34">
      <c r="A34" s="12" t="inlineStr">
        <is>
          <t>Seaspan (Atlas Corp.)</t>
        </is>
      </c>
      <c r="B34" s="12" t="inlineStr">
        <is>
          <t>Maritime, Shipping &amp; Ports</t>
        </is>
      </c>
      <c r="C34" s="12" t="inlineStr">
        <is>
          <t>full verification</t>
        </is>
      </c>
      <c r="D34" s="12" t="inlineStr">
        <is>
          <t>Fails the audience/customer-concentration hard filter: Seaspan charters its 180+ vessel fleet almost entirely to just nine major container liner companies under long-term fixed-rate time charters (SEC 6-K, FY2024) - far short of 'thousands of customers' and squarely inside the 'dependence on ~20 cus</t>
        </is>
      </c>
    </row>
    <row r="35">
      <c r="A35" s="12" t="inlineStr">
        <is>
          <t>Africa Global Logistics (Bollore Group ports)</t>
        </is>
      </c>
      <c r="B35" s="12" t="inlineStr">
        <is>
          <t>Maritime, Shipping &amp; Ports</t>
        </is>
      </c>
      <c r="C35" s="12" t="inlineStr">
        <is>
          <t>full verification</t>
        </is>
      </c>
      <c r="D35" s="12" t="inlineStr">
        <is>
          <t>F1 conflict: parent MSC Group is a confirmed Formula 1 sponsor at multiple levels - official F1 Global Partner since 2022 (via MSC Cruises), premium sponsor of the BWT Alpine F1 Team, and title sponsor of three 2025-2026 Grands Prix (Barcelona/Austrian, United States, Sao Paulo). AGL is majority-own</t>
        </is>
      </c>
    </row>
    <row r="36">
      <c r="A36" s="12" t="inlineStr">
        <is>
          <t>Scorpio Tankers</t>
        </is>
      </c>
      <c r="B36" s="12" t="inlineStr">
        <is>
          <t>Maritime, Shipping &amp; Ports</t>
        </is>
      </c>
      <c r="C36" s="12" t="inlineStr">
        <is>
          <t>full verification</t>
        </is>
      </c>
      <c r="D36" s="12" t="inlineStr">
        <is>
          <t>Headcount hard bar fails: only 24 direct shore-based employees as of FY2024 (seafarers/technical management outsourced to third-party service-provider entities, not directly employed) - below the 51-employee minimum (Scorpio Tankers FY2024 20-F).</t>
        </is>
      </c>
    </row>
    <row r="37">
      <c r="A37" s="12" t="inlineStr">
        <is>
          <t>FCC Environment</t>
        </is>
      </c>
      <c r="B37" s="12" t="inlineStr">
        <is>
          <t>Batteries, EV, Waste &amp; Water</t>
        </is>
      </c>
      <c r="C37" s="12" t="inlineStr">
        <is>
          <t>full verification</t>
        </is>
      </c>
      <c r="D37" s="12" t="inlineStr">
        <is>
          <t>F1 conflict via common ultimate ownership: FCC Environment's parent Grupo FCC is majority-controlled by the Carlos Slim / Slim family (Business Capital Control S.A. de C.V., ~70% voting rights); that same family currently sponsors the BWT Alpine F1 team and driver Franco Colapinto through Claro/Amér</t>
        </is>
      </c>
    </row>
    <row r="38">
      <c r="A38" s="12" t="inlineStr">
        <is>
          <t>Envision AESC</t>
        </is>
      </c>
      <c r="B38" s="12" t="inlineStr">
        <is>
          <t>Batteries, EV, Waste &amp; Water</t>
        </is>
      </c>
      <c r="C38" s="12" t="inlineStr">
        <is>
          <t>full verification</t>
        </is>
      </c>
      <c r="D38" s="12" t="inlineStr">
        <is>
          <t>Audience hard filter fails: Envision AESC's commercial customers are a handful of automaker OEMs (Nissan, Renault, BMW, Mercedes-Benz, GM among named supply partners), not the 'thousands of customers' bar the brief requires — a textbook concentrated B2B supplier per the brief's honesty check (rule 5</t>
        </is>
      </c>
    </row>
    <row r="39">
      <c r="A39" s="12" t="inlineStr">
        <is>
          <t>Hatch Ltd</t>
        </is>
      </c>
      <c r="B39" s="12" t="inlineStr">
        <is>
          <t>Engineering Consultancies &amp;</t>
        </is>
      </c>
      <c r="C39" s="12" t="inlineStr">
        <is>
          <t>full verification</t>
        </is>
      </c>
      <c r="D39" s="12" t="inlineStr">
        <is>
          <t>F1 conflict hard filter fails: Hatch and Williams F1 have a confirmed, named engineering partnership — a direct tie to a current 2026-grid team (Williams/Atlassian). Per rule 6, any confirmed tie is an automatic No.</t>
        </is>
      </c>
    </row>
    <row r="40">
      <c r="A40" s="12" t="inlineStr">
        <is>
          <t>EasyPark Group</t>
        </is>
      </c>
      <c r="B40" s="12" t="inlineStr">
        <is>
          <t>Rail, Transit &amp; Road Infra</t>
        </is>
      </c>
      <c r="C40" s="12" t="inlineStr">
        <is>
          <t>full verification</t>
        </is>
      </c>
      <c r="D40" s="12" t="inlineStr">
        <is>
          <t xml:space="preserve">Fails the valuation hard bar: no published valuation could be confirmed anywhere (only $192M total funding disclosed; the 2025 Flowbird acquisition terms were explicitly undisclosed), and the company is PE-backed so it does not qualify for the family-owned/employee-owned no-valuation exemption. The </t>
        </is>
      </c>
    </row>
    <row r="41">
      <c r="A41" s="12" t="inlineStr">
        <is>
          <t>Verra Mobility</t>
        </is>
      </c>
      <c r="B41" s="12" t="inlineStr">
        <is>
          <t>Rail, Transit &amp; Road Infra</t>
        </is>
      </c>
      <c r="C41" s="12" t="inlineStr">
        <is>
          <t>full verification</t>
        </is>
      </c>
      <c r="D41" s="12" t="inlineStr">
        <is>
          <t>Valuation hard bar fails - market cap collapsed to ~$0.51B (Sept 2026, companiesmarketcap.com/tipranks.com), well below the $1B threshold, driven by Avis Budget Group's termination of a contract worth over 10% of revenue; public company with no family/employee-owned exemption available.</t>
        </is>
      </c>
    </row>
    <row r="42">
      <c r="A42" s="12" t="inlineStr">
        <is>
          <t>Amey</t>
        </is>
      </c>
      <c r="B42" s="12" t="inlineStr">
        <is>
          <t>Rail, Transit &amp; Road Infra</t>
        </is>
      </c>
      <c r="C42" s="12" t="inlineStr">
        <is>
          <t>full verification</t>
        </is>
      </c>
      <c r="D42" s="12" t="inlineStr">
        <is>
          <t xml:space="preserve">Valuation hard bar fails: the only published valuation is the Oct 2022 buyout at £400M enterprise value (~$500M), well under the &gt;$1B bar. Amey is PE-owned, not family/employee-owned, so the revenue-alone exemption does not apply — despite £1.87B (~$2.37B) FY2024 revenue clearing the revenue bar on </t>
        </is>
      </c>
    </row>
    <row r="43">
      <c r="A43" s="12" t="inlineStr">
        <is>
          <t>Italo (NTV)</t>
        </is>
      </c>
      <c r="B43" s="12" t="inlineStr">
        <is>
          <t>Rail, Transit &amp; Road Infra</t>
        </is>
      </c>
      <c r="C43" s="12" t="inlineStr">
        <is>
          <t>full verification</t>
        </is>
      </c>
      <c r="D43" s="12" t="inlineStr">
        <is>
          <t>F1 conflict via parent: co-owner MSC, which has held 50% of Italo/NTV since Oct 2023, is a Formula 1 Global Partner (since 2022, extended through 2030) and title sponsor of multiple 2025/2026 Grand Prix races (Spain, USA, Brazil). This is a confirmed tie per protocol regardless of Italo's otherwise-</t>
        </is>
      </c>
    </row>
    <row r="44">
      <c r="A44" s="12" t="inlineStr">
        <is>
          <t>Cromwell Group</t>
        </is>
      </c>
      <c r="B44" s="12" t="inlineStr">
        <is>
          <t>Industrial &amp; MRO Distributio</t>
        </is>
      </c>
      <c r="C44" s="12" t="inlineStr">
        <is>
          <t>full verification</t>
        </is>
      </c>
      <c r="D44" s="12" t="inlineStr">
        <is>
          <t>Fails the valuation hard filter: no published valuation, and Cromwell does not qualify for the family-owned/employee-owned no-published-valuation exemption (it is PE-owned via AURELIUS, not family or employee-owned). The only valuation signal - Grainger's ~$190-205M loss on the divestment - points t</t>
        </is>
      </c>
    </row>
    <row r="45">
      <c r="A45" s="12" t="inlineStr">
        <is>
          <t>Essendant</t>
        </is>
      </c>
      <c r="B45" s="12" t="inlineStr">
        <is>
          <t>Industrial &amp; MRO Distributio</t>
        </is>
      </c>
      <c r="C45" s="12" t="inlineStr">
        <is>
          <t>full verification</t>
        </is>
      </c>
      <c r="D45" s="12" t="inlineStr">
        <is>
          <t>Fails the capacity-to-spend hard filter: as of fall 2025, Essendant (under PE owner Sycamore Partners) is winding down its historic core office-products business and stepping back from the independent dealer channel it served for over a century - a clear cost-cutting/contraction signal, not the prof</t>
        </is>
      </c>
    </row>
    <row r="46">
      <c r="A46" s="12" t="inlineStr">
        <is>
          <t>Kramp Group</t>
        </is>
      </c>
      <c r="B46" s="12" t="inlineStr">
        <is>
          <t>Industrial &amp; MRO Distributio</t>
        </is>
      </c>
      <c r="C46" s="12" t="inlineStr">
        <is>
          <t>full verification</t>
        </is>
      </c>
      <c r="D46" s="12" t="inlineStr">
        <is>
          <t>Fails valuation hard bar: majority owned by Bencis Capital Partners (PE) since 2017 with no published valuation or disclosed deal value anywhere searched; Kramp is PE-owned, not family- or employee-owned, so it does not qualify for the no-published-valuation exemption.</t>
        </is>
      </c>
    </row>
    <row r="47">
      <c r="A47" s="12" t="inlineStr">
        <is>
          <t>National Safety Apparel</t>
        </is>
      </c>
      <c r="B47" s="12" t="inlineStr">
        <is>
          <t>Industrial &amp; MRO Distributio</t>
        </is>
      </c>
      <c r="C47" s="12" t="inlineStr">
        <is>
          <t>full verification</t>
        </is>
      </c>
      <c r="D47" s="12" t="inlineStr">
        <is>
          <t>Fails valuation hard bar: majority ownership passed to Blue Point Capital Partners (PE) via a May 2024 recapitalization; no published valuation or deal value found anywhere searched; now PE-controlled rather than family-owned, so it does not qualify for the no-published-valuation exemption.</t>
        </is>
      </c>
    </row>
    <row r="48">
      <c r="A48" s="12" t="inlineStr">
        <is>
          <t>ORS Nasco</t>
        </is>
      </c>
      <c r="B48" s="12" t="inlineStr">
        <is>
          <t>Industrial &amp; MRO Distributio</t>
        </is>
      </c>
      <c r="C48" s="12" t="inlineStr">
        <is>
          <t>full verification</t>
        </is>
      </c>
      <c r="D48" s="12" t="inlineStr">
        <is>
          <t>Fails valuation hard bar: PE-owned (most recently by Wynnchurch Capital since Aug 2024); no published valuation or deal value found anywhere searched; not family- or employee-owned, so it does not qualify for the no-published-valuation exemption.</t>
        </is>
      </c>
    </row>
    <row r="49">
      <c r="A49" s="12" t="inlineStr">
        <is>
          <t>Solar A/S</t>
        </is>
      </c>
      <c r="B49" s="12" t="inlineStr">
        <is>
          <t>Industrial &amp; MRO Distributio</t>
        </is>
      </c>
      <c r="C49" s="12" t="inlineStr">
        <is>
          <t>full verification</t>
        </is>
      </c>
      <c r="D49" s="12" t="inlineStr">
        <is>
          <t>Fails valuation hard bar: publicly listed with a disclosed market cap of only ~$220-230M (DKK 1.57bn), far short of the $1B threshold. Being publicly listed with a disclosed valuation, it does not qualify for the family-owned/no-published-valuation exemption regardless of any foundation-linked owner</t>
        </is>
      </c>
    </row>
    <row r="50">
      <c r="A50" s="12" t="inlineStr">
        <is>
          <t>ContiTech (Continental)</t>
        </is>
      </c>
      <c r="B50" s="12" t="inlineStr">
        <is>
          <t>Intralogistics &amp; Warehouse A</t>
        </is>
      </c>
      <c r="C50" s="12" t="inlineStr">
        <is>
          <t>full verification</t>
        </is>
      </c>
      <c r="D50" s="12" t="inlineStr">
        <is>
          <t>Fails the capacity-to-spend hard filter: ContiTech is in an active divestiture process (automotive-facing unit already sold Feb 2026, remainder targeted for sale mid-2026) with adjusted EBIT margin reported below target range for FY2025 - a live distress/restructuring signal, not a stable multi-year</t>
        </is>
      </c>
    </row>
    <row r="51">
      <c r="A51" s="12" t="inlineStr">
        <is>
          <t>Al-Bahar</t>
        </is>
      </c>
      <c r="B51" s="12" t="inlineStr">
        <is>
          <t>Intralogistics &amp; Warehouse A</t>
        </is>
      </c>
      <c r="C51" s="12" t="inlineStr">
        <is>
          <t>full verification</t>
        </is>
      </c>
      <c r="D51" s="12" t="inlineStr">
        <is>
          <t>Fails the revenue hard bar: the only available published estimate (~$54.9M, ZoomInfo, cited 2026) is well below the $100M threshold, and no published valuation exists to qualify via the family-owned exception (which waives the valuation bar, not the revenue bar).</t>
        </is>
      </c>
    </row>
    <row r="52">
      <c r="A52" s="12" t="inlineStr">
        <is>
          <t>Egemin Automation</t>
        </is>
      </c>
      <c r="B52" s="12" t="inlineStr">
        <is>
          <t>Intralogistics &amp; Warehouse A</t>
        </is>
      </c>
      <c r="C52" s="12" t="inlineStr">
        <is>
          <t>full verification</t>
        </is>
      </c>
      <c r="D52" s="12" t="inlineStr">
        <is>
          <t>Fails the revenue hard filter: Egemin has been fully absorbed into the Dematic brand since 2017-18 and has not reported standalone financials since; there is no distinct revenue, valuation, or independent marketing budget to verify against the $100M/$1B bars.</t>
        </is>
      </c>
    </row>
    <row r="53">
      <c r="A53" s="12" t="inlineStr">
        <is>
          <t>Noblelift Intelligent Equipment</t>
        </is>
      </c>
      <c r="B53" s="12" t="inlineStr">
        <is>
          <t>Intralogistics &amp; Warehouse A</t>
        </is>
      </c>
      <c r="C53" s="12" t="inlineStr">
        <is>
          <t>full verification</t>
        </is>
      </c>
      <c r="D53" s="12" t="inlineStr">
        <is>
          <t>Fails valuation hard bar: publicly listed with a disclosed market cap of only ~$680-860M USD (Sept 2026), below the &gt;$1B threshold. Revenue (~$930M FY2025) clears its own bar comfortably, but the company does not qualify for the family-owned/no-published-valuation exemption since it is public and it</t>
        </is>
      </c>
    </row>
    <row r="54">
      <c r="A54" s="12" t="inlineStr">
        <is>
          <t>Riwal</t>
        </is>
      </c>
      <c r="B54" s="12" t="inlineStr">
        <is>
          <t>Intralogistics &amp; Warehouse A</t>
        </is>
      </c>
      <c r="C54" s="12" t="inlineStr">
        <is>
          <t>full verification</t>
        </is>
      </c>
      <c r="D54" s="12" t="inlineStr">
        <is>
          <t>F1 conflict via parent: Riwal is a wholly-owned subsidiary of Boels Rental (acquisition completed June 2024). Boels Rental is a confirmed, current hospitality sponsor of the F1 Heineken Dutch Grand Prix at Zandvoort — a Private Lounge presence reported active as of the August 2026 race (group.boels.</t>
        </is>
      </c>
    </row>
    <row r="55">
      <c r="A55" s="12" t="inlineStr">
        <is>
          <t>viastore Systems</t>
        </is>
      </c>
      <c r="B55" s="12" t="inlineStr">
        <is>
          <t>Intralogistics &amp; Warehouse A</t>
        </is>
      </c>
      <c r="C55" s="12" t="inlineStr">
        <is>
          <t>full verification</t>
        </is>
      </c>
      <c r="D55" s="12" t="inlineStr">
        <is>
          <t>F1 conflict via parent: viastore Group has been a wholly-owned subsidiary of Toyota Industries Corporation (Toyota Group) since March 2022. Toyota Gazoo Racing became title partner of the Haas F1 team for the 2026 season, with the team renamed TGR Haas F1 Team (confirmed Dec 2025, haasf1team.com). T</t>
        </is>
      </c>
    </row>
    <row r="56">
      <c r="A56" s="12" t="inlineStr">
        <is>
          <t>ESR (Shenzhen Aisen)</t>
        </is>
      </c>
      <c r="B56" s="12" t="inlineStr">
        <is>
          <t>Consumer Electronics &amp; Audio</t>
        </is>
      </c>
      <c r="C56" s="12" t="inlineStr">
        <is>
          <t>full verification</t>
        </is>
      </c>
      <c r="D56" s="12" t="inlineStr">
        <is>
          <t>Fails revenue hard bar: independent third-party estimates (growjo, zoominfo, accessed Sept 2026) put ESR's revenue at $50-100M — at or below the $100M threshold, not clearly exceeding it. No ARR/growth data qualifies it under the ARR alternative, and no valuation is disclosed to qualify via that bar</t>
        </is>
      </c>
    </row>
    <row r="57">
      <c r="A57" s="12" t="inlineStr">
        <is>
          <t>Ingevity Corporation</t>
        </is>
      </c>
      <c r="B57" s="12" t="inlineStr">
        <is>
          <t>Specialty Chemicals &amp; Coatin</t>
        </is>
      </c>
      <c r="C57" s="12" t="inlineStr">
        <is>
          <t>full verification</t>
        </is>
      </c>
      <c r="D57" s="12" t="inlineStr">
        <is>
          <t>Fails the capacity-to-spend hard filter: FY2025 net loss of $167M and an active, ongoing divestiture of three business units as part of a portfolio overhaul is textbook cost-cutting/restructuring mode, not the 'profitable or clearly improving, not in cost-cutting/distress' bar the brief requires — d</t>
        </is>
      </c>
    </row>
    <row r="58">
      <c r="A58" s="12" t="inlineStr">
        <is>
          <t>Infineum International</t>
        </is>
      </c>
      <c r="B58" s="12" t="inlineStr">
        <is>
          <t>Specialty Chemicals &amp; Coatin</t>
        </is>
      </c>
      <c r="C58" s="12" t="inlineStr">
        <is>
          <t>full verification</t>
        </is>
      </c>
      <c r="D58" s="12" t="inlineStr">
        <is>
          <t>F1 conflict hard filter fails via BOTH parents: Shell plc is Ferrari's long-standing technical/fuel-and-lubricants partner (multi-year extension from Jan 1, 2026, covering F1, WEC Hypercar and Ferrari Challenge - source: F1technical.net/Sportcal, 2026), and ExxonMobil (Mobil 1/Synergy) supplies lubr</t>
        </is>
      </c>
    </row>
    <row r="59">
      <c r="A59" s="12" t="inlineStr">
        <is>
          <t>Kronos Worldwide</t>
        </is>
      </c>
      <c r="B59" s="12" t="inlineStr">
        <is>
          <t>Specialty Chemicals &amp; Coatin</t>
        </is>
      </c>
      <c r="C59" s="12" t="inlineStr">
        <is>
          <t>full verification</t>
        </is>
      </c>
      <c r="D59" s="12" t="inlineStr">
        <is>
          <t>Valuation hard filter fails: market cap ~$0.96B as of Sep 2026, below the $1B bar (as low as $0.52B in Nov 2025). Capacity-to-spend is also questionable: Kronos posted a $110.9M net loss for FY2025 with workforce reductions/layoffs implemented in Q4 2025, and only returned to profitability in Q2 202</t>
        </is>
      </c>
    </row>
    <row r="60">
      <c r="A60" s="12" t="inlineStr">
        <is>
          <t>Noroo Paint &amp; Coatings</t>
        </is>
      </c>
      <c r="B60" s="12" t="inlineStr">
        <is>
          <t>Specialty Chemicals &amp; Coatin</t>
        </is>
      </c>
      <c r="C60" s="12" t="inlineStr">
        <is>
          <t>full verification</t>
        </is>
      </c>
      <c r="D60" s="12" t="inlineStr">
        <is>
          <t>Fails valuation hard bar: market cap ~$116M (Eulerpool, 2026), far below the $1B threshold. Public company with a low published valuation does not qualify for the family-owned/no-published-valuation exemption. Revenue (~$570M) passes on its own but valuation is a required hard bar.</t>
        </is>
      </c>
    </row>
    <row r="61">
      <c r="A61" s="12" t="inlineStr">
        <is>
          <t>Savita Oil Technologies</t>
        </is>
      </c>
      <c r="B61" s="12" t="inlineStr">
        <is>
          <t>Specialty Chemicals &amp; Coatin</t>
        </is>
      </c>
      <c r="C61" s="12" t="inlineStr">
        <is>
          <t>full verification</t>
        </is>
      </c>
      <c r="D61" s="12" t="inlineStr">
        <is>
          <t>Fails valuation hard bar: market cap ~$550-580M (Screener.in, 2026), below the $1B threshold. Publicly traded, so no family-owned exemption applies despite promoter/family control. Revenue (~$580M) passes on its own but valuation does not clear the bar.</t>
        </is>
      </c>
    </row>
    <row r="62">
      <c r="A62" s="12" t="inlineStr">
        <is>
          <t>Sto SE &amp; Co</t>
        </is>
      </c>
      <c r="B62" s="12" t="inlineStr">
        <is>
          <t>Specialty Chemicals &amp; Coatin</t>
        </is>
      </c>
      <c r="C62" s="12" t="inlineStr">
        <is>
          <t>full verification</t>
        </is>
      </c>
      <c r="D62" s="12" t="inlineStr">
        <is>
          <t>Fails valuation hard bar: market cap ~€0.60B / ~$650-760M (companiesmarketcap, Sept 2026), below the $1B threshold. Publicly traded (family-controlled), so no exemption applies despite strong revenue (~€1.6-1.7B) and good thematic fit.</t>
        </is>
      </c>
    </row>
    <row r="63">
      <c r="A63" s="12" t="inlineStr">
        <is>
          <t>Aviat Networks</t>
        </is>
      </c>
      <c r="B63" s="12" t="inlineStr">
        <is>
          <t>Private 5G &amp; Telecom Equipme</t>
        </is>
      </c>
      <c r="C63" s="12" t="inlineStr">
        <is>
          <t>full verification</t>
        </is>
      </c>
      <c r="D63" s="12" t="inlineStr">
        <is>
          <t>Fails valuation hard bar: market cap ~$253M (stockanalysis.com, Sept 2026), well below the $1B threshold. Public company with a published (low) valuation does not qualify for the family-owned exemption. Revenue ($434.6M) passes on its own but valuation is a required hard bar.</t>
        </is>
      </c>
    </row>
    <row r="64">
      <c r="A64" s="12" t="inlineStr">
        <is>
          <t>Lycamobile</t>
        </is>
      </c>
      <c r="B64" s="12" t="inlineStr">
        <is>
          <t>Private 5G &amp; Telecom Equipme</t>
        </is>
      </c>
      <c r="C64" s="12" t="inlineStr">
        <is>
          <t>full verification</t>
        </is>
      </c>
      <c r="D64" s="12" t="inlineStr">
        <is>
          <t>Fails the capacity-to-spend hard filter: clear financial distress as of 2024-2025 - auditors (PKF Littlejohn) could not sign off FY accounts for lack of sufficient audit evidence, operating losses, a £51M HMRC VAT dispute with an associated winding-up petition, staff redundancies (up to 316 UK roles</t>
        </is>
      </c>
    </row>
    <row r="65">
      <c r="A65" s="12" t="inlineStr">
        <is>
          <t>Vantage Towers</t>
        </is>
      </c>
      <c r="B65" s="12" t="inlineStr">
        <is>
          <t>Private 5G &amp; Telecom Equipme</t>
        </is>
      </c>
      <c r="C65" s="12" t="inlineStr">
        <is>
          <t>full verification</t>
        </is>
      </c>
      <c r="D65" s="12" t="inlineStr">
        <is>
          <t>Fails the audience hard filter: per Vodafone/Vantage Towers investor disclosures, the single Vodafone anchor-tenant Master Services Agreement alone represents ~83-90% of pro forma revenue, with the remainder concentrated among a handful of other major MNOs (Deutsche Telekom, Orange, Telefonica, Tele</t>
        </is>
      </c>
    </row>
    <row r="66">
      <c r="A66" s="12" t="inlineStr">
        <is>
          <t>Maven Securities</t>
        </is>
      </c>
      <c r="B66" s="12" t="inlineStr">
        <is>
          <t>Asset Mgmt, PE &amp; Trading Fir</t>
        </is>
      </c>
      <c r="C66" s="12" t="inlineStr">
        <is>
          <t>full verification</t>
        </is>
      </c>
      <c r="D66" s="12" t="inlineStr">
        <is>
          <t>Fails the audience hard filter: Maven holds an FCA proprietary-trading licence that explicitly bars it from holding client money - it trades solely with its own capital and has no external client base at all, far below the 'thousands of customers' (or even the ~20-customer floor) bar. Revenue (£101M</t>
        </is>
      </c>
    </row>
    <row r="67">
      <c r="A67" s="12" t="inlineStr">
        <is>
          <t>Tiger Brokers (UP Fintech)</t>
        </is>
      </c>
      <c r="B67" s="12" t="inlineStr">
        <is>
          <t>Asset Mgmt, PE &amp; Trading Fir</t>
        </is>
      </c>
      <c r="C67" s="12" t="inlineStr">
        <is>
          <t>full verification</t>
        </is>
      </c>
      <c r="D67" s="12" t="inlineStr">
        <is>
          <t>Fails the valuation hard filter: despite excellent and fast-growing revenue ($612.1M FY2025, well above the $100M bar) and strong profitability, UP Fintech's market capitalization is only ~$0.87-0.90B as of Aug/Sept 2026 (confirmed via multiple sources), below the $1B threshold. UP Fintech is a publ</t>
        </is>
      </c>
    </row>
    <row r="68">
      <c r="A68" s="12" t="inlineStr">
        <is>
          <t>FXTM (ForexTime)</t>
        </is>
      </c>
      <c r="B68" s="12" t="inlineStr">
        <is>
          <t>Asset Mgmt, PE &amp; Trading Fir</t>
        </is>
      </c>
      <c r="C68" s="12" t="inlineStr">
        <is>
          <t>full verification</t>
        </is>
      </c>
      <c r="D68" s="12" t="inlineStr">
        <is>
          <t>Revenue hard bar fails: no reliable, sourced figure confirms &gt;$100M for FXTM/Exinity Group. The only audited public figure (UK entity, professional clients only, since retail onboarding stopped in 2021) is £1.78M revenue for 2024 (Companies House, via FinanceMagnates, Apr 2025); global-group aggrega</t>
        </is>
      </c>
    </row>
    <row r="69">
      <c r="A69" s="12" t="inlineStr">
        <is>
          <t>HYCM</t>
        </is>
      </c>
      <c r="B69" s="12" t="inlineStr">
        <is>
          <t>Asset Mgmt, PE &amp; Trading Fir</t>
        </is>
      </c>
      <c r="C69" s="12" t="inlineStr">
        <is>
          <t>full verification</t>
        </is>
      </c>
      <c r="D69" s="12" t="inlineStr">
        <is>
          <t>Revenue hard bar fails: no confirmed figure of any kind approaches $100M; the only public data point (UK entity client funds ~£700K, 2023, FXNewsGroup) points to a much smaller operation than the threshold requires.</t>
        </is>
      </c>
    </row>
    <row r="70">
      <c r="A70" s="12" t="inlineStr">
        <is>
          <t>B2C2</t>
        </is>
      </c>
      <c r="B70" s="12" t="inlineStr">
        <is>
          <t>Asset Mgmt, PE &amp; Trading Fir</t>
        </is>
      </c>
      <c r="C70" s="12" t="inlineStr">
        <is>
          <t>full verification</t>
        </is>
      </c>
      <c r="D70" s="12" t="inlineStr">
        <is>
          <t>F1 conflict: parent company SBI Holdings, Inc. (100% owner of B2C2 as of Apr 2025) is the Official Presenting Partner (Media Category) of the FORMULA 1 HEINEKEN LAS VEGAS GRAND PRIX, as part of its 'SBI Neo-Media Ecosystem' strategy (SBI Holdings/F1 Las Vegas GP press materials, 2026). Per protocol,</t>
        </is>
      </c>
    </row>
    <row r="71">
      <c r="A71" s="12" t="inlineStr">
        <is>
          <t>Wintermute</t>
        </is>
      </c>
      <c r="B71" s="12" t="inlineStr">
        <is>
          <t>Asset Mgmt, PE &amp; Trading Fir</t>
        </is>
      </c>
      <c r="C71" s="12" t="inlineStr">
        <is>
          <t>full verification</t>
        </is>
      </c>
      <c r="D71" s="12" t="inlineStr">
        <is>
          <t>Both hard bars fail: revenue ~$35.2M (Getlatka, Sept 2025) is well under the $100M bar, with no evidenced ARR&gt;$50M-growing-&gt;50%-YoY case; no published valuation, and total lifetime funding of only ~$56.8M gives no basis for a &gt;$1B valuation. Wintermute is founder-owned, not family-owned, so no pass-</t>
        </is>
      </c>
    </row>
    <row r="72">
      <c r="A72" s="12" t="inlineStr">
        <is>
          <t>Belvedere Trading</t>
        </is>
      </c>
      <c r="B72" s="12" t="inlineStr">
        <is>
          <t>Asset Mgmt, PE &amp; Trading Fir</t>
        </is>
      </c>
      <c r="C72" s="12" t="inlineStr">
        <is>
          <t>full verification</t>
        </is>
      </c>
      <c r="D72" s="12" t="inlineStr">
        <is>
          <t>Revenue hard bar cannot be confirmed: no reliable, sourced figure exists (aggregator estimates span $5M to $500M-1B with no audited basis); no published valuation either, and the firm is privately/founder-owned rather than family-owned, so no exemption applies.</t>
        </is>
      </c>
    </row>
    <row r="73">
      <c r="A73" s="12" t="inlineStr">
        <is>
          <t>Da Vinci Trading</t>
        </is>
      </c>
      <c r="B73" s="12" t="inlineStr">
        <is>
          <t>Asset Mgmt, PE &amp; Trading Fir</t>
        </is>
      </c>
      <c r="C73" s="12" t="inlineStr">
        <is>
          <t>full verification</t>
        </is>
      </c>
      <c r="D73" s="12" t="inlineStr">
        <is>
          <t>Revenue hard bar fails for lack of any confirmable figure: no company disclosure, no usable third-party estimate, and no published valuation either; private/founder-owned rather than family-owned, so no exemption applies.</t>
        </is>
      </c>
    </row>
    <row r="74">
      <c r="A74" s="12" t="inlineStr">
        <is>
          <t>Gulf Capital</t>
        </is>
      </c>
      <c r="B74" s="12" t="inlineStr">
        <is>
          <t>Asset Mgmt, PE &amp; Trading Fir</t>
        </is>
      </c>
      <c r="C74" s="12" t="inlineStr">
        <is>
          <t>full verification</t>
        </is>
      </c>
      <c r="D74" s="12" t="inlineStr">
        <is>
          <t>Revenue hard bar fails: no confirmed revenue figure exists, and the AUM-based fee-revenue estimate (~$35M-$60M on ~$2.4B AUM) falls well short of the $100M bar; no published valuation either, and Gulf Capital is neither family-owned nor employee-owned, so no exemption applies.</t>
        </is>
      </c>
    </row>
    <row r="75">
      <c r="A75" s="12" t="inlineStr">
        <is>
          <t>Old Mission Capital</t>
        </is>
      </c>
      <c r="B75" s="12" t="inlineStr">
        <is>
          <t>Asset Mgmt, PE &amp; Trading Fir</t>
        </is>
      </c>
      <c r="C75" s="12" t="inlineStr">
        <is>
          <t>full verification</t>
        </is>
      </c>
      <c r="D75" s="12" t="inlineStr">
        <is>
          <t>Revenue hard bar (&gt;$100M) not verifiably confirmed - available figures conflict wildly ($21.5M to $250-500M est) with no reliable, dated, audited figure found (SEC X-17A-5 FY2025 filing located but statement of income not retrievable via search).</t>
        </is>
      </c>
    </row>
    <row r="76">
      <c r="A76" s="12" t="inlineStr">
        <is>
          <t>Opendoor Technologies</t>
        </is>
      </c>
      <c r="B76" s="12" t="inlineStr">
        <is>
          <t>Real Estate &amp; Building Produ</t>
        </is>
      </c>
      <c r="C76" s="12" t="inlineStr">
        <is>
          <t>full verification</t>
        </is>
      </c>
      <c r="D76" s="12" t="inlineStr">
        <is>
          <t>Capacity/distress hard filter fails: Q2 2026 net loss widened to $(162)M (from $(29)M in Q2 2025), driven by stock-based comp and lower sales - this is a widening loss, not 'clearly improving,' despite contribution-margin gains. Also fails the 3+ F1 market fit test (US-only operations).</t>
        </is>
      </c>
    </row>
    <row r="77">
      <c r="A77" s="12" t="inlineStr">
        <is>
          <t>RE/MAX Holdings</t>
        </is>
      </c>
      <c r="B77" s="12" t="inlineStr">
        <is>
          <t>Real Estate &amp; Building Produ</t>
        </is>
      </c>
      <c r="C77" s="12" t="inlineStr">
        <is>
          <t>full verification</t>
        </is>
      </c>
      <c r="D77" s="12" t="inlineStr">
        <is>
          <t>Valuation hard bar fails: market cap ~$200-320M in 2026, well under the $1B threshold. Capacity/distress also fails: net loss of $14.0M for H1 2026 and revenue declining YoY (-5.8% Q2 2026).</t>
        </is>
      </c>
    </row>
    <row r="78">
      <c r="A78" s="12" t="inlineStr">
        <is>
          <t>Vistry Group plc</t>
        </is>
      </c>
      <c r="B78" s="12" t="inlineStr">
        <is>
          <t>Real Estate &amp; Building Produ</t>
        </is>
      </c>
      <c r="C78" s="12" t="inlineStr">
        <is>
          <t>full verification</t>
        </is>
      </c>
      <c r="D78" s="12" t="inlineStr">
        <is>
          <t>Valuation hard bar fails (~$823M, below $1B). Capacity/distress hard filter also fails: repeated 2026 profit warnings, an H1 2026 pre-tax loss of £30M, a guidance cut to £125M adjusted PBT, and a £470M reset with covenant waivers - clear distress signals, not 'profitable or clearly improving.' No F1</t>
        </is>
      </c>
    </row>
    <row r="79">
      <c r="A79" s="12" t="inlineStr">
        <is>
          <t>Anywhere Real Estate</t>
        </is>
      </c>
      <c r="B79" s="12" t="inlineStr">
        <is>
          <t>Real Estate &amp; Building Produ</t>
        </is>
      </c>
      <c r="C79" s="12" t="inlineStr">
        <is>
          <t>full verification</t>
        </is>
      </c>
      <c r="D79" s="12" t="inlineStr">
        <is>
          <t>Ownership/independence hard filter fails: Anywhere Real Estate no longer exists as an independent company - it became a wholly-owned subsidiary of Compass, Inc. on Jan 9, 2026 and was delisted, with no independent sponsorship budget or decision-making authority. Standalone financials were also distr</t>
        </is>
      </c>
    </row>
    <row r="80">
      <c r="A80" s="12" t="inlineStr">
        <is>
          <t>Bayut (EMPG)</t>
        </is>
      </c>
      <c r="B80" s="12" t="inlineStr">
        <is>
          <t>Real Estate &amp; Building Produ</t>
        </is>
      </c>
      <c r="C80" s="12" t="inlineStr">
        <is>
          <t>full verification</t>
        </is>
      </c>
      <c r="D80" s="12" t="inlineStr">
        <is>
          <t>Revenue hard bar cannot be confirmed - no reliable revenue figure with date/source was found despite dedicated searches, and the company's own materials do not disclose one. Capacity bar is also weak: the last confirmed funding round was Oct 2022 (outside the 18-month VC-backed window), and the 2022</t>
        </is>
      </c>
    </row>
    <row r="81">
      <c r="A81" s="12" t="inlineStr">
        <is>
          <t>HouseCanary Inc</t>
        </is>
      </c>
      <c r="B81" s="12" t="inlineStr">
        <is>
          <t>Real Estate &amp; Building Produ</t>
        </is>
      </c>
      <c r="C81" s="12" t="inlineStr">
        <is>
          <t>full verification</t>
        </is>
      </c>
      <c r="D81" s="12" t="inlineStr">
        <is>
          <t>Fails revenue hard bar (no confirmed FY revenue disclosed anywhere, private company, unlikely to clear $100M) and fails valuation hard bar (no confirmed valuation, let alone &gt;$1B; VC-backed so not eligible for the family-owned exception).</t>
        </is>
      </c>
    </row>
    <row r="82">
      <c r="A82" s="12" t="inlineStr">
        <is>
          <t>NoBroker Technologies</t>
        </is>
      </c>
      <c r="B82" s="12" t="inlineStr">
        <is>
          <t>Real Estate &amp; Building Produ</t>
        </is>
      </c>
      <c r="C82" s="12" t="inlineStr">
        <is>
          <t>full verification</t>
        </is>
      </c>
      <c r="D82" s="12" t="inlineStr">
        <is>
          <t>Fails revenue hard bar (FY24 ~$96.5M, under $100M, and 32% YoY growth is below the &gt;50% ARR-growth alternative), and valuation is stuck at exactly $1B since 2021 with no confirmed figure clearly above that bar.</t>
        </is>
      </c>
    </row>
    <row r="83">
      <c r="A83" s="12" t="inlineStr">
        <is>
          <t>Zumper Inc</t>
        </is>
      </c>
      <c r="B83" s="12" t="inlineStr">
        <is>
          <t>Real Estate &amp; Building Produ</t>
        </is>
      </c>
      <c r="C83" s="12" t="inlineStr">
        <is>
          <t>full verification</t>
        </is>
      </c>
      <c r="D83" s="12" t="inlineStr">
        <is>
          <t>Fails revenue hard bar (no confirmed figure), fails valuation hard bar (undisclosed, unconfirmed &gt;$1B), and fails the capacity hard bar (last raise Jan 2022, ~4.5 years ago, no evidence of profitability or recent capital for GTM/expansion).</t>
        </is>
      </c>
    </row>
    <row r="84">
      <c r="A84" s="12" t="inlineStr">
        <is>
          <t>Roofstock</t>
        </is>
      </c>
      <c r="B84" s="12" t="inlineStr">
        <is>
          <t>Real Estate &amp; Building Produ</t>
        </is>
      </c>
      <c r="C84" s="12" t="inlineStr">
        <is>
          <t>full verification</t>
        </is>
      </c>
      <c r="D84" s="12" t="inlineStr">
        <is>
          <t>Fails the capacity hard bar: two rounds of layoffs (about 47% of peak headcount cut in 2022-2023), a strategic pivot away from its original marketplace business, and no funding since 2022 (&gt;4 years, well outside the 18-month window) - clear signs of distress/cost-cutting rather than capacity to comm</t>
        </is>
      </c>
    </row>
    <row r="85">
      <c r="A85" s="12" t="inlineStr">
        <is>
          <t>Chestertons</t>
        </is>
      </c>
      <c r="B85" s="12" t="inlineStr">
        <is>
          <t>Real Estate &amp; Building Produ</t>
        </is>
      </c>
      <c r="C85" s="12" t="inlineStr">
        <is>
          <t>full verification</t>
        </is>
      </c>
      <c r="D85" s="12" t="inlineStr">
        <is>
          <t>Fails revenue hard bar: best available figures (~$21-84M depending on entity/year) are well under the $100M bar; no published valuation exists to qualify via that path, and the firm isn't family/employee-owned (institutional and sovereign-wealth minority investors), so it doesn't qualify for the fam</t>
        </is>
      </c>
    </row>
    <row r="86">
      <c r="A86" s="12" t="inlineStr">
        <is>
          <t>Homeward</t>
        </is>
      </c>
      <c r="B86" s="12" t="inlineStr">
        <is>
          <t>Real Estate &amp; Building Produ</t>
        </is>
      </c>
      <c r="C86" s="12" t="inlineStr">
        <is>
          <t>full verification</t>
        </is>
      </c>
      <c r="D86" s="12" t="inlineStr">
        <is>
          <t>Fails revenue hard bar ($55.2M, well under $100M and not an ARR-growth business), fails valuation hard bar (~$0.8B, under $1B), and fails the capacity hard bar (two 2025 layoff events affecting ~200 staff signal cost-cutting/distress rather than capacity to spend ~$3.5M/yr).</t>
        </is>
      </c>
    </row>
    <row r="87">
      <c r="A87" s="12" t="inlineStr">
        <is>
          <t>Abzena</t>
        </is>
      </c>
      <c r="B87" s="12" t="inlineStr">
        <is>
          <t>CDMO, CRO &amp; Life-Science Too</t>
        </is>
      </c>
      <c r="C87" s="12" t="inlineStr">
        <is>
          <t>full verification</t>
        </is>
      </c>
      <c r="D87" s="12" t="inlineStr">
        <is>
          <t>Fails hard filters #1/#2 (revenue/valuation): no verifiable revenue figure found (est. &lt;$150M, unconfirmed) and no published valuation; the only disclosed raise ($65M, Mar 2022) is well outside the 18-month capacity window, and the Feb 2026 WCAS transaction is a buyout of undisclosed value, not conf</t>
        </is>
      </c>
    </row>
    <row r="88">
      <c r="A88" s="12" t="inlineStr">
        <is>
          <t>Pacific Biosciences (PacBio)</t>
        </is>
      </c>
      <c r="B88" s="12" t="inlineStr">
        <is>
          <t>CDMO, CRO &amp; Life-Science Too</t>
        </is>
      </c>
      <c r="C88" s="12" t="inlineStr">
        <is>
          <t>full verification</t>
        </is>
      </c>
      <c r="D88" s="12" t="inlineStr">
        <is>
          <t>Fails hard filter #2 (valuation): market cap ~$0.42B (June 2026, companiesmarketcap.com) is well under the $1B bar, despite revenue ($160.0M FY2025) clearing the $100M revenue bar.</t>
        </is>
      </c>
    </row>
    <row r="89">
      <c r="A89" s="12" t="inlineStr">
        <is>
          <t>Resilience (National Resilience)</t>
        </is>
      </c>
      <c r="B89" s="12" t="inlineStr">
        <is>
          <t>CDMO, CRO &amp; Life-Science Too</t>
        </is>
      </c>
      <c r="C89" s="12" t="inlineStr">
        <is>
          <t>full verification</t>
        </is>
      </c>
      <c r="D89" s="12" t="inlineStr">
        <is>
          <t>Fails hard filter #4 (capacity to spend): despite a Nov 2025 $825M financing announcement, the company is simultaneously closing 6 of its 10 plants and executed repeated layoffs through Dec 2025 alongside a CEO change - a clear cost-cutting/distress pattern, not a GTM/expansion footing. Revenue is a</t>
        </is>
      </c>
    </row>
    <row r="90">
      <c r="A90" s="12" t="inlineStr">
        <is>
          <t>Univercells</t>
        </is>
      </c>
      <c r="B90" s="12" t="inlineStr">
        <is>
          <t>CDMO, CRO &amp; Life-Science Too</t>
        </is>
      </c>
      <c r="C90" s="12" t="inlineStr">
        <is>
          <t>full verification</t>
        </is>
      </c>
      <c r="D90" s="12" t="inlineStr">
        <is>
          <t>Fails hard filter #1 (revenue): estimated annual revenue $5-25M (Owler, 2026) is far below the $100M bar, with no evidence of ARR &gt;$50M growing &gt;50% YoY.</t>
        </is>
      </c>
    </row>
    <row r="91">
      <c r="A91" s="12" t="inlineStr">
        <is>
          <t>Novasep</t>
        </is>
      </c>
      <c r="B91" s="12" t="inlineStr">
        <is>
          <t>CDMO, CRO &amp; Life-Science Too</t>
        </is>
      </c>
      <c r="C91" s="12" t="inlineStr">
        <is>
          <t>full verification</t>
        </is>
      </c>
      <c r="D91" s="12" t="inlineStr">
        <is>
          <t>Revenue fails hard bar: post-Axplora carve-out entity (Applexion/Novasep Process Solutions) reported only €40.3M revenue in 2024 (verif.com) versus the $100M bar. No F1 conflict found, but moot given the revenue failure.</t>
        </is>
      </c>
    </row>
    <row r="92">
      <c r="A92" s="12" t="inlineStr">
        <is>
          <t>Standard BioTools</t>
        </is>
      </c>
      <c r="B92" s="12" t="inlineStr">
        <is>
          <t>CDMO, CRO &amp; Life-Science Too</t>
        </is>
      </c>
      <c r="C92" s="12" t="inlineStr">
        <is>
          <t>full verification</t>
        </is>
      </c>
      <c r="D92" s="12" t="inlineStr">
        <is>
          <t>Fails both hard bars: FY2025 revenue $85.33M (&lt;$100M bar); market cap $323.89M (&lt;$1B bar). Also loss-making / cost-reduction mode, failing the capacity-to-spend test. No F1 conflict found (only unrelated 'Standard Chartered' sponsorship surfaced), but moot.</t>
        </is>
      </c>
    </row>
    <row r="93">
      <c r="A93" s="12" t="inlineStr">
        <is>
          <t>Clinipace</t>
        </is>
      </c>
      <c r="B93" s="12" t="inlineStr">
        <is>
          <t>CDMO, CRO &amp; Life-Science Too</t>
        </is>
      </c>
      <c r="C93" s="12" t="inlineStr">
        <is>
          <t>full verification</t>
        </is>
      </c>
      <c r="D93" s="12" t="inlineStr">
        <is>
          <t>Target entity no longer exists: Clinipace merged with dMed Global (April 2021) and fully rebranded to Caidya (Oct 2022) - confirms the input's own flag. Nothing to verify or sponsor under the name 'Clinipace'.</t>
        </is>
      </c>
    </row>
    <row r="94">
      <c r="A94" s="12" t="inlineStr">
        <is>
          <t>Cytovance Biologics</t>
        </is>
      </c>
      <c r="B94" s="12" t="inlineStr">
        <is>
          <t>CDMO, CRO &amp; Life-Science Too</t>
        </is>
      </c>
      <c r="C94" s="12" t="inlineStr">
        <is>
          <t>full verification</t>
        </is>
      </c>
      <c r="D94" s="12" t="inlineStr">
        <is>
          <t>Fails the valuation hard bar even at parent level: GC Biopharma market cap is only ~$520M (721.6B KRW, 2026), well below the $1B bar; Cytovance standalone revenue is likely &lt;$100M given its small (~300-employee) scale. No F1 conflict found, but moot given the hard-bar failure.</t>
        </is>
      </c>
    </row>
    <row r="95">
      <c r="A95" s="12" t="inlineStr">
        <is>
          <t>Ausenco</t>
        </is>
      </c>
      <c r="B95" s="12" t="inlineStr">
        <is>
          <t>Mining, Metals &amp; Commodities</t>
        </is>
      </c>
      <c r="C95" s="12" t="inlineStr">
        <is>
          <t>full verification</t>
        </is>
      </c>
      <c r="D95" s="12" t="inlineStr">
        <is>
          <t>Valuation hard bar fails: majority stake acquired for $578M (Mining.com, Sep 2023) — well under the $1B threshold, with no published update since. Revenue passes (~AUD $571.6M FY2024) but Ausenco is PE-owned, not family- or employee-owned, so the revenue-alone exemption does not apply.</t>
        </is>
      </c>
    </row>
    <row r="96">
      <c r="A96" s="12" t="inlineStr">
        <is>
          <t>Boart Longyear</t>
        </is>
      </c>
      <c r="B96" s="12" t="inlineStr">
        <is>
          <t>Mining, Metals &amp; Commodities</t>
        </is>
      </c>
      <c r="C96" s="12" t="inlineStr">
        <is>
          <t>full verification</t>
        </is>
      </c>
      <c r="D96" s="12" t="inlineStr">
        <is>
          <t>Valuation hard bar fails: American Industrial Partners completed its take-private acquisition at $371M (PRNewswire, Apr 2024) — well under $1B. Revenue passes comfortably (~$1.05B FY2023) but the company is PE-owned, not family- or employee-owned, so no revenue-alone exemption applies.</t>
        </is>
      </c>
    </row>
    <row r="97">
      <c r="A97" s="12" t="inlineStr">
        <is>
          <t>Castleton Commodities International</t>
        </is>
      </c>
      <c r="B97" s="12" t="inlineStr">
        <is>
          <t>Mining, Metals &amp; Commodities</t>
        </is>
      </c>
      <c r="C97" s="12" t="inlineStr">
        <is>
          <t>full verification</t>
        </is>
      </c>
      <c r="D97" s="12" t="inlineStr">
        <is>
          <t>Both hard bars fail: no meaningfully disclosed net revenue and no published valuation could be found (Sep 2026 searches). CCI is founder/investor-owned (Dubin, Tudor Jones, Barakett) — not family- or employee-owned — so it does not qualify for the revenue-alone exemption.</t>
        </is>
      </c>
    </row>
    <row r="98">
      <c r="A98" s="12" t="inlineStr">
        <is>
          <t>DRA Global</t>
        </is>
      </c>
      <c r="B98" s="12" t="inlineStr">
        <is>
          <t>Mining, Metals &amp; Commodities</t>
        </is>
      </c>
      <c r="C98" s="12" t="inlineStr">
        <is>
          <t>full verification</t>
        </is>
      </c>
      <c r="D98" s="12" t="inlineStr">
        <is>
          <t xml:space="preserve">Valuation hard bar fails: market cap of ~ZAR1.32B (~USD $70-75M) at JSE delisting (Jan 2025) — far under $1B, and the company is now being absorbed by Apex Capital Partners with no higher valuation disclosed. Revenue passes (~$912.8M FY2024) but DRA is not family- or employee-owned, so no exemption </t>
        </is>
      </c>
    </row>
    <row r="99">
      <c r="A99" s="12" t="inlineStr">
        <is>
          <t>Freepoint Commodities</t>
        </is>
      </c>
      <c r="B99" s="12" t="inlineStr">
        <is>
          <t>Mining, Metals &amp; Commodities</t>
        </is>
      </c>
      <c r="C99" s="12" t="inlineStr">
        <is>
          <t>full verification</t>
        </is>
      </c>
      <c r="D99" s="12" t="inlineStr">
        <is>
          <t>Valuation hard bar fails/unverifiable: no published market cap, post-money, or EV found (Sep 2026 searches). Freepoint is majority PE-owned (Stone Point Capital) with only partial employee/management equity — not a qualifying family- or employee-owned/cooperative structure — so no revenue-alone exem</t>
        </is>
      </c>
    </row>
    <row r="100">
      <c r="A100" s="12" t="inlineStr">
        <is>
          <t>IGO Limited</t>
        </is>
      </c>
      <c r="B100" s="12" t="inlineStr">
        <is>
          <t>Mining, Metals &amp; Commodities</t>
        </is>
      </c>
      <c r="C100" s="12" t="inlineStr">
        <is>
          <t>full verification</t>
        </is>
      </c>
      <c r="D100" s="12" t="inlineStr">
        <is>
          <t>Capacity-to-spend hard bar fails: IGO reported a FY25 net loss of A$955m (mining-technology.com, Aug 2025) driven by impairments, suspended its dividend, and cut its revolving credit facility to A$300M — clear distress/cost-management signals despite market cap (~A$6.3-6.5B) and revenue (~A$438M) th</t>
        </is>
      </c>
    </row>
    <row r="101">
      <c r="A101" s="12" t="inlineStr">
        <is>
          <t>Master Drilling</t>
        </is>
      </c>
      <c r="B101" s="12" t="inlineStr">
        <is>
          <t>Mining, Metals &amp; Commodities</t>
        </is>
      </c>
      <c r="C101" s="12" t="inlineStr">
        <is>
          <t>full verification</t>
        </is>
      </c>
      <c r="D101" s="12" t="inlineStr">
        <is>
          <t>Valuation hard bar failed — market cap ~$150M (R2.7B, 2025, Moneyweb/TradingView) is well under the &gt;$1B threshold; public company so the family/employee-owned exemption does not apply.</t>
        </is>
      </c>
    </row>
    <row r="102">
      <c r="A102" s="12" t="inlineStr">
        <is>
          <t>Traxys</t>
        </is>
      </c>
      <c r="B102" s="12" t="inlineStr">
        <is>
          <t>Mining, Metals &amp; Commodities</t>
        </is>
      </c>
      <c r="C102" s="12" t="inlineStr">
        <is>
          <t>full verification</t>
        </is>
      </c>
      <c r="D102" s="12" t="inlineStr">
        <is>
          <t>Valuation hard bar unverifiable — no published valuation exists, and ownership (management plus outside strategic/financial investor Optiver) does not meet the family-owned or employee-owned/cooperative exemption, so the &gt;$1B bar is treated as unmet.</t>
        </is>
      </c>
    </row>
    <row r="103">
      <c r="A103" s="12" t="inlineStr">
        <is>
          <t>Concord Resources</t>
        </is>
      </c>
      <c r="B103" s="12" t="inlineStr">
        <is>
          <t>Mining, Metals &amp; Commodities</t>
        </is>
      </c>
      <c r="C103" s="12" t="inlineStr">
        <is>
          <t>full verification</t>
        </is>
      </c>
      <c r="D103" s="12" t="inlineStr">
        <is>
          <t>Revenue hard bar not demonstrably met — best available figure is ~$8.6M (aggregator estimate), far under $100M, and no ARR-style metric applies; actual trading turnover is not publicly disclosed to confirm otherwise.</t>
        </is>
      </c>
    </row>
    <row r="104">
      <c r="A104" s="12" t="inlineStr">
        <is>
          <t>Franco-Nevada</t>
        </is>
      </c>
      <c r="B104" s="12" t="inlineStr">
        <is>
          <t>Mining, Metals &amp; Commodities</t>
        </is>
      </c>
      <c r="C104" s="12" t="inlineStr">
        <is>
          <t>full verification</t>
        </is>
      </c>
      <c r="D104" s="12" t="inlineStr">
        <is>
          <t>Headcount hard bar failed — only 44 employees as of Sept 2026 (stockanalysis.com), below the 51-employee minimum, despite record revenue and a large market cap. Exceeding on revenue/valuation never overrides a hard-bar fail elsewhere.</t>
        </is>
      </c>
    </row>
    <row r="105">
      <c r="A105" s="12" t="inlineStr">
        <is>
          <t>Liontown Resources</t>
        </is>
      </c>
      <c r="B105" s="12" t="inlineStr">
        <is>
          <t>Mining, Metals &amp; Commodities</t>
        </is>
      </c>
      <c r="C105" s="12" t="inlineStr">
        <is>
          <t>full verification</t>
        </is>
      </c>
      <c r="D105" s="12" t="inlineStr">
        <is>
          <t>Audience hard bar failed — roughly 90% of Kathleen Valley's spodumene output is committed under binding offtakes to just two to three customers (Tesla, LG Energy Solution, plus a newer Ford agreement), i.e. dependence on far fewer than 20 customers, despite revenue ($190M) and valuation (~$2.0B) bot</t>
        </is>
      </c>
    </row>
    <row r="106">
      <c r="A106" s="12" t="inlineStr">
        <is>
          <t>Maptek</t>
        </is>
      </c>
      <c r="B106" s="12" t="inlineStr">
        <is>
          <t>Mining, Metals &amp; Commodities</t>
        </is>
      </c>
      <c r="C106" s="12" t="inlineStr">
        <is>
          <t>full verification</t>
        </is>
      </c>
      <c r="D106" s="12" t="inlineStr">
        <is>
          <t>Revenue hard bar not met on best available evidence — ~$92.4M per third-party aggregators, below the $100M threshold. The family-owned exemption waives the valuation bar, not the revenue bar, so this remains a hard fail absent a confirmed higher figure.</t>
        </is>
      </c>
    </row>
    <row r="107">
      <c r="A107" s="12" t="inlineStr">
        <is>
          <t>RCT (Remote Control Technologies)</t>
        </is>
      </c>
      <c r="B107" s="12" t="inlineStr">
        <is>
          <t>Mining, Metals &amp; Commodities</t>
        </is>
      </c>
      <c r="C107" s="12" t="inlineStr">
        <is>
          <t>full verification</t>
        </is>
      </c>
      <c r="D107" s="12" t="inlineStr">
        <is>
          <t>Revenue hard bar fails: RCT's own revenue was ~US$55-60M at 2022 acquisition, below the $100M threshold, and it is now a fully absorbed division of Epiroc AB with no independent financials or spend authority (subsidiary, not a standalone sponsorship prospect).</t>
        </is>
      </c>
    </row>
    <row r="108">
      <c r="A108" s="12" t="inlineStr">
        <is>
          <t>American Vanguard Corporation (AMVAC)</t>
        </is>
      </c>
      <c r="B108" s="12" t="inlineStr">
        <is>
          <t>Agriculture &amp; AgTech</t>
        </is>
      </c>
      <c r="C108" s="12" t="inlineStr">
        <is>
          <t>full verification</t>
        </is>
      </c>
      <c r="D108" s="12" t="inlineStr">
        <is>
          <t>Valuation hard bar fails: market cap is ~$145M, far below the $1B threshold, and AMVAC is a public company (not eligible for the family-owned/no-published-valuation exception).</t>
        </is>
      </c>
    </row>
    <row r="109">
      <c r="A109" s="12" t="inlineStr">
        <is>
          <t>Bioceres Crop Solutions</t>
        </is>
      </c>
      <c r="B109" s="12" t="inlineStr">
        <is>
          <t>Agriculture &amp; AgTech</t>
        </is>
      </c>
      <c r="C109" s="12" t="inlineStr">
        <is>
          <t>full verification</t>
        </is>
      </c>
      <c r="D109" s="12" t="inlineStr">
        <is>
          <t>Valuation hard bar fails badly: market cap ~$38M, nowhere near the $1B threshold; company is also in visible financial distress (heavy near-term debt maturities), failing the capacity-to-spend criterion independently.</t>
        </is>
      </c>
    </row>
    <row r="110">
      <c r="A110" s="12" t="inlineStr">
        <is>
          <t>Compass Minerals</t>
        </is>
      </c>
      <c r="B110" s="12" t="inlineStr">
        <is>
          <t>Agriculture &amp; AgTech</t>
        </is>
      </c>
      <c r="C110" s="12" t="inlineStr">
        <is>
          <t>full verification</t>
        </is>
      </c>
      <c r="D110" s="12" t="inlineStr">
        <is>
          <t>Valuation hard bar fails: market cap $949.61M as of Sept 25 2026, just under the $1B threshold, and the company is still net-loss-making (though improving), which alone would also raise a capacity-to-spend concern.</t>
        </is>
      </c>
    </row>
    <row r="111">
      <c r="A111" s="12" t="inlineStr">
        <is>
          <t>Grieg Seafood</t>
        </is>
      </c>
      <c r="B111" s="12" t="inlineStr">
        <is>
          <t>Agriculture &amp; AgTech</t>
        </is>
      </c>
      <c r="C111" s="12" t="inlineStr">
        <is>
          <t>full verification</t>
        </is>
      </c>
      <c r="D111" s="12" t="inlineStr">
        <is>
          <t>Valuation hard bar fails: market cap ~3.25B NOK (~US$300-310M), well below the $1B threshold; it is publicly listed with a published valuation so the family-owned exception does not apply.</t>
        </is>
      </c>
    </row>
    <row r="112">
      <c r="A112" s="12" t="inlineStr">
        <is>
          <t>Rallis India Limited</t>
        </is>
      </c>
      <c r="B112" s="12" t="inlineStr">
        <is>
          <t>Agriculture &amp; AgTech</t>
        </is>
      </c>
      <c r="C112" s="12" t="inlineStr">
        <is>
          <t>full verification</t>
        </is>
      </c>
      <c r="D112" s="12" t="inlineStr">
        <is>
          <t>Valuation hard bar fails: market cap ~Rs 4,627 Cr (~US$555-560M) as of Sept 2026, below the $1B threshold.</t>
        </is>
      </c>
    </row>
    <row r="113">
      <c r="A113" s="12" t="inlineStr">
        <is>
          <t>AgroStar</t>
        </is>
      </c>
      <c r="B113" s="12" t="inlineStr">
        <is>
          <t>Agriculture &amp; AgTech</t>
        </is>
      </c>
      <c r="C113" s="12" t="inlineStr">
        <is>
          <t>full verification</t>
        </is>
      </c>
      <c r="D113" s="12" t="inlineStr">
        <is>
          <t>Both hard bars fail: revenue is ~$31M (most recent figure found), far below $100M / ARR $50M growing 50%+, and valuation is ~$250-293M, well below the $1B threshold.</t>
        </is>
      </c>
    </row>
    <row r="114">
      <c r="A114" s="12" t="inlineStr">
        <is>
          <t>DeHaat</t>
        </is>
      </c>
      <c r="B114" s="12" t="inlineStr">
        <is>
          <t>Agriculture &amp; AgTech</t>
        </is>
      </c>
      <c r="C114" s="12" t="inlineStr">
        <is>
          <t>full verification</t>
        </is>
      </c>
      <c r="D114" s="12" t="inlineStr">
        <is>
          <t>Valuation hard bar fails: best available mark is ~$700-800M, below the $1B threshold (no updated equity valuation found for 2025); company is also still loss-making.</t>
        </is>
      </c>
    </row>
    <row r="115">
      <c r="A115" s="12" t="inlineStr">
        <is>
          <t>Ninjacart</t>
        </is>
      </c>
      <c r="B115" s="12" t="inlineStr">
        <is>
          <t>Agriculture &amp; AgTech</t>
        </is>
      </c>
      <c r="C115" s="12" t="inlineStr">
        <is>
          <t>full verification</t>
        </is>
      </c>
      <c r="D115" s="12" t="inlineStr">
        <is>
          <t>Valuation hard bar fails: ~$700M (2024, Inc42/Tracxn) vs. required &gt;$1B; not family/employee-owned, so revenue alone does not exempt it from the valuation bar.</t>
        </is>
      </c>
    </row>
    <row r="116">
      <c r="A116" s="12" t="inlineStr">
        <is>
          <t>Pivot Bio</t>
        </is>
      </c>
      <c r="B116" s="12" t="inlineStr">
        <is>
          <t>Agriculture &amp; AgTech</t>
        </is>
      </c>
      <c r="C116" s="12" t="inlineStr">
        <is>
          <t>full verification</t>
        </is>
      </c>
      <c r="D116" s="12" t="inlineStr">
        <is>
          <t>Revenue est. $16.7M (2026, Growjo) is far below the $100M hard bar; capacity-to-spend also fails — no funding since the 2021 Series D (&gt;18mo) plus 2025 layoffs/site closure signal cost-cutting, not clear profitability.</t>
        </is>
      </c>
    </row>
    <row r="117">
      <c r="A117" s="12" t="inlineStr">
        <is>
          <t>80 Acres Farms</t>
        </is>
      </c>
      <c r="B117" s="12" t="inlineStr">
        <is>
          <t>Agriculture &amp; AgTech</t>
        </is>
      </c>
      <c r="C117" s="12" t="inlineStr">
        <is>
          <t>full verification</t>
        </is>
      </c>
      <c r="D117" s="12" t="inlineStr">
        <is>
          <t>Company shut down / wound down in August 2026 after a prospective acquirer (Soli Organic merger) withdrew; 145 Hamilton, OH jobs cut Aug 3-17, 2026 — no longer a going concern, fails every hard filter by default.</t>
        </is>
      </c>
    </row>
    <row r="118">
      <c r="A118" s="12" t="inlineStr">
        <is>
          <t>Gotham Greens</t>
        </is>
      </c>
      <c r="B118" s="12" t="inlineStr">
        <is>
          <t>Agriculture &amp; AgTech</t>
        </is>
      </c>
      <c r="C118" s="12" t="inlineStr">
        <is>
          <t>full verification</t>
        </is>
      </c>
      <c r="D118" s="12" t="inlineStr">
        <is>
          <t>No dated primary source confirms revenue &gt;$100M or a valuation &gt;$1B; last funding was Sep 2022 (&gt;18 months) with no confirmed profitability, so capacity-to-spend is unverified.</t>
        </is>
      </c>
    </row>
    <row r="119">
      <c r="A119" s="12" t="inlineStr">
        <is>
          <t>Sound Agriculture</t>
        </is>
      </c>
      <c r="B119" s="12" t="inlineStr">
        <is>
          <t>Agriculture &amp; AgTech</t>
        </is>
      </c>
      <c r="C119" s="12" t="inlineStr">
        <is>
          <t>full verification</t>
        </is>
      </c>
      <c r="D119" s="12" t="inlineStr">
        <is>
          <t>Revenue est. $100K-$5M and valuation ~$275M (Dec 2024) are both far below the $100M revenue / $1B valuation hard bars, despite recent funding.</t>
        </is>
      </c>
    </row>
    <row r="120">
      <c r="A120" s="12" t="inlineStr">
        <is>
          <t>Amity Technology</t>
        </is>
      </c>
      <c r="B120" s="12" t="inlineStr">
        <is>
          <t>Agriculture &amp; AgTech</t>
        </is>
      </c>
      <c r="C120" s="12" t="inlineStr">
        <is>
          <t>full verification</t>
        </is>
      </c>
      <c r="D120" s="12" t="inlineStr">
        <is>
          <t>Revenue est. ~$19M (RocketReach/IncFact) is far below the $100M hard bar; the family-owned exemption waives the valuation requirement but not the revenue bar itself.</t>
        </is>
      </c>
    </row>
    <row r="121">
      <c r="A121" s="12" t="inlineStr">
        <is>
          <t>Flink</t>
        </is>
      </c>
      <c r="B121" s="12" t="inlineStr">
        <is>
          <t>Retail &amp; E-commerce</t>
        </is>
      </c>
      <c r="C121" s="12" t="inlineStr">
        <is>
          <t>full verification</t>
        </is>
      </c>
      <c r="D121" s="12" t="inlineStr">
        <is>
          <t xml:space="preserve">Valuation ~$900M (Mar 2026) fails the &gt;$1B hard bar, and the pattern of market exits (French subsidiary bankruptcy Apr 2024, Austria exit 2022) plus a 20.6% YoY headcount decline reads as cost-cutting/contraction on the ground despite a claimed path to EBITDA profitability — capacity-to-spend fails </t>
        </is>
      </c>
    </row>
    <row r="122">
      <c r="A122" s="12" t="inlineStr">
        <is>
          <t>Floward</t>
        </is>
      </c>
      <c r="B122" s="12" t="inlineStr">
        <is>
          <t>Retail &amp; E-commerce</t>
        </is>
      </c>
      <c r="C122" s="12" t="inlineStr">
        <is>
          <t>full verification</t>
        </is>
      </c>
      <c r="D122" s="12" t="inlineStr">
        <is>
          <t>No dated, sourced figure confirms revenue &gt;$100M or valuation &gt;$1B (both hard bars unverified/likely unmet), and the last funding round was Feb 2023 (&gt;18 months) with no confirmed profitability — capacity to spend is unverified.</t>
        </is>
      </c>
    </row>
    <row r="123">
      <c r="A123" s="12" t="inlineStr">
        <is>
          <t>Gopuff</t>
        </is>
      </c>
      <c r="B123" s="12" t="inlineStr">
        <is>
          <t>Retail &amp; E-commerce</t>
        </is>
      </c>
      <c r="C123" s="12" t="inlineStr">
        <is>
          <t>full verification</t>
        </is>
      </c>
      <c r="D123" s="12" t="inlineStr">
        <is>
          <t>F1 conflict: Gopuff is McLaren's official instant-delivery partner, a multiyear global deal announced Feb 15, 2022 and still branded on McLaren cars (mclaren.com/racing/partners/gopuff; Grocery Gazette; BusinessWire). Confirmed direct tie to a 2026-grid team.</t>
        </is>
      </c>
    </row>
    <row r="124">
      <c r="A124" s="12" t="inlineStr">
        <is>
          <t>Salla</t>
        </is>
      </c>
      <c r="B124" s="12" t="inlineStr">
        <is>
          <t>Retail &amp; E-commerce</t>
        </is>
      </c>
      <c r="C124" s="12" t="inlineStr">
        <is>
          <t>full verification</t>
        </is>
      </c>
      <c r="D124" s="12" t="inlineStr">
        <is>
          <t>Passes on valuation alone (unicorn, &gt;$1B, March 2024) since revenue is unconfirmed and likely below the $100M bar; no F1 conflict found; ownership carries a flagged minority PIF stake but not majority. Real reservation: stale funding round (2.5 yrs) raises capacity-to-spend doubt, and fit score sits</t>
        </is>
      </c>
    </row>
    <row r="125">
      <c r="A125" s="12" t="inlineStr">
        <is>
          <t>Zid</t>
        </is>
      </c>
      <c r="B125" s="12" t="inlineStr">
        <is>
          <t>Retail &amp; E-commerce</t>
        </is>
      </c>
      <c r="C125" s="12" t="inlineStr">
        <is>
          <t>full verification</t>
        </is>
      </c>
      <c r="D125" s="12" t="inlineStr">
        <is>
          <t>Fails both financial hard bars: no evidence of &gt;$100M revenue or qualifying &gt;$50M ARR growing &gt;50% YoY, and no published valuation approaching $1B (total lifetime funding only ~$59M, last raise Oct 2022). No F1 conflict found, but the company does not clear the scale threshold on either revenue or v</t>
        </is>
      </c>
    </row>
    <row r="126">
      <c r="A126" s="12" t="inlineStr">
        <is>
          <t>Hepsiburada</t>
        </is>
      </c>
      <c r="B126" s="12" t="inlineStr">
        <is>
          <t>Retail &amp; E-commerce</t>
        </is>
      </c>
      <c r="C126" s="12" t="inlineStr">
        <is>
          <t>full verification</t>
        </is>
      </c>
      <c r="D126" s="12" t="inlineStr">
        <is>
          <t>Revenue (TRY84.65B / ~$2.4B, FY2025) clears the hard bar even though market cap (~$903M) falls just short of $1B; no F1 conflict found; ownership carries no compliance issue. However net loss widened sharply and EBITDA fell YoY in FY2025 (partly hyperinflation-accounting driven) - a real capacity re</t>
        </is>
      </c>
    </row>
    <row r="127">
      <c r="A127" s="12" t="inlineStr">
        <is>
          <t>Namshi (Emaar)</t>
        </is>
      </c>
      <c r="B127" s="12" t="inlineStr">
        <is>
          <t>Retail &amp; E-commerce</t>
        </is>
      </c>
      <c r="C127" s="12" t="inlineStr">
        <is>
          <t>full verification</t>
        </is>
      </c>
      <c r="D127" s="12" t="inlineStr">
        <is>
          <t>Valuation hard bar failed: no published valuation &gt;$1B; last known figure is the $335M 2023 acquisition price by Noon.com, and Namshi is not family/employee-owned so no exemption applies.</t>
        </is>
      </c>
    </row>
    <row r="128">
      <c r="A128" s="12" t="inlineStr">
        <is>
          <t>ESW (eShopWorld)</t>
        </is>
      </c>
      <c r="B128" s="12" t="inlineStr">
        <is>
          <t>Retail &amp; E-commerce</t>
        </is>
      </c>
      <c r="C128" s="12" t="inlineStr">
        <is>
          <t>full verification</t>
        </is>
      </c>
      <c r="D128" s="12" t="inlineStr">
        <is>
          <t>Ownership hard filter failed: majority state ownership via parent Asendia, a joint venture of two state-controlled postal operators (Swiss Post, wholly Swiss-state-owned; La Poste Groupe, majority French state/Caisse des Dépôts-owned).</t>
        </is>
      </c>
    </row>
    <row r="129">
      <c r="A129" s="12" t="inlineStr">
        <is>
          <t>GSF Car Parts (LKQ Euro)</t>
        </is>
      </c>
      <c r="B129" s="12" t="inlineStr">
        <is>
          <t>Retail &amp; E-commerce</t>
        </is>
      </c>
      <c r="C129" s="12" t="inlineStr">
        <is>
          <t>full verification</t>
        </is>
      </c>
      <c r="D129" s="12" t="inlineStr">
        <is>
          <t>Valuation hard bar failed: no published valuation (2023 Epiris acquisition terms undisclosed); GSF is PE-owned, not family/employee-owned, so no valuation exemption applies despite strong revenue (£480M, +21% YoY).</t>
        </is>
      </c>
    </row>
    <row r="130">
      <c r="A130" s="12" t="inlineStr">
        <is>
          <t>Konga</t>
        </is>
      </c>
      <c r="B130" s="12" t="inlineStr">
        <is>
          <t>Retail &amp; E-commerce</t>
        </is>
      </c>
      <c r="C130" s="12" t="inlineStr">
        <is>
          <t>full verification</t>
        </is>
      </c>
      <c r="D130" s="12" t="inlineStr">
        <is>
          <t>Revenue hard bar failed: no evidence of &gt;$100M revenue; valuation also unconfirmed at scale (last credible figure ~$200M pre-acquisition; the widely-cited '$2B' claim is unsubstantiated).</t>
        </is>
      </c>
    </row>
    <row r="131">
      <c r="A131" s="12" t="inlineStr">
        <is>
          <t>Newegg Commerce</t>
        </is>
      </c>
      <c r="B131" s="12" t="inlineStr">
        <is>
          <t>Retail &amp; E-commerce</t>
        </is>
      </c>
      <c r="C131" s="12" t="inlineStr">
        <is>
          <t>full verification</t>
        </is>
      </c>
      <c r="D131" s="12" t="inlineStr">
        <is>
          <t>Valuation hard bar failed: market cap ~$73M, far below the $1B threshold (Nasdaq: NEGG, micro-cap).</t>
        </is>
      </c>
    </row>
    <row r="132">
      <c r="A132" s="12" t="inlineStr">
        <is>
          <t>Takealot (Naspers/Prosus)</t>
        </is>
      </c>
      <c r="B132" s="12" t="inlineStr">
        <is>
          <t>Retail &amp; E-commerce</t>
        </is>
      </c>
      <c r="C132" s="12" t="inlineStr">
        <is>
          <t>full verification</t>
        </is>
      </c>
      <c r="D132" s="12" t="inlineStr">
        <is>
          <t>Valuation hard bar failed: no published standalone valuation (96% Naspers subsidiary, not separately listed); Takealot is not family/employee-owned so no exemption applies, despite revenue clearing $100M+ and improving profitability.</t>
        </is>
      </c>
    </row>
    <row r="133">
      <c r="A133" s="12" t="inlineStr">
        <is>
          <t>Global Fashion Group (Zalora, Lamoda excl.)</t>
        </is>
      </c>
      <c r="B133" s="12" t="inlineStr">
        <is>
          <t>Retail &amp; E-commerce</t>
        </is>
      </c>
      <c r="C133" s="12" t="inlineStr">
        <is>
          <t>full verification</t>
        </is>
      </c>
      <c r="D133" s="12" t="inlineStr">
        <is>
          <t>Valuation hard bar fails: market cap ~€110M (~$120M), far below the &gt;$1B threshold. Not family/employee-owned, so no exemption to pass on revenue alone applies (it is a dispersed public shareholding).</t>
        </is>
      </c>
    </row>
    <row r="134">
      <c r="A134" s="12" t="inlineStr">
        <is>
          <t>Qurate Retail (QVC)</t>
        </is>
      </c>
      <c r="B134" s="12" t="inlineStr">
        <is>
          <t>Retail &amp; E-commerce</t>
        </is>
      </c>
      <c r="C134" s="12" t="inlineStr">
        <is>
          <t>full verification</t>
        </is>
      </c>
      <c r="D134" s="12" t="inlineStr">
        <is>
          <t>Capacity hard filter fails: QVC Group filed for Chapter 11 bankruptcy in April 2026 under a ~$6.6B debt load — the definition of distress. Separately, QVC previously ran a branded F1 Academy entry (PREMA Racing / Courtney Crone, 2024 Miami Grand Prix), an F1-ecosystem tie that would need to be clear</t>
        </is>
      </c>
    </row>
    <row r="135">
      <c r="A135" s="12" t="inlineStr">
        <is>
          <t>Loar Group</t>
        </is>
      </c>
      <c r="B135" s="12" t="inlineStr">
        <is>
          <t>Aviation &amp; Aerospace Supplie</t>
        </is>
      </c>
      <c r="C135" s="12" t="inlineStr">
        <is>
          <t>full verification</t>
        </is>
      </c>
      <c r="D135" s="12" t="inlineStr">
        <is>
          <t>F1 conflict — Loar Group's subsidiary SCHROTH Safety Products supplies harness/restraint systems to McLaren F1 (current 2026 grid team) and other F1 teams; disqualifying tie via subsidiary.</t>
        </is>
      </c>
    </row>
    <row r="136">
      <c r="A136" s="12" t="inlineStr">
        <is>
          <t>RECARO Aircraft Seating</t>
        </is>
      </c>
      <c r="B136" s="12" t="inlineStr">
        <is>
          <t>Aviation &amp; Aerospace Supplie</t>
        </is>
      </c>
      <c r="C136" s="12" t="inlineStr">
        <is>
          <t>full verification</t>
        </is>
      </c>
      <c r="D136" s="12" t="inlineStr">
        <is>
          <t>F1 conflict — RECARO is a listed official partner of the Williams F1 team (williamsf1.com/partners/recaro) via sibling company RECARO Automotive under common RECARO Group/Putsch family ownership; disqualifying tie.</t>
        </is>
      </c>
    </row>
    <row r="137">
      <c r="A137" s="12" t="inlineStr">
        <is>
          <t>Constant Aviation</t>
        </is>
      </c>
      <c r="B137" s="12" t="inlineStr">
        <is>
          <t>Aviation &amp; Aerospace Supplie</t>
        </is>
      </c>
      <c r="C137" s="12" t="inlineStr">
        <is>
          <t>full verification</t>
        </is>
      </c>
      <c r="D137" s="12" t="inlineStr">
        <is>
          <t>F1 conflict: Constant Aviation is a wholly-owned subsidiary/maintenance division of Flexjet (acquired Feb 2023, both under Directional Aviation), and Flexjet was announced as Formula 1's Official Private Aviation Supplier in a multi-year global partnership on July 1, 2026 (Formula1.com corp release;</t>
        </is>
      </c>
    </row>
    <row r="138">
      <c r="A138" s="12" t="inlineStr">
        <is>
          <t>Elliott Aviation</t>
        </is>
      </c>
      <c r="B138" s="12" t="inlineStr">
        <is>
          <t>Aviation &amp; Aerospace Supplie</t>
        </is>
      </c>
      <c r="C138" s="12" t="inlineStr">
        <is>
          <t>full verification</t>
        </is>
      </c>
      <c r="D138" s="12" t="inlineStr">
        <is>
          <t>Revenue hard bar fails: best available estimate ~$69M annual revenue (IncFact, 2026), below the $100M threshold; not a SaaS/ARR business so the ARR alternative bar does not apply.</t>
        </is>
      </c>
    </row>
    <row r="139">
      <c r="A139" s="12" t="inlineStr">
        <is>
          <t>Gama Aviation</t>
        </is>
      </c>
      <c r="B139" s="12" t="inlineStr">
        <is>
          <t>Aviation &amp; Aerospace Supplie</t>
        </is>
      </c>
      <c r="C139" s="12" t="inlineStr">
        <is>
          <t>full verification</t>
        </is>
      </c>
      <c r="D139" s="12" t="inlineStr">
        <is>
          <t>Valuation hard bar fails: last confirmed market cap ~£63.5M/~$80M (GuruFocus, Apr 2025) prior to May 2024 delisting, far below the $1B bar; company is founder/investor-controlled rather than family-owned, so no revenue-alone exemption applies.</t>
        </is>
      </c>
    </row>
    <row r="140">
      <c r="A140" s="12" t="inlineStr">
        <is>
          <t>Geven S.p.A</t>
        </is>
      </c>
      <c r="B140" s="12" t="inlineStr">
        <is>
          <t>Aviation &amp; Aerospace Supplie</t>
        </is>
      </c>
      <c r="C140" s="12" t="inlineStr">
        <is>
          <t>full verification</t>
        </is>
      </c>
      <c r="D140" s="12" t="inlineStr">
        <is>
          <t>Revenue hard bar fails: €52.39M in FY2024 (~$56M), well below the $100M threshold.</t>
        </is>
      </c>
    </row>
    <row r="141">
      <c r="A141" s="12" t="inlineStr">
        <is>
          <t>Jetex</t>
        </is>
      </c>
      <c r="B141" s="12" t="inlineStr">
        <is>
          <t>Aviation &amp; Aerospace Supplie</t>
        </is>
      </c>
      <c r="C141" s="12" t="inlineStr">
        <is>
          <t>full verification</t>
        </is>
      </c>
      <c r="D141" s="12" t="inlineStr">
        <is>
          <t>Revenue hard bar fails: best-supported estimate ~$69-74M (IncFact/RocketReach, 2026), below the $100M threshold; no reliable source confirms revenue above $100M.</t>
        </is>
      </c>
    </row>
    <row r="142">
      <c r="A142" s="12" t="inlineStr">
        <is>
          <t>STG Aerospace</t>
        </is>
      </c>
      <c r="B142" s="12" t="inlineStr">
        <is>
          <t>Aviation &amp; Aerospace Supplie</t>
        </is>
      </c>
      <c r="C142" s="12" t="inlineStr">
        <is>
          <t>full verification</t>
        </is>
      </c>
      <c r="D142" s="12" t="inlineStr">
        <is>
          <t>Revenue hard bar fails decisively: £12.17M in FY2022 (~$15M), far below the $100M threshold.</t>
        </is>
      </c>
    </row>
    <row r="143">
      <c r="A143" s="12" t="inlineStr">
        <is>
          <t>Vallair</t>
        </is>
      </c>
      <c r="B143" s="12" t="inlineStr">
        <is>
          <t>Aviation &amp; Aerospace Supplie</t>
        </is>
      </c>
      <c r="C143" s="12" t="inlineStr">
        <is>
          <t>full verification</t>
        </is>
      </c>
      <c r="D143" s="12" t="inlineStr">
        <is>
          <t>Revenue hard bar fails on best available evidence: the MRO/industrial segment (one of two group segments) turned over only $57M in 2024, with no confirmed total-group figure exceeding $100M.</t>
        </is>
      </c>
    </row>
    <row r="144">
      <c r="A144" s="12" t="inlineStr">
        <is>
          <t>Aspen Avionics</t>
        </is>
      </c>
      <c r="B144" s="12" t="inlineStr">
        <is>
          <t>Aviation &amp; Aerospace Supplie</t>
        </is>
      </c>
      <c r="C144" s="12" t="inlineStr">
        <is>
          <t>full verification</t>
        </is>
      </c>
      <c r="D144" s="12" t="inlineStr">
        <is>
          <t>Revenue hard bar fails: Aspen is a minority segment of parent AIRO Group Holdings' $90.9M FY2025 total revenue (avionics segment, with Drones ~87% of revenue), so Aspen's own revenue is far under $100M; headcount is also borderline/possibly below the 51 floor (41-150 across sources).</t>
        </is>
      </c>
    </row>
    <row r="145">
      <c r="A145" s="12" t="inlineStr">
        <is>
          <t>Avidyne Corporation</t>
        </is>
      </c>
      <c r="B145" s="12" t="inlineStr">
        <is>
          <t>Aviation &amp; Aerospace Supplie</t>
        </is>
      </c>
      <c r="C145" s="12" t="inlineStr">
        <is>
          <t>full verification</t>
        </is>
      </c>
      <c r="D145" s="12" t="inlineStr">
        <is>
          <t>Revenue hard bar fails: no confirmed FY revenue disclosed anywhere; company is small and private (132 employees, ~$32M total funding raised to date) with a documented history of financial distress, so revenue is almost certainly well under the $100M bar.</t>
        </is>
      </c>
    </row>
    <row r="146">
      <c r="A146" s="12" t="inlineStr">
        <is>
          <t>Empire Aviation Group</t>
        </is>
      </c>
      <c r="B146" s="12" t="inlineStr">
        <is>
          <t>Aviation &amp; Aerospace Supplie</t>
        </is>
      </c>
      <c r="C146" s="12" t="inlineStr">
        <is>
          <t>full verification</t>
        </is>
      </c>
      <c r="D146" s="12" t="inlineStr">
        <is>
          <t>Revenue hard bar fails: estimated $10-50M annual revenue (Owler/PitchBook), well under the $100M bar, with no published valuation to qualify via that path either.</t>
        </is>
      </c>
    </row>
    <row r="147">
      <c r="A147" s="12" t="inlineStr">
        <is>
          <t>uAvionix</t>
        </is>
      </c>
      <c r="B147" s="12" t="inlineStr">
        <is>
          <t>Aviation &amp; Aerospace Supplie</t>
        </is>
      </c>
      <c r="C147" s="12" t="inlineStr">
        <is>
          <t>full verification</t>
        </is>
      </c>
      <c r="D147" s="12" t="inlineStr">
        <is>
          <t>Fails multiple hard bars: revenue est. $5-25M is well under the $100M/ARR bar, headcount is ~41 employees (below the 51 floor per LeadIQ, July 2024), and there is no funding round within the last 18 months to evidence GTM/expansion capacity.</t>
        </is>
      </c>
    </row>
    <row r="148">
      <c r="A148" s="12" t="inlineStr">
        <is>
          <t>Victor</t>
        </is>
      </c>
      <c r="B148" s="12" t="inlineStr">
        <is>
          <t>Aviation &amp; Aerospace Supplie</t>
        </is>
      </c>
      <c r="C148" s="12" t="inlineStr">
        <is>
          <t>full verification</t>
        </is>
      </c>
      <c r="D148" s="12" t="inlineStr">
        <is>
          <t>Revenue hard bar fails: ~$65.5M (2026, Owler, likely gross booking value rather than company revenue) is under the $100M bar; headcount is also ambiguous but likely at or below the 51-employee floor (25-100 range across sources).</t>
        </is>
      </c>
    </row>
    <row r="149">
      <c r="A149" s="12" t="inlineStr">
        <is>
          <t>Castelli</t>
        </is>
      </c>
      <c r="B149" s="12" t="inlineStr">
        <is>
          <t>Sporting Goods &amp; Fitness</t>
        </is>
      </c>
      <c r="C149" s="12" t="inlineStr">
        <is>
          <t>full verification</t>
        </is>
      </c>
      <c r="D149" s="12" t="inlineStr">
        <is>
          <t>Revenue hard bar fails: estimated ~$82.5M (Fashionbi/LeadIQ), below the $100M bar, with no published valuation for Castelli specifically to qualify via that alternate path.</t>
        </is>
      </c>
    </row>
    <row r="150">
      <c r="A150" s="12" t="inlineStr">
        <is>
          <t>Concept2</t>
        </is>
      </c>
      <c r="B150" s="12" t="inlineStr">
        <is>
          <t>Sporting Goods &amp; Fitness</t>
        </is>
      </c>
      <c r="C150" s="12" t="inlineStr">
        <is>
          <t>full verification</t>
        </is>
      </c>
      <c r="D150" s="12" t="inlineStr">
        <is>
          <t>Revenue hard bar fails even under the employee/trust-owned exception (which still requires clearing the $100M bar on revenue alone): estimated revenue is only ~$20.1M, far short of $100M.</t>
        </is>
      </c>
    </row>
    <row r="151">
      <c r="A151" s="12" t="inlineStr">
        <is>
          <t>Fitness First</t>
        </is>
      </c>
      <c r="B151" s="12" t="inlineStr">
        <is>
          <t>Sporting Goods &amp; Fitness</t>
        </is>
      </c>
      <c r="C151" s="12" t="inlineStr">
        <is>
          <t>full verification</t>
        </is>
      </c>
      <c r="D151" s="12" t="inlineStr">
        <is>
          <t>Revenue hard bar fails: £38.4M (~$49M) FY2024 revenue for the current UK-only operating entity (27 clubs), well under the $100M bar; the brand has also shrunk substantially from its former global scale.</t>
        </is>
      </c>
    </row>
    <row r="152">
      <c r="A152" s="12" t="inlineStr">
        <is>
          <t>Rapha Racing</t>
        </is>
      </c>
      <c r="B152" s="12" t="inlineStr">
        <is>
          <t>Sporting Goods &amp; Fitness</t>
        </is>
      </c>
      <c r="C152" s="12" t="inlineStr">
        <is>
          <t>full verification</t>
        </is>
      </c>
      <c r="D152" s="12" t="inlineStr">
        <is>
          <t xml:space="preserve">Fails the capacity-to-spend hard filter: Rapha is in active cost-cutting/distress, not profitable or clearly improving — £19.7m loss in FY2024, £60m cumulative losses over three years, reported job cuts, and management targeting 'sustainable profitability' only by 2027 (road.cc, Cycling Weekly, Oct </t>
        </is>
      </c>
    </row>
    <row r="153">
      <c r="A153" s="12" t="inlineStr">
        <is>
          <t>Hydrow</t>
        </is>
      </c>
      <c r="B153" s="12" t="inlineStr">
        <is>
          <t>Sporting Goods &amp; Fitness</t>
        </is>
      </c>
      <c r="C153" s="12" t="inlineStr">
        <is>
          <t>full verification</t>
        </is>
      </c>
      <c r="D153" s="12" t="inlineStr">
        <is>
          <t xml:space="preserve">Revenue fails hard bar: most reliable current estimates place annual revenue at $50-100M (Growjo/Zippia, 2026), below the $100M threshold, with no ARR&gt;$50M-growing-&gt;50%-YoY evidence. Capacity-to-spend also fails: last raise was $32.4M on 2022-12-19 (PitchBook), over 18 months ago, with no confirmed </t>
        </is>
      </c>
    </row>
    <row r="154">
      <c r="A154" s="12" t="inlineStr">
        <is>
          <t>Momentous</t>
        </is>
      </c>
      <c r="B154" s="12" t="inlineStr">
        <is>
          <t>Sporting Goods &amp; Fitness</t>
        </is>
      </c>
      <c r="C154" s="12" t="inlineStr">
        <is>
          <t>full verification</t>
        </is>
      </c>
      <c r="D154" s="12" t="inlineStr">
        <is>
          <t>Revenue fails hard bar: estimates range from $5-25M (Owler/Craft.co, 2026) versus an older $40M figure for 2022, in all cases below the $100M threshold, with no verified ARR&gt;$50M growing &gt;50% YoY.</t>
        </is>
      </c>
    </row>
    <row r="155">
      <c r="A155" s="12" t="inlineStr">
        <is>
          <t>Venum</t>
        </is>
      </c>
      <c r="B155" s="12" t="inlineStr">
        <is>
          <t>Sporting Goods &amp; Fitness</t>
        </is>
      </c>
      <c r="C155" s="12" t="inlineStr">
        <is>
          <t>full verification</t>
        </is>
      </c>
      <c r="D155" s="12" t="inlineStr">
        <is>
          <t>Revenue fails hard bar: multiple 2025-2026 trackers (ecdb.com, Grips Intelligence, Growjo) converge on roughly $35-49M annual revenue, well under the $100M threshold, with no evidence of ARR&gt;$50M growing &gt;50% YoY.</t>
        </is>
      </c>
    </row>
    <row r="156">
      <c r="A156" s="12" t="inlineStr">
        <is>
          <t>Easton (Peak Achievement Athletics)</t>
        </is>
      </c>
      <c r="B156" s="12" t="inlineStr">
        <is>
          <t>Sporting Goods &amp; Fitness</t>
        </is>
      </c>
      <c r="C156" s="12" t="inlineStr">
        <is>
          <t>full verification</t>
        </is>
      </c>
      <c r="D156" s="12" t="inlineStr">
        <is>
          <t>Revenue fails hard bar: no current standalone revenue figure could be verified; the only concrete public number (Easton/Bauer combined ~$593M TTM at the 2013-14 acquisition, SEC filing) is over a decade stale and includes Bauer hockey, not Easton alone. Ownership is also unsettled mid-transaction (P</t>
        </is>
      </c>
    </row>
    <row r="157">
      <c r="A157" s="12" t="inlineStr">
        <is>
          <t>Everlast</t>
        </is>
      </c>
      <c r="B157" s="12" t="inlineStr">
        <is>
          <t>Sporting Goods &amp; Fitness</t>
        </is>
      </c>
      <c r="C157" s="12" t="inlineStr">
        <is>
          <t>full verification</t>
        </is>
      </c>
      <c r="D157" s="12" t="inlineStr">
        <is>
          <t>Revenue fails hard bar: Everlast has no standalone financial disclosure; it sits inside Frasers Group's combined 'Wholesale and Licensing' segment (£188.3M total across Everlast, Karrimor and Slazenger, FY reporting), so a &gt;$100M standalone Everlast figure cannot be verified. No F1 sponsorship tie w</t>
        </is>
      </c>
    </row>
    <row r="158">
      <c r="A158" s="12" t="inlineStr">
        <is>
          <t>Franklin Sports</t>
        </is>
      </c>
      <c r="B158" s="12" t="inlineStr">
        <is>
          <t>Sporting Goods &amp; Fitness</t>
        </is>
      </c>
      <c r="C158" s="12" t="inlineStr">
        <is>
          <t>full verification</t>
        </is>
      </c>
      <c r="D158" s="12" t="inlineStr">
        <is>
          <t>Revenue fails hard bar: best available estimate is ~$48.3M annually (D&amp;B/IncFact), consistent with a confirmed headcount of only ~239 employees (LinkedIn, May 2026); well under the $100M threshold with no ARR/growth story to qualify on the alternate bar.</t>
        </is>
      </c>
    </row>
    <row r="159">
      <c r="A159" s="12" t="inlineStr">
        <is>
          <t>Kappa (BasicNet)</t>
        </is>
      </c>
      <c r="B159" s="12" t="inlineStr">
        <is>
          <t>Sporting Goods &amp; Fitness</t>
        </is>
      </c>
      <c r="C159" s="12" t="inlineStr">
        <is>
          <t>full verification</t>
        </is>
      </c>
      <c r="D159" s="12" t="inlineStr">
        <is>
          <t>F1 conflict: Kappa (a BasicNet brand) has been the official technical apparel sponsor of the BWT Alpine F1 Team since the start of the 2022 season, continuing through at least the 2024 season (Alpine media, SportBusiness, FashionNetwork) — Alpine is one of the 2026 grid's eleven teams, a direct conf</t>
        </is>
      </c>
    </row>
    <row r="160">
      <c r="A160" s="12" t="inlineStr">
        <is>
          <t>Lotto Sport Italia</t>
        </is>
      </c>
      <c r="B160" s="12" t="inlineStr">
        <is>
          <t>Sporting Goods &amp; Fitness</t>
        </is>
      </c>
      <c r="C160" s="12" t="inlineStr">
        <is>
          <t>full verification</t>
        </is>
      </c>
      <c r="D160" s="12" t="inlineStr">
        <is>
          <t>Revenue fails hard bar: Lotto Sport Italia S.p.A.'s official Italian filings show €30.2M revenue in FY2024, down 24.7% from €40.1M in FY2023 (company-registry data), far below the $100M threshold and moving in the wrong direction.</t>
        </is>
      </c>
    </row>
    <row r="161">
      <c r="A161" s="12" t="inlineStr">
        <is>
          <t>SoulCycle (Equinox Group)</t>
        </is>
      </c>
      <c r="B161" s="12" t="inlineStr">
        <is>
          <t>Sporting Goods &amp; Fitness</t>
        </is>
      </c>
      <c r="C161" s="12" t="inlineStr">
        <is>
          <t>full verification</t>
        </is>
      </c>
      <c r="D161" s="12" t="inlineStr">
        <is>
          <t>Capacity-to-spend fails: parent Equinox Group is in active financial distress — ~$1.02B debt load (Bloomberg), downgraded credit ratings (SGB Media), and restructuring advisors retained (Kirkland &amp; Ellis/Centerview); sister portfolio brand Blink Fitness filed Chapter 11 in August 2024. SoulCycle its</t>
        </is>
      </c>
    </row>
    <row r="162">
      <c r="A162" s="12" t="inlineStr">
        <is>
          <t>TYR Sport</t>
        </is>
      </c>
      <c r="B162" s="12" t="inlineStr">
        <is>
          <t>Sporting Goods &amp; Fitness</t>
        </is>
      </c>
      <c r="C162" s="12" t="inlineStr">
        <is>
          <t>full verification</t>
        </is>
      </c>
      <c r="D162" s="12" t="inlineStr">
        <is>
          <t>Revenue hard bar fails: best available evidence (IncFact estimate $10-100M; confirmed online revenue only ~$31M in 2025) does not establish &gt;$100M revenue, and there is no qualifying ARR/growth figure under the alternate bar.</t>
        </is>
      </c>
    </row>
    <row r="163">
      <c r="A163" s="12" t="inlineStr">
        <is>
          <t>Intersport International</t>
        </is>
      </c>
      <c r="B163" s="12" t="inlineStr">
        <is>
          <t>Sporting Goods &amp; Fitness</t>
        </is>
      </c>
      <c r="C163" s="12" t="inlineStr">
        <is>
          <t>full verification</t>
        </is>
      </c>
      <c r="D163" s="12" t="inlineStr">
        <is>
          <t>Capacity to spend fails: the candidate entity (IIC, the central buying/brand-management body) is a fee-funded cooperative with minimal disclosed own-revenue; the EUR 14.1B figure is independent-retailer sell-through that IIC does not itself hold, and no entity-level revenue or spend capacity was fou</t>
        </is>
      </c>
    </row>
    <row r="164">
      <c r="A164" s="12" t="inlineStr">
        <is>
          <t>MacGregor (Cargotec)</t>
        </is>
      </c>
      <c r="B164" s="12" t="inlineStr">
        <is>
          <t>Maritime, Shipping &amp; Ports</t>
        </is>
      </c>
      <c r="C164" s="12" t="inlineStr">
        <is>
          <t>full verification</t>
        </is>
      </c>
      <c r="D164" s="12" t="inlineStr">
        <is>
          <t>Valuation hard bar fails: the most current and authoritative valuation is the EUR ~480M (~$520M) enterprise value Triton paid (announced Nov 2024, closed Jul 2025), well under the $1B bar; MacGregor is PE-owned, so no family/employee-owned exemption applies.</t>
        </is>
      </c>
    </row>
    <row r="165">
      <c r="A165" s="12" t="inlineStr">
        <is>
          <t>Veson Nautical</t>
        </is>
      </c>
      <c r="B165" s="12" t="inlineStr">
        <is>
          <t>Maritime, Shipping &amp; Ports</t>
        </is>
      </c>
      <c r="C165" s="12" t="inlineStr">
        <is>
          <t>full verification</t>
        </is>
      </c>
      <c r="D165" s="12" t="inlineStr">
        <is>
          <t>Valuation hard bar fails: no confirmed valuation figure (&gt;$1B or otherwise) exists for this PE-backed company, which does not qualify for the family/employee-owned exemption; capacity is also unconfirmed since the last raise (Dec 2023 Series C) is stale beyond 18 months with no evidence of clear pro</t>
        </is>
      </c>
    </row>
    <row r="166">
      <c r="A166" s="12" t="inlineStr">
        <is>
          <t>ZeroNorth</t>
        </is>
      </c>
      <c r="B166" s="12" t="inlineStr">
        <is>
          <t>Maritime, Shipping &amp; Ports</t>
        </is>
      </c>
      <c r="C166" s="12" t="inlineStr">
        <is>
          <t>full verification</t>
        </is>
      </c>
      <c r="D166" s="12" t="inlineStr">
        <is>
          <t>Revenue hard bar failed: ARR ~$40M (below the $50M floor) growing 38% YoY (below the required &gt;50% YoY) as of FY2024 (Tech.eu/EU-Startups, Jan-Feb 2025); revenue-only path (&gt;$100M) also not met.</t>
        </is>
      </c>
    </row>
    <row r="167">
      <c r="A167" s="12" t="inlineStr">
        <is>
          <t>DeepSea Technologies</t>
        </is>
      </c>
      <c r="B167" s="12" t="inlineStr">
        <is>
          <t>Maritime, Shipping &amp; Ports</t>
        </is>
      </c>
      <c r="C167" s="12" t="inlineStr">
        <is>
          <t>full verification</t>
        </is>
      </c>
      <c r="D167" s="12" t="inlineStr">
        <is>
          <t>Revenue hard bar failed: last disclosed standalone revenue ~EUR 1.29M (2022, Tracxn/Crunchbase) is far below both the &gt;$100M revenue bar and the &gt;$50M ARR bar; now a wholly-owned Nabtesco subsidiary with no recent independent financials disclosed.</t>
        </is>
      </c>
    </row>
    <row r="168">
      <c r="A168" s="12" t="inlineStr">
        <is>
          <t>Forth Ports</t>
        </is>
      </c>
      <c r="B168" s="12" t="inlineStr">
        <is>
          <t>Maritime, Shipping &amp; Ports</t>
        </is>
      </c>
      <c r="C168" s="12" t="inlineStr">
        <is>
          <t>full verification</t>
        </is>
      </c>
      <c r="D168" s="12" t="inlineStr">
        <is>
          <t>Ownership hard filter failed: majority-owned (62.6%+) by PSP Investments, a Canadian federal Crown corporation / public-sector pension investment board (Insider.co.uk, PSP Investments newsroom) - majority state/sovereign-linked ownership per the compliance bar, even though revenue (£334.6M FY2024) a</t>
        </is>
      </c>
    </row>
    <row r="169">
      <c r="A169" s="12" t="inlineStr">
        <is>
          <t>Heesen Yachts</t>
        </is>
      </c>
      <c r="B169" s="12" t="inlineStr">
        <is>
          <t>Maritime, Shipping &amp; Ports</t>
        </is>
      </c>
      <c r="C169" s="12" t="inlineStr">
        <is>
          <t>full verification</t>
        </is>
      </c>
      <c r="D169" s="12" t="inlineStr">
        <is>
          <t>Audience hard filter failed: bespoke/semi-custom superyacht builder delivers a small number of vessels per year to a handful of ultra-wealthy clients - revenue is concentrated among well under 20 buyers annually, not the 'thousands of customers' base the bar requires, despite strong revenue (EUR 209</t>
        </is>
      </c>
    </row>
    <row r="170">
      <c r="A170" s="12" t="inlineStr">
        <is>
          <t>Nautilus Labs</t>
        </is>
      </c>
      <c r="B170" s="12" t="inlineStr">
        <is>
          <t>Maritime, Shipping &amp; Ports</t>
        </is>
      </c>
      <c r="C170" s="12" t="inlineStr">
        <is>
          <t>full verification</t>
        </is>
      </c>
      <c r="D170" s="12" t="inlineStr">
        <is>
          <t>Capacity-to-spend and revenue hard filters failed: company was 'cash-strapped' and acquired in a distress sale by Danelec Marine in Nov 2023 (Lloyd's List) after burning through ~$48M in funding; no evidence of $50M+ ARR growing &gt;50% YoY, and no recent growth-stage raise - the opposite of the requir</t>
        </is>
      </c>
    </row>
    <row r="171">
      <c r="A171" s="12" t="inlineStr">
        <is>
          <t>Orca AI</t>
        </is>
      </c>
      <c r="B171" s="12" t="inlineStr">
        <is>
          <t>Maritime, Shipping &amp; Ports</t>
        </is>
      </c>
      <c r="C171" s="12" t="inlineStr">
        <is>
          <t>full verification</t>
        </is>
      </c>
      <c r="D171" s="12" t="inlineStr">
        <is>
          <t>Revenue hard bar unverifiable/likely unmet: no disclosed ARR or revenue dollar figure found in any source; at Series B stage with $111M total raised (PR Newswire, May 2025), crossing $50M ARR growing &gt;50% YoY is not evidenced. (Ownership, F1-conflict and capacity-to-spend filters otherwise pass - $7</t>
        </is>
      </c>
    </row>
    <row r="172">
      <c r="A172" s="12" t="inlineStr">
        <is>
          <t>Overmarine Group (Mangusta)</t>
        </is>
      </c>
      <c r="B172" s="12" t="inlineStr">
        <is>
          <t>Maritime, Shipping &amp; Ports</t>
        </is>
      </c>
      <c r="C172" s="12" t="inlineStr">
        <is>
          <t>full verification</t>
        </is>
      </c>
      <c r="D172" s="12" t="inlineStr">
        <is>
          <t>Audience hard filter failed: bespoke/semi-custom superyacht builder (~200 employees across 10 facilities) delivers a small number of vessels per year to a handful of ultra-wealthy buyers - revenue concentration is well under the ~20-customer bar, despite plausible revenue scale and strong brand/perf</t>
        </is>
      </c>
    </row>
    <row r="173">
      <c r="A173" s="12" t="inlineStr">
        <is>
          <t>Pacific International Lines (PIL)</t>
        </is>
      </c>
      <c r="B173" s="12" t="inlineStr">
        <is>
          <t>Maritime, Shipping &amp; Ports</t>
        </is>
      </c>
      <c r="C173" s="12" t="inlineStr">
        <is>
          <t>full verification</t>
        </is>
      </c>
      <c r="D173" s="12" t="inlineStr">
        <is>
          <t>Ownership hard filter failed: majority-owned by Heliconia Capital Management, a subsidiary of Temasek Holdings (Singapore's sovereign wealth fund, wholly state-owned) since the 2021 US$600M restructuring - majority state/sovereign ownership, despite massive and rapidly-growing revenue (US$4.31B FY20</t>
        </is>
      </c>
    </row>
    <row r="174">
      <c r="A174" s="12" t="inlineStr">
        <is>
          <t>Titan Clean Fuels (Titan LNG)</t>
        </is>
      </c>
      <c r="B174" s="12" t="inlineStr">
        <is>
          <t>Maritime, Shipping &amp; Ports</t>
        </is>
      </c>
      <c r="C174" s="12" t="inlineStr">
        <is>
          <t>full verification</t>
        </is>
      </c>
      <c r="D174" s="12" t="inlineStr">
        <is>
          <t>Revenue hard filter fails: no evidence of &gt;$100M FY revenue or ARR&gt;$50M growing &gt;50% YoY — small niche bunkering supplier (~52 employees at parent Titan Energy Holding per RocketReach 2026), just fully absorbed into Molgas/InfraVia (March 2026); well below the scale needed.</t>
        </is>
      </c>
    </row>
    <row r="175">
      <c r="A175" s="12" t="inlineStr">
        <is>
          <t>UECC (United European Car Carriers)</t>
        </is>
      </c>
      <c r="B175" s="12" t="inlineStr">
        <is>
          <t>Maritime, Shipping &amp; Ports</t>
        </is>
      </c>
      <c r="C175" s="12" t="inlineStr">
        <is>
          <t>full verification</t>
        </is>
      </c>
      <c r="D175" s="12" t="inlineStr">
        <is>
          <t>Revenue hard filter fails: no evidence of &gt;$100M FY revenue for this niche 20-vessel short-sea ro-ro JV (~250 employees); likely well under the threshold, and likely dependent on a small handful of major automaker customers (an audience-filter risk as well).</t>
        </is>
      </c>
    </row>
    <row r="176">
      <c r="A176" s="12" t="inlineStr">
        <is>
          <t>V.Group</t>
        </is>
      </c>
      <c r="B176" s="12" t="inlineStr">
        <is>
          <t>Maritime, Shipping &amp; Ports</t>
        </is>
      </c>
      <c r="C176" s="12" t="inlineStr">
        <is>
          <t>full verification</t>
        </is>
      </c>
      <c r="D176" s="12" t="inlineStr">
        <is>
          <t>Valuation hard filter fails: disclosed enterprise value ~$650M (2024 acquisition, Seatrade Maritime) is below the $1B bar; V.Group is PE-owned with a published valuation, so the family-owned revenue-alone exception does not apply.</t>
        </is>
      </c>
    </row>
    <row r="177">
      <c r="A177" s="12" t="inlineStr">
        <is>
          <t>Burgess Yachts</t>
        </is>
      </c>
      <c r="B177" s="12" t="inlineStr">
        <is>
          <t>Maritime, Shipping &amp; Ports</t>
        </is>
      </c>
      <c r="C177" s="12" t="inlineStr">
        <is>
          <t>full verification</t>
        </is>
      </c>
      <c r="D177" s="12" t="inlineStr">
        <is>
          <t>Revenue hard filter fails: estimated $21.8M-$75M (2025, third-party estimates) is well below the $100M bar; commission-based brokerage revenue, not an ARR business, so no ARR exception applies.</t>
        </is>
      </c>
    </row>
    <row r="178">
      <c r="A178" s="12" t="inlineStr">
        <is>
          <t>Okeanis Eco Tankers</t>
        </is>
      </c>
      <c r="B178" s="12" t="inlineStr">
        <is>
          <t>Maritime, Shipping &amp; Ports</t>
        </is>
      </c>
      <c r="C178" s="12" t="inlineStr">
        <is>
          <t>full verification</t>
        </is>
      </c>
      <c r="D178" s="12" t="inlineStr">
        <is>
          <t>Headcount hard filter fails: ~14 total employees (EMIS company profile, 2025) — far below the 51-employee minimum; a lean, externally-managed tanker owner-operator, despite a $2.34B market cap (Aug 2026) and $391.55M FY2025 revenue clearing those bars easily.</t>
        </is>
      </c>
    </row>
    <row r="179">
      <c r="A179" s="12" t="inlineStr">
        <is>
          <t>Wajer Yachts</t>
        </is>
      </c>
      <c r="B179" s="12" t="inlineStr">
        <is>
          <t>Maritime, Shipping &amp; Ports</t>
        </is>
      </c>
      <c r="C179" s="12" t="inlineStr">
        <is>
          <t>full verification</t>
        </is>
      </c>
      <c r="D179" s="12" t="inlineStr">
        <is>
          <t>Revenue ~$15M (est, 2025) is far below the &gt;$100M hard bar</t>
        </is>
      </c>
    </row>
    <row r="180">
      <c r="A180" s="12" t="inlineStr">
        <is>
          <t>EVgo</t>
        </is>
      </c>
      <c r="B180" s="12" t="inlineStr">
        <is>
          <t>Batteries, EV, Waste &amp; Water</t>
        </is>
      </c>
      <c r="C180" s="12" t="inlineStr">
        <is>
          <t>full verification</t>
        </is>
      </c>
      <c r="D180" s="12" t="inlineStr">
        <is>
          <t>Public company market cap ~$0.45B (Sept 2026) is below the $1B hard bar</t>
        </is>
      </c>
    </row>
    <row r="181">
      <c r="A181" s="12" t="inlineStr">
        <is>
          <t>Fastned</t>
        </is>
      </c>
      <c r="B181" s="12" t="inlineStr">
        <is>
          <t>Batteries, EV, Waste &amp; Water</t>
        </is>
      </c>
      <c r="C181" s="12" t="inlineStr">
        <is>
          <t>full verification</t>
        </is>
      </c>
      <c r="D181" s="12" t="inlineStr">
        <is>
          <t>Public company market cap ~$0.90B (Sept 2026) is below the $1B hard bar</t>
        </is>
      </c>
    </row>
    <row r="182">
      <c r="A182" s="12" t="inlineStr">
        <is>
          <t>Powin Energy</t>
        </is>
      </c>
      <c r="B182" s="12" t="inlineStr">
        <is>
          <t>Batteries, EV, Waste &amp; Water</t>
        </is>
      </c>
      <c r="C182" s="12" t="inlineStr">
        <is>
          <t>full verification</t>
        </is>
      </c>
      <c r="D182" s="12" t="inlineStr">
        <is>
          <t>Filed for bankruptcy (June 2025) and was acquired by FlexGen (Aug 2025) - fails capacity-to-spend/distress hard filter and no longer exists as an independent company</t>
        </is>
      </c>
    </row>
    <row r="183">
      <c r="A183" s="12" t="inlineStr">
        <is>
          <t>AMP Robotics</t>
        </is>
      </c>
      <c r="B183" s="12" t="inlineStr">
        <is>
          <t>Batteries, EV, Waste &amp; Water</t>
        </is>
      </c>
      <c r="C183" s="12" t="inlineStr">
        <is>
          <t>full verification</t>
        </is>
      </c>
      <c r="D183" s="12" t="inlineStr">
        <is>
          <t>No evidence current revenue/ARR meets the hard bar (last disclosed figure ~$20M in 2020); also funding is stale (last raise Dec 2024, &gt;18 months), failing the capacity-to-spend test</t>
        </is>
      </c>
    </row>
    <row r="184">
      <c r="A184" s="12" t="inlineStr">
        <is>
          <t>Ascend Elements</t>
        </is>
      </c>
      <c r="B184" s="12" t="inlineStr">
        <is>
          <t>Batteries, EV, Waste &amp; Water</t>
        </is>
      </c>
      <c r="C184" s="12" t="inlineStr">
        <is>
          <t>full verification</t>
        </is>
      </c>
      <c r="D184" s="12" t="inlineStr">
        <is>
          <t>Filed for Chapter 11 bankruptcy (April 2026) - fails capacity-to-spend/distress hard filter; revenue (~$35M, 2024) also fails the &gt;$100M hard bar</t>
        </is>
      </c>
    </row>
    <row r="185">
      <c r="A185" s="12" t="inlineStr">
        <is>
          <t>Factorial Energy</t>
        </is>
      </c>
      <c r="B185" s="12" t="inlineStr">
        <is>
          <t>Batteries, EV, Waste &amp; Water</t>
        </is>
      </c>
      <c r="C185" s="12" t="inlineStr">
        <is>
          <t>full verification</t>
        </is>
      </c>
      <c r="D185" s="12" t="inlineStr">
        <is>
          <t>Pre-revenue - company does not expect first commercial revenue until 2027, an automatic fail of the revenue hard filter</t>
        </is>
      </c>
    </row>
    <row r="186">
      <c r="A186" s="12" t="inlineStr">
        <is>
          <t>Group14 Technologies</t>
        </is>
      </c>
      <c r="B186" s="12" t="inlineStr">
        <is>
          <t>Batteries, EV, Waste &amp; Water</t>
        </is>
      </c>
      <c r="C186" s="12" t="inlineStr">
        <is>
          <t>full verification</t>
        </is>
      </c>
      <c r="D186" s="12" t="inlineStr">
        <is>
          <t>No evidence current revenue/ARR meets the hard bar - commercial production is still ramping and its flagship US plant is delayed to early 2026</t>
        </is>
      </c>
    </row>
    <row r="187">
      <c r="A187" s="12" t="inlineStr">
        <is>
          <t>Monta</t>
        </is>
      </c>
      <c r="B187" s="12" t="inlineStr">
        <is>
          <t>Batteries, EV, Waste &amp; Water</t>
        </is>
      </c>
      <c r="C187" s="12" t="inlineStr">
        <is>
          <t>full verification</t>
        </is>
      </c>
      <c r="D187" s="12" t="inlineStr">
        <is>
          <t>Last raise (EUR80M Series B, Jan 2024) is stale (&gt;18 months) with no evidence of profitability, failing the capacity-to-spend hard filter; revenue/ARR also unverified against the hard bar</t>
        </is>
      </c>
    </row>
    <row r="188">
      <c r="A188" s="12" t="inlineStr">
        <is>
          <t>Moxion Power</t>
        </is>
      </c>
      <c r="B188" s="12" t="inlineStr">
        <is>
          <t>Batteries, EV, Waste &amp; Water</t>
        </is>
      </c>
      <c r="C188" s="12" t="inlineStr">
        <is>
          <t>full verification</t>
        </is>
      </c>
      <c r="D188" s="12" t="inlineStr">
        <is>
          <t>Company shut down and filed Chapter 7 bankruptcy (Aug 2024); no longer an operating entity - fails the capacity-to-spend/distress hard filter</t>
        </is>
      </c>
    </row>
    <row r="189">
      <c r="A189" s="12" t="inlineStr">
        <is>
          <t>ProLogium Technology</t>
        </is>
      </c>
      <c r="B189" s="12" t="inlineStr">
        <is>
          <t>Batteries, EV, Waste &amp; Water</t>
        </is>
      </c>
      <c r="C189" s="12" t="inlineStr">
        <is>
          <t>full verification</t>
        </is>
      </c>
      <c r="D189" s="12" t="inlineStr">
        <is>
          <t>Fails revenue hard bar: estimated ~$5-25M annual revenue (est, 2026 Crunchbase estimate), far below the &gt;$100M bar with no ARR&gt;$50M-growing-&gt;50%YoY evidence; still pre-commercial-scale despite a $3.97B valuation (May 2026).</t>
        </is>
      </c>
    </row>
    <row r="190">
      <c r="A190" s="12" t="inlineStr">
        <is>
          <t>Source Global</t>
        </is>
      </c>
      <c r="B190" s="12" t="inlineStr">
        <is>
          <t>Batteries, EV, Waste &amp; Water</t>
        </is>
      </c>
      <c r="C190" s="12" t="inlineStr">
        <is>
          <t>full verification</t>
        </is>
      </c>
      <c r="D190" s="12" t="inlineStr">
        <is>
          <t>Fails capacity-to-spend hard filter: company stopped operating activity around Feb 2025 and is reported effectively defunct/wound down despite $270M+ historically raised; the Apr 2025 $19.3M raise did not sustain ongoing GTM capacity. Revenue is also undisclosed/likely minimal.</t>
        </is>
      </c>
    </row>
    <row r="191">
      <c r="A191" s="12" t="inlineStr">
        <is>
          <t>Terawatt Infrastructure</t>
        </is>
      </c>
      <c r="B191" s="12" t="inlineStr">
        <is>
          <t>Batteries, EV, Waste &amp; Water</t>
        </is>
      </c>
      <c r="C191" s="12" t="inlineStr">
        <is>
          <t>full verification</t>
        </is>
      </c>
      <c r="D191" s="12" t="inlineStr">
        <is>
          <t>Fails revenue hard bar: no disclosed operating revenue as of 2026; company remains in depot-network buildout/capital-deployment phase, and the $1B+ raised is financing/capex, which does not count as revenue per the brief's rules.</t>
        </is>
      </c>
    </row>
    <row r="192">
      <c r="A192" s="12" t="inlineStr">
        <is>
          <t>QuantumScape</t>
        </is>
      </c>
      <c r="B192" s="12" t="inlineStr">
        <is>
          <t>Batteries, EV, Waste &amp; Water</t>
        </is>
      </c>
      <c r="C192" s="12" t="inlineStr">
        <is>
          <t>full verification</t>
        </is>
      </c>
      <c r="D192" s="12" t="inlineStr">
        <is>
          <t>Fails the revenue/capacity hard filter outright: confirmed $0 revenue for FY2024 and for the twelve months through Sept 30, 2025 (SEC filings) - pre-revenue = No regardless of the $3.7B market cap (Aug 2026).</t>
        </is>
      </c>
    </row>
    <row r="193">
      <c r="A193" s="12" t="inlineStr">
        <is>
          <t>Virta</t>
        </is>
      </c>
      <c r="B193" s="12" t="inlineStr">
        <is>
          <t>Batteries, EV, Waste &amp; Water</t>
        </is>
      </c>
      <c r="C193" s="12" t="inlineStr">
        <is>
          <t>full verification</t>
        </is>
      </c>
      <c r="D193" s="12" t="inlineStr">
        <is>
          <t>Fails revenue hard bar: 2025 revenue ~EUR 49.4M (~$53M, Finnish company-registry data), below the $100M bar and declining rather than growing, so the alternate ARR&gt;$50M-growing-&gt;50%YoY bar is also not met.</t>
        </is>
      </c>
    </row>
    <row r="194">
      <c r="A194" s="12" t="inlineStr">
        <is>
          <t>Enel X Way</t>
        </is>
      </c>
      <c r="B194" s="12" t="inlineStr">
        <is>
          <t>Batteries, EV, Waste &amp; Water</t>
        </is>
      </c>
      <c r="C194" s="12" t="inlineStr">
        <is>
          <t>full verification</t>
        </is>
      </c>
      <c r="D194" s="12" t="inlineStr">
        <is>
          <t>Fails capacity-to-spend hard filter: Enel X Way's US business closed and its assets were liquidated via bankruptcy auction (sold to VoltiE Group, Oct 11, 2024) - a company in this state cannot be assessed as having ~$3.5M/yr sponsorship capacity.</t>
        </is>
      </c>
    </row>
    <row r="195">
      <c r="A195" s="12" t="inlineStr">
        <is>
          <t>EO Charging</t>
        </is>
      </c>
      <c r="B195" s="12" t="inlineStr">
        <is>
          <t>Batteries, EV, Waste &amp; Water</t>
        </is>
      </c>
      <c r="C195" s="12" t="inlineStr">
        <is>
          <t>full verification</t>
        </is>
      </c>
      <c r="D195" s="12" t="inlineStr">
        <is>
          <t>Fails capacity-to-spend hard filter: EO Charging US, Inc. filed Chapter 7 bankruptcy (Oct 22, 2025, Delaware) and the group is exiting the US market/selling its hardware business after a defensive GBP 25M recapitalisation (Nov 2025) - active distress/cost-cutting, not ~$3.5M/yr sponsorship capacity.</t>
        </is>
      </c>
    </row>
    <row r="196">
      <c r="A196" s="12" t="inlineStr">
        <is>
          <t>SK Signet</t>
        </is>
      </c>
      <c r="B196" s="12" t="inlineStr">
        <is>
          <t>Batteries, EV, Waste &amp; Water</t>
        </is>
      </c>
      <c r="C196" s="12" t="inlineStr">
        <is>
          <t>full verification</t>
        </is>
      </c>
      <c r="D196" s="12" t="inlineStr">
        <is>
          <t>Public company (KRX:260870), market cap ~$135M (Sept 2026) — fails $1B valuation hard bar. Public company below $1B market cap = No, not Stretch.</t>
        </is>
      </c>
    </row>
    <row r="197">
      <c r="A197" s="12" t="inlineStr">
        <is>
          <t>Easee</t>
        </is>
      </c>
      <c r="B197" s="12" t="inlineStr">
        <is>
          <t>Batteries, EV, Waste &amp; Water</t>
        </is>
      </c>
      <c r="C197" s="12" t="inlineStr">
        <is>
          <t>full verification</t>
        </is>
      </c>
      <c r="D197" s="12" t="inlineStr">
        <is>
          <t>FY2024 revenue ~NOK 612M (~$58M) — below $100M hard bar; current valuation ~NOK 1.6B (~$150M, 2025 stake sale) — below $1B hard bar. Fails both revenue and valuation filters.</t>
        </is>
      </c>
    </row>
    <row r="198">
      <c r="A198" s="12" t="inlineStr">
        <is>
          <t>WBHO</t>
        </is>
      </c>
      <c r="B198" s="12" t="inlineStr">
        <is>
          <t>Engineering Consultancies &amp;</t>
        </is>
      </c>
      <c r="C198" s="12" t="inlineStr">
        <is>
          <t>full verification</t>
        </is>
      </c>
      <c r="D198" s="12" t="inlineStr">
        <is>
          <t>Public company (JSE:WBO), market cap ~ZAR 8-12B (~$440-660M) — fails $1B valuation hard bar despite strong revenue (~$1.5B). Public company below $1B market cap = No, not Stretch.</t>
        </is>
      </c>
    </row>
    <row r="199">
      <c r="A199" s="12" t="inlineStr">
        <is>
          <t>Bauer Group</t>
        </is>
      </c>
      <c r="B199" s="12" t="inlineStr">
        <is>
          <t>Engineering Consultancies &amp;</t>
        </is>
      </c>
      <c r="C199" s="12" t="inlineStr">
        <is>
          <t>full verification</t>
        </is>
      </c>
      <c r="D199" s="12" t="inlineStr">
        <is>
          <t>Public company (Frankfurt: B5A0), market cap ~$280M (~€250M) — fails $1B valuation hard bar despite strong revenue (~€1.7B). Public company below $1B market cap = No, not Stretch.</t>
        </is>
      </c>
    </row>
    <row r="200">
      <c r="A200" s="12" t="inlineStr">
        <is>
          <t>OHLA</t>
        </is>
      </c>
      <c r="B200" s="12" t="inlineStr">
        <is>
          <t>Engineering Consultancies &amp;</t>
        </is>
      </c>
      <c r="C200" s="12" t="inlineStr">
        <is>
          <t>full verification</t>
        </is>
      </c>
      <c r="D200" s="12" t="inlineStr">
        <is>
          <t>Public company (BME:OHLA), market cap ~€545M (~$590M) — fails $1B valuation hard bar despite improving revenue/margins. Public company below $1B market cap = No, not Stretch.</t>
        </is>
      </c>
    </row>
    <row r="201">
      <c r="A201" s="12" t="inlineStr">
        <is>
          <t>Linesight</t>
        </is>
      </c>
      <c r="B201" s="12" t="inlineStr">
        <is>
          <t>Engineering Consultancies &amp;</t>
        </is>
      </c>
      <c r="C201" s="12" t="inlineStr">
        <is>
          <t>full verification</t>
        </is>
      </c>
      <c r="D201" s="12" t="inlineStr">
        <is>
          <t>Fails the valuation hard bar: no published valuation exists for this private conglomerate subsidiary, and it does not qualify for the family-owned or employee-owned no-valuation exception since its parent is IPS/Alleghany Capital, a Berkshire Hathaway subsidiary.</t>
        </is>
      </c>
    </row>
    <row r="202">
      <c r="A202" s="12" t="inlineStr">
        <is>
          <t>Multiconsult</t>
        </is>
      </c>
      <c r="B202" s="12" t="inlineStr">
        <is>
          <t>Engineering Consultancies &amp;</t>
        </is>
      </c>
      <c r="C202" s="12" t="inlineStr">
        <is>
          <t>full verification</t>
        </is>
      </c>
      <c r="D202" s="12" t="inlineStr">
        <is>
          <t>Fails the valuation hard bar: public company market cap is $477M, below the $1B threshold (a public company below $1B is a No, not a Stretch).</t>
        </is>
      </c>
    </row>
    <row r="203">
      <c r="A203" s="12" t="inlineStr">
        <is>
          <t>Brightline</t>
        </is>
      </c>
      <c r="B203" s="12" t="inlineStr">
        <is>
          <t>Rail, Transit &amp; Road Infra</t>
        </is>
      </c>
      <c r="C203" s="12" t="inlineStr">
        <is>
          <t>full verification</t>
        </is>
      </c>
      <c r="D203" s="12" t="inlineStr">
        <is>
          <t>Confirmed F1 conflict: Brightline is the official rail transportation partner of the F1 Miami Grand Prix (complimentary shuttles and PREMIUM service to Hard Rock Stadium via Brightline Aventura station) - a direct Grand Prix tie. Independently also fails the capacity-to-spend hard bar: Brightline fi</t>
        </is>
      </c>
    </row>
    <row r="204">
      <c r="A204" s="12" t="inlineStr">
        <is>
          <t>Miovision</t>
        </is>
      </c>
      <c r="B204" s="12" t="inlineStr">
        <is>
          <t>Rail, Transit &amp; Road Infra</t>
        </is>
      </c>
      <c r="C204" s="12" t="inlineStr">
        <is>
          <t>full verification</t>
        </is>
      </c>
      <c r="D204" s="12" t="inlineStr">
        <is>
          <t>Fails multiple hard bars: no confirmed revenue &gt;$100M or ARR &gt;$50M growing &gt;50% YoY; no published valuation &gt;$1B; and as a VC-backed company its most recent raise closed in October 2023, well outside the 18-month window required to demonstrate capacity to spend on GTM/expansion.</t>
        </is>
      </c>
    </row>
    <row r="205">
      <c r="A205" s="12" t="inlineStr">
        <is>
          <t>Texmaco Rail &amp; Engineering</t>
        </is>
      </c>
      <c r="B205" s="12" t="inlineStr">
        <is>
          <t>Rail, Transit &amp; Road Infra</t>
        </is>
      </c>
      <c r="C205" s="12" t="inlineStr">
        <is>
          <t>full verification</t>
        </is>
      </c>
      <c r="D205" s="12" t="inlineStr">
        <is>
          <t>Fails the valuation hard bar: public company market cap is ~$494M, below the $1B threshold (a public company below $1B is a No, not a Stretch).</t>
        </is>
      </c>
    </row>
    <row r="206">
      <c r="A206" s="12" t="inlineStr">
        <is>
          <t>ENSCO Rail</t>
        </is>
      </c>
      <c r="B206" s="12" t="inlineStr">
        <is>
          <t>Rail, Transit &amp; Road Infra</t>
        </is>
      </c>
      <c r="C206" s="12" t="inlineStr">
        <is>
          <t>full verification</t>
        </is>
      </c>
      <c r="D206" s="12" t="inlineStr">
        <is>
          <t xml:space="preserve">Revenue hard bar fails: parent ENSCO Inc's total revenue across all three divisions (aerospace, national security, rail) is only ~$190M (company site, accessed Sept 2026); the Rail segment alone is a fraction of that and falls well short of the $100M bar, with no ARR/hypergrowth story to qualify on </t>
        </is>
      </c>
    </row>
    <row r="207">
      <c r="A207" s="12" t="inlineStr">
        <is>
          <t>Harsco Rail (Enviri Corp)</t>
        </is>
      </c>
      <c r="B207" s="12" t="inlineStr">
        <is>
          <t>Rail, Transit &amp; Road Infra</t>
        </is>
      </c>
      <c r="C207" s="12" t="inlineStr">
        <is>
          <t>full verification</t>
        </is>
      </c>
      <c r="D207" s="12" t="inlineStr">
        <is>
          <t>Valuation hard bar fails: public parent Enviri Corp's market cap is ~$635M as of Sept 2026 (stockanalysis.com), below the $1B bar. Per policy, a public company below $1B market cap is a No regardless of revenue.</t>
        </is>
      </c>
    </row>
    <row r="208">
      <c r="A208" s="12" t="inlineStr">
        <is>
          <t>Icomera</t>
        </is>
      </c>
      <c r="B208" s="12" t="inlineStr">
        <is>
          <t>Rail, Transit &amp; Road Infra</t>
        </is>
      </c>
      <c r="C208" s="12" t="inlineStr">
        <is>
          <t>full verification</t>
        </is>
      </c>
      <c r="D208" s="12" t="inlineStr">
        <is>
          <t>Revenue hard bar fails: best available estimate places Icomera revenue at $25M-$50M (Growjo, accessed Sept 2026), well under the $100M bar, with no qualifying ARR/growth story. No published standalone valuation exists to qualify via the valuation route either.</t>
        </is>
      </c>
    </row>
    <row r="209">
      <c r="A209" s="12" t="inlineStr">
        <is>
          <t>Neology</t>
        </is>
      </c>
      <c r="B209" s="12" t="inlineStr">
        <is>
          <t>Rail, Transit &amp; Road Infra</t>
        </is>
      </c>
      <c r="C209" s="12" t="inlineStr">
        <is>
          <t>full verification</t>
        </is>
      </c>
      <c r="D209" s="12" t="inlineStr">
        <is>
          <t>Neither hard bar is verifiably met: no dated, sourced figure confirms revenue &gt;$100M (estimates conflict between &lt;$100M and $100-250M, both from low-confidence estimator sites), and no published valuation exists to qualify via that route (PE-linked private company, not family-owned, so no revenue-al</t>
        </is>
      </c>
    </row>
    <row r="210">
      <c r="A210" s="12" t="inlineStr">
        <is>
          <t>Parkopedia</t>
        </is>
      </c>
      <c r="B210" s="12" t="inlineStr">
        <is>
          <t>Rail, Transit &amp; Road Infra</t>
        </is>
      </c>
      <c r="C210" s="12" t="inlineStr">
        <is>
          <t>full verification</t>
        </is>
      </c>
      <c r="D210" s="12" t="inlineStr">
        <is>
          <t>Revenue hard bar fails: no evidence of revenue anywhere near $100M for a company that has raised only ~$471K lifetime funding (Tracxn, accessed Sept 2026) and was recently acquired without a disclosed price; far too small in scale.</t>
        </is>
      </c>
    </row>
    <row r="211">
      <c r="A211" s="12" t="inlineStr">
        <is>
          <t>Redflex Holdings</t>
        </is>
      </c>
      <c r="B211" s="12" t="inlineStr">
        <is>
          <t>Rail, Transit &amp; Road Infra</t>
        </is>
      </c>
      <c r="C211" s="12" t="inlineStr">
        <is>
          <t>full verification</t>
        </is>
      </c>
      <c r="D211" s="12" t="inlineStr">
        <is>
          <t>Valuation hard bar fails: public parent Verra Mobility's market cap is ~$0.51B as of September 2026 (stockanalysis.com), below the $1B bar. Per policy, a public company below $1B market cap is a No, not a Stretch, regardless of the Redflex segment's own ~$119M revenue.</t>
        </is>
      </c>
    </row>
    <row r="212">
      <c r="A212" s="12" t="inlineStr">
        <is>
          <t>Talgo</t>
        </is>
      </c>
      <c r="B212" s="12" t="inlineStr">
        <is>
          <t>Rail, Transit &amp; Road Infra</t>
        </is>
      </c>
      <c r="C212" s="12" t="inlineStr">
        <is>
          <t>full verification</t>
        </is>
      </c>
      <c r="D212" s="12" t="inlineStr">
        <is>
          <t>Valuation hard bar fails: Talgo's market cap is ~EUR 360M (~$0.36B) as of Sept 2026, and even the highest disclosed transaction valuation (~EUR 595M for 100% of the company) is well below the $1B bar. Per policy, a public company below $1B market cap is a No.</t>
        </is>
      </c>
    </row>
    <row r="213">
      <c r="A213" s="12" t="inlineStr">
        <is>
          <t>Stagecoach Group</t>
        </is>
      </c>
      <c r="B213" s="12" t="inlineStr">
        <is>
          <t>Rail, Transit &amp; Road Infra</t>
        </is>
      </c>
      <c r="C213" s="12" t="inlineStr">
        <is>
          <t>full verification</t>
        </is>
      </c>
      <c r="D213" s="12" t="inlineStr">
        <is>
          <t>Valuation hard bar fails: the only available valuation is the GBP 595M (~$740-830M at the time) cash takeover price from the June 2022 DWS Infrastructure acquisition, below the $1B bar, with no more recent published valuation. Owner (DWS, a financial sponsor) is not family-owned, so the revenue-alon</t>
        </is>
      </c>
    </row>
    <row r="214">
      <c r="A214" s="12" t="inlineStr">
        <is>
          <t>Go-Ahead Group</t>
        </is>
      </c>
      <c r="B214" s="12" t="inlineStr">
        <is>
          <t>Rail, Transit &amp; Road Infra</t>
        </is>
      </c>
      <c r="C214" s="12" t="inlineStr">
        <is>
          <t>full verification</t>
        </is>
      </c>
      <c r="D214" s="12" t="inlineStr">
        <is>
          <t>Valuation hard bar fails: the only available valuation is the GBP 669M (~$789-830M) equity value from the October 2022 Kinetic/Globalvia take-private, below the $1B bar, with no more recent published figure. Owners are financial/infrastructure investors, not a family owner, so the revenue-alone exce</t>
        </is>
      </c>
    </row>
    <row r="215">
      <c r="A215" s="12" t="inlineStr">
        <is>
          <t>Metrom Rail</t>
        </is>
      </c>
      <c r="B215" s="12" t="inlineStr">
        <is>
          <t>Rail, Transit &amp; Road Infra</t>
        </is>
      </c>
      <c r="C215" s="12" t="inlineStr">
        <is>
          <t>full verification</t>
        </is>
      </c>
      <c r="D215" s="12" t="inlineStr">
        <is>
          <t>Fails headcount hard bar (10-14 employees, well below 51) AND fails revenue hard bar ($5.6M vs &gt;$100M required).</t>
        </is>
      </c>
    </row>
    <row r="216">
      <c r="A216" s="12" t="inlineStr">
        <is>
          <t>ManoMano</t>
        </is>
      </c>
      <c r="B216" s="12" t="inlineStr">
        <is>
          <t>Industrial &amp; MRO Distributio</t>
        </is>
      </c>
      <c r="C216" s="12" t="inlineStr">
        <is>
          <t>full verification</t>
        </is>
      </c>
      <c r="D216" s="12" t="inlineStr">
        <is>
          <t>Fails capacity-to-spend hard bar: no funding raise within 18 months (last known round ~2022), not yet profitable as of June 2025 (co-founder says profitability expected 'in the next months/quarters'), and headcount cut ~40% amid restructuring - signals cost-cutting, not GTM expansion capacity.</t>
        </is>
      </c>
    </row>
    <row r="217">
      <c r="A217" s="12" t="inlineStr">
        <is>
          <t>Moglix</t>
        </is>
      </c>
      <c r="B217" s="12" t="inlineStr">
        <is>
          <t>Industrial &amp; MRO Distributio</t>
        </is>
      </c>
      <c r="C217" s="12" t="inlineStr">
        <is>
          <t>full verification</t>
        </is>
      </c>
      <c r="D217" s="12" t="inlineStr">
        <is>
          <t>Fails capacity-to-spend hard bar: last raise was Jan 2022 (far beyond the 18-month window) and the company remains unprofitable (FY24 net loss ₹189 cr, negative EBITDA margin), with neither a recent raise nor profitability to support ~$3.5M/yr sponsorship spend.</t>
        </is>
      </c>
    </row>
    <row r="218">
      <c r="A218" s="12" t="inlineStr">
        <is>
          <t>C&amp;H Distributors</t>
        </is>
      </c>
      <c r="B218" s="12" t="inlineStr">
        <is>
          <t>Industrial &amp; MRO Distributio</t>
        </is>
      </c>
      <c r="C218" s="12" t="inlineStr">
        <is>
          <t>full verification</t>
        </is>
      </c>
      <c r="D218" s="12" t="inlineStr">
        <is>
          <t>Fails revenue hard bar: ~$71.8M annual revenue, below the $100M threshold (multiple company-data sources converge around $50M-$100M/$71.8M); no qualifying high-growth ARR path found.</t>
        </is>
      </c>
    </row>
    <row r="219">
      <c r="A219" s="12" t="inlineStr">
        <is>
          <t>Contorion</t>
        </is>
      </c>
      <c r="B219" s="12" t="inlineStr">
        <is>
          <t>Industrial &amp; MRO Distributio</t>
        </is>
      </c>
      <c r="C219" s="12" t="inlineStr">
        <is>
          <t>full verification</t>
        </is>
      </c>
      <c r="D219" s="12" t="inlineStr">
        <is>
          <t>Fails revenue hard bar: $65M in 2025, below the $100M threshold, with no qualifying high-growth ARR path found.</t>
        </is>
      </c>
    </row>
    <row r="220">
      <c r="A220" s="12" t="inlineStr">
        <is>
          <t>Elektro-Material AG</t>
        </is>
      </c>
      <c r="B220" s="12" t="inlineStr">
        <is>
          <t>Industrial &amp; MRO Distributio</t>
        </is>
      </c>
      <c r="C220" s="12" t="inlineStr">
        <is>
          <t>full verification</t>
        </is>
      </c>
      <c r="D220" s="12" t="inlineStr">
        <is>
          <t>Fails market-cap hard bar: despite solid revenue (~$500M), Elektro-Material AG is a small-cap, thinly-traded SIX Swiss Exchange stock, consistently reported/estimated well below the $1B threshold; per protocol a public company under $1B market cap is a No, not a Stretch.</t>
        </is>
      </c>
    </row>
    <row r="221">
      <c r="A221" s="12" t="inlineStr">
        <is>
          <t>IndustryBuying</t>
        </is>
      </c>
      <c r="B221" s="12" t="inlineStr">
        <is>
          <t>Industrial &amp; MRO Distributio</t>
        </is>
      </c>
      <c r="C221" s="12" t="inlineStr">
        <is>
          <t>full verification</t>
        </is>
      </c>
      <c r="D221" s="12" t="inlineStr">
        <is>
          <t>Revenue hard bar fails - reported revenue is far below $100M and declining toward negligible levels per FY24/FY25 filings (Inc42); valuation hard bar also fails - last published valuation (~$29-40M, 2015-2018) is far below $1B.</t>
        </is>
      </c>
    </row>
    <row r="222">
      <c r="A222" s="12" t="inlineStr">
        <is>
          <t>OneMonroe (Monroe Engineering)</t>
        </is>
      </c>
      <c r="B222" s="12" t="inlineStr">
        <is>
          <t>Industrial &amp; MRO Distributio</t>
        </is>
      </c>
      <c r="C222" s="12" t="inlineStr">
        <is>
          <t>full verification</t>
        </is>
      </c>
      <c r="D222" s="12" t="inlineStr">
        <is>
          <t>Valuation hard bar fails - no published valuation, and mid-market PE ownership (AEA Investors, undisclosed deal size) combined with revenue of only ~$100-250M (est) implies an enterprise value far below the $1B bar; no family/employee-owned exception applies since the company is PE-owned.</t>
        </is>
      </c>
    </row>
    <row r="223">
      <c r="A223" s="12" t="inlineStr">
        <is>
          <t>Optimas Solutions</t>
        </is>
      </c>
      <c r="B223" s="12" t="inlineStr">
        <is>
          <t>Industrial &amp; MRO Distributio</t>
        </is>
      </c>
      <c r="C223" s="12" t="inlineStr">
        <is>
          <t>full verification</t>
        </is>
      </c>
      <c r="D223" s="12" t="inlineStr">
        <is>
          <t>Valuation hard bar fails (no published valuation; mid-market PE ownership with declining revenue implies an enterprise value well below $1B) and capacity-to-spend is doubtful given an active multi-year restructuring/carve-out (Optimas International divestiture to Exponent, closing 2026) plus a prior</t>
        </is>
      </c>
    </row>
    <row r="224">
      <c r="A224" s="12" t="inlineStr">
        <is>
          <t>Standard Electric Supply Co</t>
        </is>
      </c>
      <c r="B224" s="12" t="inlineStr">
        <is>
          <t>Industrial &amp; MRO Distributio</t>
        </is>
      </c>
      <c r="C224" s="12" t="inlineStr">
        <is>
          <t>full verification</t>
        </is>
      </c>
      <c r="D224" s="12" t="inlineStr">
        <is>
          <t>Revenue hard bar not confirmed - only a wide, unsourced statistical estimate ($100-500M) exists with no dated authoritative figure; company scale (~250 employees, regional Milwaukee electrical wholesaler) makes clearing $100M genuinely uncertain, so it does not clear the bar with confidence.</t>
        </is>
      </c>
    </row>
    <row r="225">
      <c r="A225" s="12" t="inlineStr">
        <is>
          <t>Womack Machine Supply</t>
        </is>
      </c>
      <c r="B225" s="12" t="inlineStr">
        <is>
          <t>Industrial &amp; MRO Distributio</t>
        </is>
      </c>
      <c r="C225" s="12" t="inlineStr">
        <is>
          <t>full verification</t>
        </is>
      </c>
      <c r="D225" s="12" t="inlineStr">
        <is>
          <t>Revenue hard bar fails/unconfirmed - the most specific available estimate ($51.3M) is well under $100M, and even the higher estimates ($148.7M) are not corroborated by an authoritative source, so the company cannot be confirmed to clear the revenue bar.</t>
        </is>
      </c>
    </row>
    <row r="226">
      <c r="A226" s="12" t="inlineStr">
        <is>
          <t>Emerson Bearing</t>
        </is>
      </c>
      <c r="B226" s="12" t="inlineStr">
        <is>
          <t>Industrial &amp; MRO Distributio</t>
        </is>
      </c>
      <c r="C226" s="12" t="inlineStr">
        <is>
          <t>full verification</t>
        </is>
      </c>
      <c r="D226" s="12" t="inlineStr">
        <is>
          <t>Revenue hard bar fails clearly - estimated revenue ~$13M, far below the $100M bar (no qualifying ARR/growth story); company is too small on every dimension (headcount 51-100) to plausibly support a ~$3.5M/yr sponsorship.</t>
        </is>
      </c>
    </row>
    <row r="227">
      <c r="A227" s="12" t="inlineStr">
        <is>
          <t>Hydraproducts</t>
        </is>
      </c>
      <c r="B227" s="12" t="inlineStr">
        <is>
          <t>Industrial &amp; MRO Distributio</t>
        </is>
      </c>
      <c r="C227" s="12" t="inlineStr">
        <is>
          <t>full verification</t>
        </is>
      </c>
      <c r="D227" s="12" t="inlineStr">
        <is>
          <t>Revenue hard bar fails clearly - estimated revenue ~$7M, far below the $100M bar; company is far too small on every dimension to support a ~$3.5M/yr sponsorship regardless of F1-conflict status (F1-conflict check not completed due to search budget exhaustion, but immaterial given the scale).</t>
        </is>
      </c>
    </row>
    <row r="228">
      <c r="A228" s="12" t="inlineStr">
        <is>
          <t>TIL Limited</t>
        </is>
      </c>
      <c r="B228" s="12" t="inlineStr">
        <is>
          <t>Intralogistics &amp; Warehouse A</t>
        </is>
      </c>
      <c r="C228" s="12" t="inlineStr">
        <is>
          <t>full verification</t>
        </is>
      </c>
      <c r="D228" s="12" t="inlineStr">
        <is>
          <t>Fails the revenue hard bar (recent annualized revenue ~$56M vs. required &gt;$100M) and fails the valuation hard bar (market cap ~$255M vs. required &gt;$1B for a public company); also shows financial distress signals (high debtor days, low interest coverage) that fail the spend-capacity criterion.</t>
        </is>
      </c>
    </row>
    <row r="229">
      <c r="A229" s="12" t="inlineStr">
        <is>
          <t>Blue Giant Equipment</t>
        </is>
      </c>
      <c r="B229" s="12" t="inlineStr">
        <is>
          <t>Intralogistics &amp; Warehouse A</t>
        </is>
      </c>
      <c r="C229" s="12" t="inlineStr">
        <is>
          <t>full verification</t>
        </is>
      </c>
      <c r="D229" s="12" t="inlineStr">
        <is>
          <t>Fails the revenue hard bar decisively: estimated annual revenue ~$13M vs. the required &gt;$100M (not an ARR/SaaS business, so the ARR alternative does not apply). Small headcount (~240-400 employees) corroborates the shortfall.</t>
        </is>
      </c>
    </row>
    <row r="230">
      <c r="A230" s="12" t="inlineStr">
        <is>
          <t>Electromech Material Handling Systems</t>
        </is>
      </c>
      <c r="B230" s="12" t="inlineStr">
        <is>
          <t>Intralogistics &amp; Warehouse A</t>
        </is>
      </c>
      <c r="C230" s="12" t="inlineStr">
        <is>
          <t>full verification</t>
        </is>
      </c>
      <c r="D230" s="12" t="inlineStr">
        <is>
          <t>Revenue hard bar fails: consolidated TOI ~₹800cr (~$95-96M est) FY25 per CareEdge Ratings (Oct 2025), below the $100M threshold.</t>
        </is>
      </c>
    </row>
    <row r="231">
      <c r="A231" s="12" t="inlineStr">
        <is>
          <t>Falcon Autotech</t>
        </is>
      </c>
      <c r="B231" s="12" t="inlineStr">
        <is>
          <t>Intralogistics &amp; Warehouse A</t>
        </is>
      </c>
      <c r="C231" s="12" t="inlineStr">
        <is>
          <t>full verification</t>
        </is>
      </c>
      <c r="D231" s="12" t="inlineStr">
        <is>
          <t>Revenue hard bar fails: ₹293cr (~$35M est) FY25, well below $100M; VC-backed capacity test also fails — last raise was Jan 2022 (&gt;18 months ago) and profitability is unconfirmed.</t>
        </is>
      </c>
    </row>
    <row r="232">
      <c r="A232" s="12" t="inlineStr">
        <is>
          <t>Genavco</t>
        </is>
      </c>
      <c r="B232" s="12" t="inlineStr">
        <is>
          <t>Intralogistics &amp; Warehouse A</t>
        </is>
      </c>
      <c r="C232" s="12" t="inlineStr">
        <is>
          <t>full verification</t>
        </is>
      </c>
      <c r="D232" s="12" t="inlineStr">
        <is>
          <t>Revenue hard bar fails: $47.9M (ZoomInfo est., 2026), well below the $100M threshold.</t>
        </is>
      </c>
    </row>
    <row r="233">
      <c r="A233" s="12" t="inlineStr">
        <is>
          <t>Grupo CLN</t>
        </is>
      </c>
      <c r="B233" s="12" t="inlineStr">
        <is>
          <t>Intralogistics &amp; Warehouse A</t>
        </is>
      </c>
      <c r="C233" s="12" t="inlineStr">
        <is>
          <t>full verification</t>
        </is>
      </c>
      <c r="D233" s="12" t="inlineStr">
        <is>
          <t>Revenue hard bar cannot be confirmed: extensive searches (company domain, Brazilian forklift/dealer trade press, financial databases, alternate name variants) found no verifiable financials or clear company identity as of Sept 2026; treated as failing the &gt;$100M bar absent evidence.</t>
        </is>
      </c>
    </row>
    <row r="234">
      <c r="A234" s="12" t="inlineStr">
        <is>
          <t>Nedcon</t>
        </is>
      </c>
      <c r="B234" s="12" t="inlineStr">
        <is>
          <t>Intralogistics &amp; Warehouse A</t>
        </is>
      </c>
      <c r="C234" s="12" t="inlineStr">
        <is>
          <t>full verification</t>
        </is>
      </c>
      <c r="D234" s="12" t="inlineStr">
        <is>
          <t>Revenue hard bar fails at the entity level: best-sourced standalone estimate is ~$70.9M (RocketReach), below $100M; Nedcon is a wholly-owned voestalpine subsidiary since 2004 (not the independent private company the input triaged), and no standalone figure clears the bar.</t>
        </is>
      </c>
    </row>
    <row r="235">
      <c r="A235" s="12" t="inlineStr">
        <is>
          <t>Skullcandy</t>
        </is>
      </c>
      <c r="B235" s="12" t="inlineStr">
        <is>
          <t>Consumer Electronics &amp; Audio</t>
        </is>
      </c>
      <c r="C235" s="12" t="inlineStr">
        <is>
          <t>full verification</t>
        </is>
      </c>
      <c r="D235" s="12" t="inlineStr">
        <is>
          <t>Revenue hard bar fails: ~$79-90M in 2025, below the $100M threshold; also carries a PE-owned-4+-years soft flag and a softening product category.</t>
        </is>
      </c>
    </row>
    <row r="236">
      <c r="A236" s="12" t="inlineStr">
        <is>
          <t>FiiO Electronics</t>
        </is>
      </c>
      <c r="B236" s="12" t="inlineStr">
        <is>
          <t>Consumer Electronics &amp; Audio</t>
        </is>
      </c>
      <c r="C236" s="12" t="inlineStr">
        <is>
          <t>full verification</t>
        </is>
      </c>
      <c r="D236" s="12" t="inlineStr">
        <is>
          <t>Revenue hard bar fails: ~$22.2M (est., RocketReach 2025), far below the $100M threshold; niche boutique hi-res audio brand with no funding history.</t>
        </is>
      </c>
    </row>
    <row r="237">
      <c r="A237" s="12" t="inlineStr">
        <is>
          <t>Nanoleaf</t>
        </is>
      </c>
      <c r="B237" s="12" t="inlineStr">
        <is>
          <t>Consumer Electronics &amp; Audio</t>
        </is>
      </c>
      <c r="C237" s="12" t="inlineStr">
        <is>
          <t>full verification</t>
        </is>
      </c>
      <c r="D237" s="12" t="inlineStr">
        <is>
          <t>Both hard bars fail: revenue $30.9M (2025) is well below $100M, and valuation ~$40.5M (2026 acquisition price) is far below $1B; the company has been loss-making and is being acquired outright rather than raising growth capital, which also fails the capacity-to-spend test.</t>
        </is>
      </c>
    </row>
    <row r="238">
      <c r="A238" s="12" t="inlineStr">
        <is>
          <t>Nishio Rent All</t>
        </is>
      </c>
      <c r="B238" s="12" t="inlineStr">
        <is>
          <t>Intralogistics &amp; Warehouse A</t>
        </is>
      </c>
      <c r="C238" s="12" t="inlineStr">
        <is>
          <t>full verification</t>
        </is>
      </c>
      <c r="D238" s="12" t="inlineStr">
        <is>
          <t>Valuation hard bar fails: public company (TYO: 9699), market cap ~¥108.28B (~$722M est, Sept 2026) — below the $1B threshold for public companies.</t>
        </is>
      </c>
    </row>
    <row r="239">
      <c r="A239" s="12" t="inlineStr">
        <is>
          <t>Dorner Mfg. Corp</t>
        </is>
      </c>
      <c r="B239" s="12" t="inlineStr">
        <is>
          <t>Intralogistics &amp; Warehouse A</t>
        </is>
      </c>
      <c r="C239" s="12" t="inlineStr">
        <is>
          <t>full verification</t>
        </is>
      </c>
      <c r="D239" s="12" t="inlineStr">
        <is>
          <t>Valuation hard bar fails: true parent Columbus McKinnon Corp (NASDAQ: CMCO) market cap ~$549M (Aug 2026) — below the $1B threshold for public companies.</t>
        </is>
      </c>
    </row>
    <row r="240">
      <c r="A240" s="12" t="inlineStr">
        <is>
          <t>Teenage Engineering</t>
        </is>
      </c>
      <c r="B240" s="12" t="inlineStr">
        <is>
          <t>Consumer Electronics &amp; Audio</t>
        </is>
      </c>
      <c r="C240" s="12" t="inlineStr">
        <is>
          <t>full verification</t>
        </is>
      </c>
      <c r="D240" s="12" t="inlineStr">
        <is>
          <t>Revenue hard bar fails: ~$22.6-27.2M (2025 est), down 50%+ YoY — well below the $100M threshold, and does not qualify under the ARR&gt;$50M/+50%-growth alternative since revenue is declining, not growing.</t>
        </is>
      </c>
    </row>
    <row r="241">
      <c r="A241" s="12" t="inlineStr">
        <is>
          <t>Wyze Labs</t>
        </is>
      </c>
      <c r="B241" s="12" t="inlineStr">
        <is>
          <t>Consumer Electronics &amp; Audio</t>
        </is>
      </c>
      <c r="C241" s="12" t="inlineStr">
        <is>
          <t>full verification</t>
        </is>
      </c>
      <c r="D241" s="12" t="inlineStr">
        <is>
          <t>Valuation hard bar fails: ~$231.7M (2025-2026 est) — well below the $1B threshold. Also fails the VC capacity bar: last raise was the 2021 Series B ($110M), not within 18 months, with no evidence of profitability.</t>
        </is>
      </c>
    </row>
    <row r="242">
      <c r="A242" s="12" t="inlineStr">
        <is>
          <t>beyerdynamic</t>
        </is>
      </c>
      <c r="B242" s="12" t="inlineStr">
        <is>
          <t>Consumer Electronics &amp; Audio</t>
        </is>
      </c>
      <c r="C242" s="12" t="inlineStr">
        <is>
          <t>full verification</t>
        </is>
      </c>
      <c r="D242" s="12" t="inlineStr">
        <is>
          <t>Both hard bars fail: revenue €84.45M (~$91-92M, FY2024) is below the $100M threshold; valuation ~€122M (~$141M, June 2025 Cosonic Intelligent acquisition) is below the $1B threshold. The family-owned exemption no longer applies post-acquisition.</t>
        </is>
      </c>
    </row>
    <row r="243">
      <c r="A243" s="12" t="inlineStr">
        <is>
          <t>Cambridge Audio</t>
        </is>
      </c>
      <c r="B243" s="12" t="inlineStr">
        <is>
          <t>Consumer Electronics &amp; Audio</t>
        </is>
      </c>
      <c r="C243" s="12" t="inlineStr">
        <is>
          <t>full verification</t>
        </is>
      </c>
      <c r="D243" s="12" t="inlineStr">
        <is>
          <t>Revenue hard bar fails: ~$16.7-40M (est) — well below the $100M threshold; no published valuation offers an alternative path since ownership is a single individual, not a qualifying family/employee-owned structure.</t>
        </is>
      </c>
    </row>
    <row r="244">
      <c r="A244" s="12" t="inlineStr">
        <is>
          <t>Creative Technology</t>
        </is>
      </c>
      <c r="B244" s="12" t="inlineStr">
        <is>
          <t>Consumer Electronics &amp; Audio</t>
        </is>
      </c>
      <c r="C244" s="12" t="inlineStr">
        <is>
          <t>full verification</t>
        </is>
      </c>
      <c r="D244" s="12" t="inlineStr">
        <is>
          <t>Both hard bars fail: FY2025 revenue $67.44M is below the $100M threshold; market cap ~$40-43M USD (public company) is well below the $1B threshold.</t>
        </is>
      </c>
    </row>
    <row r="245">
      <c r="A245" s="12" t="inlineStr">
        <is>
          <t>HMD Global</t>
        </is>
      </c>
      <c r="B245" s="12" t="inlineStr">
        <is>
          <t>Consumer Electronics &amp; Audio</t>
        </is>
      </c>
      <c r="C245" s="12" t="inlineStr">
        <is>
          <t>full verification</t>
        </is>
      </c>
      <c r="D245" s="12" t="inlineStr">
        <is>
          <t>Capacity to spend fails: last raise was July 2022 (&gt;18 months ago), and the company is actively retreating — it exited the US market in July 2025 citing cost pressures and a 'challenging economic environment' (Nokiamob/GSMArena, Jul 2025) — the opposite of the 'raised recently for GTM/expansion or c</t>
        </is>
      </c>
    </row>
    <row r="246">
      <c r="A246" s="12" t="inlineStr">
        <is>
          <t>Lenbrook Industries (Bluesound/NAD)</t>
        </is>
      </c>
      <c r="B246" s="12" t="inlineStr">
        <is>
          <t>Consumer Electronics &amp; Audio</t>
        </is>
      </c>
      <c r="C246" s="12" t="inlineStr">
        <is>
          <t>full verification</t>
        </is>
      </c>
      <c r="D246" s="12" t="inlineStr">
        <is>
          <t>Revenue: estimated $25-50M (Owler/Growjo, $42.2M figure, accessed Sept 2026), well below the $100M hard bar, with no evidence of ARR-style growth that would qualify under the alternate bar.</t>
        </is>
      </c>
    </row>
    <row r="247">
      <c r="A247" s="12" t="inlineStr">
        <is>
          <t>Naim Audio (VerVent Audio)</t>
        </is>
      </c>
      <c r="B247" s="12" t="inlineStr">
        <is>
          <t>Consumer Electronics &amp; Audio</t>
        </is>
      </c>
      <c r="C247" s="12" t="inlineStr">
        <is>
          <t>full verification</t>
        </is>
      </c>
      <c r="D247" s="12" t="inlineStr">
        <is>
          <t>Valuation: VerVent Audio Holding (Naim's parent) is being sold to Barco at an enterprise value of ~€135M/~$145M (Barco press release, March 2026) — far below the $1B hard bar, and not family-owned so no exemption applies. Naim's own standalone revenue (£41.8M, 2022) is also well under $100M.</t>
        </is>
      </c>
    </row>
    <row r="248">
      <c r="A248" s="12" t="inlineStr">
        <is>
          <t>OM Digital Solutions (Olympus)</t>
        </is>
      </c>
      <c r="B248" s="12" t="inlineStr">
        <is>
          <t>Consumer Electronics &amp; Audio</t>
        </is>
      </c>
      <c r="C248" s="12" t="inlineStr">
        <is>
          <t>full verification</t>
        </is>
      </c>
      <c r="D248" s="12" t="inlineStr">
        <is>
          <t>Capacity to spend fails: the company is operating in the red with sales flatlined and the operating loss widening through FY2025 (PhotoRumors, Aug 2026, citing OMDS's own financial report) — clear financial distress, not 'profitable or clearly improving.' Also has no published valuation and is not f</t>
        </is>
      </c>
    </row>
    <row r="249">
      <c r="A249" s="12" t="inlineStr">
        <is>
          <t>Thermaltake</t>
        </is>
      </c>
      <c r="B249" s="12" t="inlineStr">
        <is>
          <t>Consumer Electronics &amp; Audio</t>
        </is>
      </c>
      <c r="C249" s="12" t="inlineStr">
        <is>
          <t>full verification</t>
        </is>
      </c>
      <c r="D249" s="12" t="inlineStr">
        <is>
          <t>Valuation: a public company (Taipei Exchange: 3540) with a market cap of only ≈NT$1.7B (~$53-60M USD, Sept 18 2026, marketcapwatch/stockanalysis), down 36.72% YoY — far below the $1B hard bar. Per the brief's rule, a public company under $1B market cap is a No, not a Stretch, even though its revenue</t>
        </is>
      </c>
    </row>
    <row r="250">
      <c r="A250" s="12" t="inlineStr">
        <is>
          <t>Xtorm</t>
        </is>
      </c>
      <c r="B250" s="12" t="inlineStr">
        <is>
          <t>Consumer Electronics &amp; Audio</t>
        </is>
      </c>
      <c r="C250" s="12" t="inlineStr">
        <is>
          <t>full verification</t>
        </is>
      </c>
      <c r="D250" s="12" t="inlineStr">
        <is>
          <t>Revenue: ~$8M annual revenue (2025 estimate, accessed Sept 2026), drastically below the $100M hard bar — not close on any measure.</t>
        </is>
      </c>
    </row>
    <row r="251">
      <c r="A251" s="12" t="inlineStr">
        <is>
          <t>iFi Audio (AMR)</t>
        </is>
      </c>
      <c r="B251" s="12" t="inlineStr">
        <is>
          <t>Consumer Electronics &amp; Audio</t>
        </is>
      </c>
      <c r="C251" s="12" t="inlineStr">
        <is>
          <t>full verification</t>
        </is>
      </c>
      <c r="D251" s="12" t="inlineStr">
        <is>
          <t>Hard filter fail: revenue est. $11M (est) is far below the &gt;$100M/ARR bar, and headcount est. ~45 (est) is below the 51-employee minimum.</t>
        </is>
      </c>
    </row>
    <row r="252">
      <c r="A252" s="12" t="inlineStr">
        <is>
          <t>Master &amp; Dynamic</t>
        </is>
      </c>
      <c r="B252" s="12" t="inlineStr">
        <is>
          <t>Consumer Electronics &amp; Audio</t>
        </is>
      </c>
      <c r="C252" s="12" t="inlineStr">
        <is>
          <t>full verification</t>
        </is>
      </c>
      <c r="D252" s="12" t="inlineStr">
        <is>
          <t>Hard filter fail: revenue est. $61.4M (2025) is below the &gt;$100M bar, and revenue is reportedly declining 10-20% YoY rather than meeting the ARR-growth alternative; no published valuation to qualify on that bar either.</t>
        </is>
      </c>
    </row>
    <row r="253">
      <c r="A253" s="12" t="inlineStr">
        <is>
          <t>Native Union</t>
        </is>
      </c>
      <c r="B253" s="12" t="inlineStr">
        <is>
          <t>Consumer Electronics &amp; Audio</t>
        </is>
      </c>
      <c r="C253" s="12" t="inlineStr">
        <is>
          <t>full verification</t>
        </is>
      </c>
      <c r="D253" s="12" t="inlineStr">
        <is>
          <t>Hard filter fail: revenue est. $27.7M is far below the &gt;$100M bar.</t>
        </is>
      </c>
    </row>
    <row r="254">
      <c r="A254" s="12" t="inlineStr">
        <is>
          <t>Satechi</t>
        </is>
      </c>
      <c r="B254" s="12" t="inlineStr">
        <is>
          <t>Consumer Electronics &amp; Audio</t>
        </is>
      </c>
      <c r="C254" s="12" t="inlineStr">
        <is>
          <t>full verification</t>
        </is>
      </c>
      <c r="D254" s="12" t="inlineStr">
        <is>
          <t>Hard filter fail: revenue est. $9-10M is far below the &gt;$100M bar.</t>
        </is>
      </c>
    </row>
    <row r="255">
      <c r="A255" s="12" t="inlineStr">
        <is>
          <t>Comma Oil &amp; Chemicals</t>
        </is>
      </c>
      <c r="B255" s="12" t="inlineStr">
        <is>
          <t>Specialty Chemicals &amp; Coatin</t>
        </is>
      </c>
      <c r="C255" s="12" t="inlineStr">
        <is>
          <t>full verification</t>
        </is>
      </c>
      <c r="D255" s="12" t="inlineStr">
        <is>
          <t>Hard filter fail: revenue est. $40.9M is well below the &gt;$100M bar.</t>
        </is>
      </c>
    </row>
    <row r="256">
      <c r="A256" s="12" t="inlineStr">
        <is>
          <t>Bardahl</t>
        </is>
      </c>
      <c r="B256" s="12" t="inlineStr">
        <is>
          <t>Specialty Chemicals &amp; Coatin</t>
        </is>
      </c>
      <c r="C256" s="12" t="inlineStr">
        <is>
          <t>full verification</t>
        </is>
      </c>
      <c r="D256" s="12" t="inlineStr">
        <is>
          <t>Hard filter fail: revenue (no confirmed current figure above ~$21.4M from 2015; est. $40-90M) is below the &gt;$100M bar. As a family-owned firm this can pass on revenue alone per protocol, but the revenue itself does not clear the threshold.</t>
        </is>
      </c>
    </row>
    <row r="257">
      <c r="A257" s="12" t="inlineStr">
        <is>
          <t>Flugger Group</t>
        </is>
      </c>
      <c r="B257" s="12" t="inlineStr">
        <is>
          <t>Specialty Chemicals &amp; Coatin</t>
        </is>
      </c>
      <c r="C257" s="12" t="inlineStr">
        <is>
          <t>full verification</t>
        </is>
      </c>
      <c r="D257" s="12" t="inlineStr">
        <is>
          <t>Hard filter fail: market cap est. DKK 930M-1.2B (~US$135-175M) is far below the &gt;$1B bar required for a public company; per protocol, a public company under $1B market cap is a No, not a Stretch, regardless of its revenue clearing the revenue bar.</t>
        </is>
      </c>
    </row>
    <row r="258">
      <c r="A258" s="12" t="inlineStr">
        <is>
          <t>Morris Lubricants</t>
        </is>
      </c>
      <c r="B258" s="12" t="inlineStr">
        <is>
          <t>Specialty Chemicals &amp; Coatin</t>
        </is>
      </c>
      <c r="C258" s="12" t="inlineStr">
        <is>
          <t>full verification</t>
        </is>
      </c>
      <c r="D258" s="12" t="inlineStr">
        <is>
          <t>Revenue hard filter fails - best-supported estimate is $60-100M (est), below the $100M threshold, with no confirmed audited figure clearing the bar. No F1 team/series conflicts found (current motorsport ties are truck racing, rallying, TT - not F1).</t>
        </is>
      </c>
    </row>
    <row r="259">
      <c r="A259" s="12" t="inlineStr">
        <is>
          <t>Nippon Bee Chemical</t>
        </is>
      </c>
      <c r="B259" s="12" t="inlineStr">
        <is>
          <t>Specialty Chemicals &amp; Coatin</t>
        </is>
      </c>
      <c r="C259" s="12" t="inlineStr">
        <is>
          <t>full verification</t>
        </is>
      </c>
      <c r="D259" s="12" t="inlineStr">
        <is>
          <t>Audience hard filter fails - as a top-share supplier of automotive bumper/plastics coatings, the customer base is almost certainly concentrated among a handful of major auto OEMs (well under the 'thousands of customers' bar, likely at or below ~20 key accounts), which the protocol treats as an autom</t>
        </is>
      </c>
    </row>
    <row r="260">
      <c r="A260" s="12" t="inlineStr">
        <is>
          <t>Tide Water Oil (Veedol)</t>
        </is>
      </c>
      <c r="B260" s="12" t="inlineStr">
        <is>
          <t>Specialty Chemicals &amp; Coatin</t>
        </is>
      </c>
      <c r="C260" s="12" t="inlineStr">
        <is>
          <t>full verification</t>
        </is>
      </c>
      <c r="D260" s="12" t="inlineStr">
        <is>
          <t>Valuation hard filter fails - public company with market cap ~$288M (7-Aug-2026), far below the $1B bar; per protocol, a public company under $1B market cap is a No regardless of revenue strength. Revenue (~$250M est) would otherwise clear the $100M bar. No F1 team/series conflicts found for Tide Wa</t>
        </is>
      </c>
    </row>
    <row r="261">
      <c r="A261" s="12" t="inlineStr">
        <is>
          <t>Tronox Holdings</t>
        </is>
      </c>
      <c r="B261" s="12" t="inlineStr">
        <is>
          <t>Specialty Chemicals &amp; Coatin</t>
        </is>
      </c>
      <c r="C261" s="12" t="inlineStr">
        <is>
          <t>full verification</t>
        </is>
      </c>
      <c r="D261" s="12" t="inlineStr">
        <is>
          <t>Two hard filters fail: (1) valuation - market cap ~$933M (5-Aug-2026) is below the $1B bar for a public company; (2) capacity-to-spend - the company is in active cost-cutting/distress (net loss -$508M in 2025, plant idling, restructuring charges), not profitable or clearly improving. No F1 team/seri</t>
        </is>
      </c>
    </row>
    <row r="262">
      <c r="A262" s="12" t="inlineStr">
        <is>
          <t>Eurol B.V.</t>
        </is>
      </c>
      <c r="B262" s="12" t="inlineStr">
        <is>
          <t>Specialty Chemicals &amp; Coatin</t>
        </is>
      </c>
      <c r="C262" s="12" t="inlineStr">
        <is>
          <t>full verification</t>
        </is>
      </c>
      <c r="D262" s="12" t="inlineStr">
        <is>
          <t>Revenue hard filter fails - best available estimate is ~$64.5M (est), below the $100M threshold, with no confirmed audited figure found. No direct F1 grid conflict (current motorsport ties are INDYCAR, NASCAR, FIA Formula 2, and the Dakar Rally - not Formula 1 itself).</t>
        </is>
      </c>
    </row>
    <row r="263">
      <c r="A263" s="12" t="inlineStr">
        <is>
          <t>Gulf Western Oil</t>
        </is>
      </c>
      <c r="B263" s="12" t="inlineStr">
        <is>
          <t>Specialty Chemicals &amp; Coatin</t>
        </is>
      </c>
      <c r="C263" s="12" t="inlineStr">
        <is>
          <t>full verification</t>
        </is>
      </c>
      <c r="D263" s="12" t="inlineStr">
        <is>
          <t>Revenue hard filter fails - 2024 revenue AU$122.83M (~US$80M est at current FX), below the $100M USD threshold. No F1 conflict - Gulf Western Oil is a distinct, unaffiliated company from 'Gulf Oil International', which sponsors Williams Racing; verified no corporate or brand relationship between the</t>
        </is>
      </c>
    </row>
    <row r="264">
      <c r="A264" s="12" t="inlineStr">
        <is>
          <t>Master Bond Inc</t>
        </is>
      </c>
      <c r="B264" s="12" t="inlineStr">
        <is>
          <t>Specialty Chemicals &amp; Coatin</t>
        </is>
      </c>
      <c r="C264" s="12" t="inlineStr">
        <is>
          <t>full verification</t>
        </is>
      </c>
      <c r="D264" s="12" t="inlineStr">
        <is>
          <t>Revenue hard filter fails - no confirmed figure exceeds $100M; best estimate range ($50-100M est) sits at or below the threshold, and sourcing is too unreliable to certify a pass. Compounding concern: aerospace/electronics specialty-adhesive suppliers are frequently concentrated among a handful of l</t>
        </is>
      </c>
    </row>
    <row r="265">
      <c r="A265" s="12" t="inlineStr">
        <is>
          <t>Millers Oils</t>
        </is>
      </c>
      <c r="B265" s="12" t="inlineStr">
        <is>
          <t>Specialty Chemicals &amp; Coatin</t>
        </is>
      </c>
      <c r="C265" s="12" t="inlineStr">
        <is>
          <t>full verification</t>
        </is>
      </c>
      <c r="D265" s="12" t="inlineStr">
        <is>
          <t>Fails revenue hard bar: FY2026 turnover £30.6m (~$39M) is well below the &gt;$100M threshold (TheBusinessDesk.com/Companies House, Sept 2026).</t>
        </is>
      </c>
    </row>
    <row r="266">
      <c r="A266" s="12" t="inlineStr">
        <is>
          <t>Panolin AG</t>
        </is>
      </c>
      <c r="B266" s="12" t="inlineStr">
        <is>
          <t>Specialty Chemicals &amp; Coatin</t>
        </is>
      </c>
      <c r="C266" s="12" t="inlineStr">
        <is>
          <t>full verification</t>
        </is>
      </c>
      <c r="D266" s="12" t="inlineStr">
        <is>
          <t>Fails revenue hard bar: estimated ~$25M annual revenue (aggregator data, 2026) is far below the &gt;$100M threshold; family-owned exception waives the valuation bar but not the revenue bar.</t>
        </is>
      </c>
    </row>
    <row r="267">
      <c r="A267" s="12" t="inlineStr">
        <is>
          <t>Penrite Oil</t>
        </is>
      </c>
      <c r="B267" s="12" t="inlineStr">
        <is>
          <t>Specialty Chemicals &amp; Coatin</t>
        </is>
      </c>
      <c r="C267" s="12" t="inlineStr">
        <is>
          <t>full verification</t>
        </is>
      </c>
      <c r="D267" s="12" t="inlineStr">
        <is>
          <t>Fails revenue hard bar: ~$84.4M estimated annual revenue (Growjo, 2026) is below the &gt;$100M threshold.</t>
        </is>
      </c>
    </row>
    <row r="268">
      <c r="A268" s="12" t="inlineStr">
        <is>
          <t>Permabond LLC</t>
        </is>
      </c>
      <c r="B268" s="12" t="inlineStr">
        <is>
          <t>Specialty Chemicals &amp; Coatin</t>
        </is>
      </c>
      <c r="C268" s="12" t="inlineStr">
        <is>
          <t>full verification</t>
        </is>
      </c>
      <c r="D268" s="12" t="inlineStr">
        <is>
          <t>Fails revenue hard bar: all available data (Companies House headcount, Konaequity/D&amp;B estimates) point to combined revenue in the single-digit-to-low-tens of millions, far below the &gt;$100M threshold.</t>
        </is>
      </c>
    </row>
    <row r="269">
      <c r="A269" s="12" t="inlineStr">
        <is>
          <t>Red Line Synthetic Oil</t>
        </is>
      </c>
      <c r="B269" s="12" t="inlineStr">
        <is>
          <t>Specialty Chemicals &amp; Coatin</t>
        </is>
      </c>
      <c r="C269" s="12" t="inlineStr">
        <is>
          <t>full verification</t>
        </is>
      </c>
      <c r="D269" s="12" t="inlineStr">
        <is>
          <t>Fails revenue hard bar: independent estimates (Datanyze, Kona Equity, 2026) put revenue at roughly $1-5M, far below the &gt;$100M threshold.</t>
        </is>
      </c>
    </row>
    <row r="270">
      <c r="A270" s="12" t="inlineStr">
        <is>
          <t>Ceragon Networks</t>
        </is>
      </c>
      <c r="B270" s="12" t="inlineStr">
        <is>
          <t>Private 5G &amp; Telecom Equipme</t>
        </is>
      </c>
      <c r="C270" s="12" t="inlineStr">
        <is>
          <t>full verification</t>
        </is>
      </c>
      <c r="D270" s="12" t="inlineStr">
        <is>
          <t>Fails valuation hard bar: market cap ~$191.9M (2026) is far below $1B; per rule, a public company under $1B market cap is a No, not a Stretch, regardless of passing revenue.</t>
        </is>
      </c>
    </row>
    <row r="271">
      <c r="A271" s="12" t="inlineStr">
        <is>
          <t>1GLOBAL</t>
        </is>
      </c>
      <c r="B271" s="12" t="inlineStr">
        <is>
          <t>Private 5G &amp; Telecom Equipme</t>
        </is>
      </c>
      <c r="C271" s="12" t="inlineStr">
        <is>
          <t>full verification</t>
        </is>
      </c>
      <c r="D271" s="12" t="inlineStr">
        <is>
          <t>Fails valuation hard bar: implied EV ~$800M (Schwarz Gruppe stake deal, Apr 2026) is below the &gt;$1B threshold, despite revenue being close to/at the revenue bar.</t>
        </is>
      </c>
    </row>
    <row r="272">
      <c r="A272" s="12" t="inlineStr">
        <is>
          <t>Parallel Wireless</t>
        </is>
      </c>
      <c r="B272" s="12" t="inlineStr">
        <is>
          <t>Private 5G &amp; Telecom Equipme</t>
        </is>
      </c>
      <c r="C272" s="12" t="inlineStr">
        <is>
          <t>full verification</t>
        </is>
      </c>
      <c r="D272" s="12" t="inlineStr">
        <is>
          <t>Fails capacity-to-spend hard bar: reported workforce cuts of ~70-80% since 2023 (Light Reading/Mobile World Live, 2023-2026) indicate active cost-cutting/distress, not a company positioned to fund a ~$3.5M/yr sponsorship; no recent GTM/expansion raise identified either.</t>
        </is>
      </c>
    </row>
    <row r="273">
      <c r="A273" s="12" t="inlineStr">
        <is>
          <t>Enea (Openwave Mobility)</t>
        </is>
      </c>
      <c r="B273" s="12" t="inlineStr">
        <is>
          <t>Private 5G &amp; Telecom Equipme</t>
        </is>
      </c>
      <c r="C273" s="12" t="inlineStr">
        <is>
          <t>full verification</t>
        </is>
      </c>
      <c r="D273" s="12" t="inlineStr">
        <is>
          <t>Fails both revenue and valuation hard bars: FY2025 revenue ≈$85M USD is below the &gt;$100M threshold, and market cap ≈$108M USD is far below the &gt;$1B threshold required for a public company (stockanalysis.com, 2026).</t>
        </is>
      </c>
    </row>
    <row r="274">
      <c r="A274" s="12" t="inlineStr">
        <is>
          <t>InHand Networks</t>
        </is>
      </c>
      <c r="B274" s="12" t="inlineStr">
        <is>
          <t>Private 5G &amp; Telecom Equipme</t>
        </is>
      </c>
      <c r="C274" s="12" t="inlineStr">
        <is>
          <t>full verification</t>
        </is>
      </c>
      <c r="D274" s="12" t="inlineStr">
        <is>
          <t>Fails both hard bars, though narrowly: TTM revenue $97.3M is just below the &gt;$100M threshold, and market cap ≈$577M is well below the &gt;$1B threshold required for a public company (stockanalysis.com, 2025-2026).</t>
        </is>
      </c>
    </row>
    <row r="275">
      <c r="A275" s="12" t="inlineStr">
        <is>
          <t>Robustel</t>
        </is>
      </c>
      <c r="B275" s="12" t="inlineStr">
        <is>
          <t>Private 5G &amp; Telecom Equipme</t>
        </is>
      </c>
      <c r="C275" s="12" t="inlineStr">
        <is>
          <t>full verification</t>
        </is>
      </c>
      <c r="D275" s="12" t="inlineStr">
        <is>
          <t>Revenue (est $40-80M) fails the &gt;$100M hard bar, and no valuation/market cap could be confirmed at all (listing status itself unverified) — cannot meet the &gt;$1B bar either.</t>
        </is>
      </c>
    </row>
    <row r="276">
      <c r="A276" s="12" t="inlineStr">
        <is>
          <t>SIAE Microelettronica</t>
        </is>
      </c>
      <c r="B276" s="12" t="inlineStr">
        <is>
          <t>Private 5G &amp; Telecom Equipme</t>
        </is>
      </c>
      <c r="C276" s="12" t="inlineStr">
        <is>
          <t>full verification</t>
        </is>
      </c>
      <c r="D276" s="12" t="inlineStr">
        <is>
          <t>Could not verify revenue above the &gt;$100M hard bar from any credible dated source (only an apparently non-representative £8.5M subsidiary figure was found); no published valuation exists, and private ownership here does not qualify for the family/employee-owned exemption without confirmation.</t>
        </is>
      </c>
    </row>
    <row r="277">
      <c r="A277" s="12" t="inlineStr">
        <is>
          <t>Subex Limited</t>
        </is>
      </c>
      <c r="B277" s="12" t="inlineStr">
        <is>
          <t>Private 5G &amp; Telecom Equipme</t>
        </is>
      </c>
      <c r="C277" s="12" t="inlineStr">
        <is>
          <t>full verification</t>
        </is>
      </c>
      <c r="D277" s="12" t="inlineStr">
        <is>
          <t>Public company with market cap ~$92M, below the $1B hard bar (a public company under $1B market cap is a No, not a Stretch); revenue (~$35M) also fails the &gt;$100M hard bar.</t>
        </is>
      </c>
    </row>
    <row r="278">
      <c r="A278" s="12" t="inlineStr">
        <is>
          <t>Wireless Infrastructure Group</t>
        </is>
      </c>
      <c r="B278" s="12" t="inlineStr">
        <is>
          <t>Private 5G &amp; Telecom Equipme</t>
        </is>
      </c>
      <c r="C278" s="12" t="inlineStr">
        <is>
          <t>full verification</t>
        </is>
      </c>
      <c r="D278" s="12" t="inlineStr">
        <is>
          <t>No confirmed current revenue could be found (&gt;$100M bar unverifiable), and the only known valuation (£575M EV, from a stale Dec 2019 transaction) is both outdated and below the $1B hard bar.</t>
        </is>
      </c>
    </row>
    <row r="279">
      <c r="A279" s="12" t="inlineStr">
        <is>
          <t>Blu Wireless</t>
        </is>
      </c>
      <c r="B279" s="12" t="inlineStr">
        <is>
          <t>Private 5G &amp; Telecom Equipme</t>
        </is>
      </c>
      <c r="C279" s="12" t="inlineStr">
        <is>
          <t>full verification</t>
        </is>
      </c>
      <c r="D279" s="12" t="inlineStr">
        <is>
          <t>Confirmed F1 conflict: Blu Wireless has an active technology partnership with McLaren Applied (part of the McLaren Group, parent of the McLaren F1 team) delivering ultra-high-speed mmWave on-car telemetry, tested on race cars at 165+ mph (Computer Weekly) — a direct tie via parent per the F1-conflic</t>
        </is>
      </c>
    </row>
    <row r="280">
      <c r="A280" s="12" t="inlineStr">
        <is>
          <t>Druid Software</t>
        </is>
      </c>
      <c r="B280" s="12" t="inlineStr">
        <is>
          <t>Private 5G &amp; Telecom Equipme</t>
        </is>
      </c>
      <c r="C280" s="12" t="inlineStr">
        <is>
          <t>full verification</t>
        </is>
      </c>
      <c r="D280" s="12" t="inlineStr">
        <is>
          <t>No disclosed revenue or ARR could be confirmed, and company scale (51-200 employees, first-ever external funding only closed Jan 2025) makes it highly unlikely to meet the &gt;$100M revenue / &gt;$50M-ARR-growing-&gt;50%-YoY hard bar.</t>
        </is>
      </c>
    </row>
    <row r="281">
      <c r="A281" s="12" t="inlineStr">
        <is>
          <t>esim.me</t>
        </is>
      </c>
      <c r="B281" s="12" t="inlineStr">
        <is>
          <t>Private 5G &amp; Telecom Equipme</t>
        </is>
      </c>
      <c r="C281" s="12" t="inlineStr">
        <is>
          <t>full verification</t>
        </is>
      </c>
      <c r="D281" s="12" t="inlineStr">
        <is>
          <t>No confirmed revenue or valuation data could be found; company scale (51-200 employees, est $10-30M revenue) falls well short of the &gt;$100M revenue hard bar, and no family/employee-owned exemption applies.</t>
        </is>
      </c>
    </row>
    <row r="282">
      <c r="A282" s="12" t="inlineStr">
        <is>
          <t>Gigs</t>
        </is>
      </c>
      <c r="B282" s="12" t="inlineStr">
        <is>
          <t>Private 5G &amp; Telecom Equipme</t>
        </is>
      </c>
      <c r="C282" s="12" t="inlineStr">
        <is>
          <t>full verification</t>
        </is>
      </c>
      <c r="D282" s="12" t="inlineStr">
        <is>
          <t>ARR (~$19.1M) is below the $50M-ARR-with-&gt;50%-YoY-growth hard bar for VC-backed companies, and no valuation above $1B was found (only a ~$57M low-confidence estimate).</t>
        </is>
      </c>
    </row>
    <row r="283">
      <c r="A283" s="12" t="inlineStr">
        <is>
          <t>GigSky</t>
        </is>
      </c>
      <c r="B283" s="12" t="inlineStr">
        <is>
          <t>Private 5G &amp; Telecom Equipme</t>
        </is>
      </c>
      <c r="C283" s="12" t="inlineStr">
        <is>
          <t>full verification</t>
        </is>
      </c>
      <c r="D283" s="12" t="inlineStr">
        <is>
          <t>Estimated revenue (~$13.5M) and valuation (~$163M) both fail the &gt;$100M revenue and &gt;$1B valuation hard bars, and no recent funding round was found to support capacity-to-spend.</t>
        </is>
      </c>
    </row>
    <row r="284">
      <c r="A284" s="12" t="inlineStr">
        <is>
          <t>H2O Wireless</t>
        </is>
      </c>
      <c r="B284" s="12" t="inlineStr">
        <is>
          <t>Private 5G &amp; Telecom Equipme</t>
        </is>
      </c>
      <c r="C284" s="12" t="inlineStr">
        <is>
          <t>full verification</t>
        </is>
      </c>
      <c r="D284" s="12" t="inlineStr">
        <is>
          <t>Revenue est. $1-10M (LeadIQ) — far below the $100M / $50M-ARR hard bar; no valuation evidence either.</t>
        </is>
      </c>
    </row>
    <row r="285">
      <c r="A285" s="12" t="inlineStr">
        <is>
          <t>Highway9 Networks</t>
        </is>
      </c>
      <c r="B285" s="12" t="inlineStr">
        <is>
          <t>Private 5G &amp; Telecom Equipme</t>
        </is>
      </c>
      <c r="C285" s="12" t="inlineStr">
        <is>
          <t>full verification</t>
        </is>
      </c>
      <c r="D285" s="12" t="inlineStr">
        <is>
          <t>Revenue ~$1.7M FY2024 (thecompanycheck/Tracxn) — far below the $100M / $50M-ARR hard bar.</t>
        </is>
      </c>
    </row>
    <row r="286">
      <c r="A286" s="12" t="inlineStr">
        <is>
          <t>Lynk Global</t>
        </is>
      </c>
      <c r="B286" s="12" t="inlineStr">
        <is>
          <t>Private 5G &amp; Telecom Equipme</t>
        </is>
      </c>
      <c r="C286" s="12" t="inlineStr">
        <is>
          <t>full verification</t>
        </is>
      </c>
      <c r="D286" s="12" t="inlineStr">
        <is>
          <t>Pre-revenue — 640-satellite constellation not yet generating commercial revenue (service targeted 2027); pre-revenue is an automatic No regardless of the $2.3B valuation.</t>
        </is>
      </c>
    </row>
    <row r="287">
      <c r="A287" s="12" t="inlineStr">
        <is>
          <t>Nomad eSIM</t>
        </is>
      </c>
      <c r="B287" s="12" t="inlineStr">
        <is>
          <t>Private 5G &amp; Telecom Equipme</t>
        </is>
      </c>
      <c r="C287" s="12" t="inlineStr">
        <is>
          <t>full verification</t>
        </is>
      </c>
      <c r="D287" s="12" t="inlineStr">
        <is>
          <t>Headcount is 24 (Tracxn, May 2026) — below the 51-employee minimum hard bar; valuation ($196.83M) and revenue ($45M, 2023) are also both below their respective hard bars.</t>
        </is>
      </c>
    </row>
    <row r="288">
      <c r="A288" s="12" t="inlineStr">
        <is>
          <t>Pod Group</t>
        </is>
      </c>
      <c r="B288" s="12" t="inlineStr">
        <is>
          <t>Private 5G &amp; Telecom Equipme</t>
        </is>
      </c>
      <c r="C288" s="12" t="inlineStr">
        <is>
          <t>full verification</t>
        </is>
      </c>
      <c r="D288" s="12" t="inlineStr">
        <is>
          <t>Headcount 11-50 (Tracxn, Jul 2024) for the Pod Group unit — below the 51-employee minimum hard bar; unit revenue (est. $5-25M) is also far below the $100M hard bar.</t>
        </is>
      </c>
    </row>
    <row r="289">
      <c r="A289" s="12" t="inlineStr">
        <is>
          <t>Red Pocket Mobile</t>
        </is>
      </c>
      <c r="B289" s="12" t="inlineStr">
        <is>
          <t>Private 5G &amp; Telecom Equipme</t>
        </is>
      </c>
      <c r="C289" s="12" t="inlineStr">
        <is>
          <t>full verification</t>
        </is>
      </c>
      <c r="D289" s="12" t="inlineStr">
        <is>
          <t>Revenue ~$31.2M (Growjo est., 2026) — far below the $100M hard bar; no evidence of ARR &gt;$50M growing &gt;50% YoY.</t>
        </is>
      </c>
    </row>
    <row r="290">
      <c r="A290" s="12" t="inlineStr">
        <is>
          <t>Tello Mobile</t>
        </is>
      </c>
      <c r="B290" s="12" t="inlineStr">
        <is>
          <t>Private 5G &amp; Telecom Equipme</t>
        </is>
      </c>
      <c r="C290" s="12" t="inlineStr">
        <is>
          <t>full verification</t>
        </is>
      </c>
      <c r="D290" s="12" t="inlineStr">
        <is>
          <t>Revenue est. up to $15.4M at the high end (Kona Equity, 2026) — far below the $100M hard bar.</t>
        </is>
      </c>
    </row>
    <row r="291">
      <c r="A291" s="12" t="inlineStr">
        <is>
          <t>Twigby</t>
        </is>
      </c>
      <c r="B291" s="12" t="inlineStr">
        <is>
          <t>Private 5G &amp; Telecom Equipme</t>
        </is>
      </c>
      <c r="C291" s="12" t="inlineStr">
        <is>
          <t>full verification</t>
        </is>
      </c>
      <c r="D291" s="12" t="inlineStr">
        <is>
          <t>Headcount ~11 employees (Oct 2025) — well below the 51-employee minimum hard bar.</t>
        </is>
      </c>
    </row>
    <row r="292">
      <c r="A292" s="12" t="inlineStr">
        <is>
          <t>US Mobile</t>
        </is>
      </c>
      <c r="B292" s="12" t="inlineStr">
        <is>
          <t>Private 5G &amp; Telecom Equipme</t>
        </is>
      </c>
      <c r="C292" s="12" t="inlineStr">
        <is>
          <t>full verification</t>
        </is>
      </c>
      <c r="D292" s="12" t="inlineStr">
        <is>
          <t>No published valuation (private, VC-backed, not family/employee-owned) — the &gt;$1B valuation hard bar cannot be confirmed; separately, last raise was 2022 (&gt;18 months ago) with profitability unconfirmed, so the capacity-to-spend bar also fails despite strong ~$200M ARR revenue.</t>
        </is>
      </c>
    </row>
    <row r="293">
      <c r="A293" s="12" t="inlineStr">
        <is>
          <t>Lake Shore Cryotronics</t>
        </is>
      </c>
      <c r="B293" s="12" t="inlineStr">
        <is>
          <t>Quantum Computing</t>
        </is>
      </c>
      <c r="C293" s="12" t="inlineStr">
        <is>
          <t>full verification</t>
        </is>
      </c>
      <c r="D293" s="12" t="inlineStr">
        <is>
          <t>Revenue ~$23.9M (Growjo est., 2026) — far below the $100M hard bar; the company is now PE-owned (Arcline/DwyerOmega, June 2026), not employee-owned, so no revenue-only exemption applies.</t>
        </is>
      </c>
    </row>
    <row r="294">
      <c r="A294" s="12" t="inlineStr">
        <is>
          <t>attocube systems</t>
        </is>
      </c>
      <c r="B294" s="12" t="inlineStr">
        <is>
          <t>Quantum Computing</t>
        </is>
      </c>
      <c r="C294" s="12" t="inlineStr">
        <is>
          <t>full verification</t>
        </is>
      </c>
      <c r="D294" s="12" t="inlineStr">
        <is>
          <t>Fails revenue hard bar: attocube's own standalone revenue is ~$14.1M (2025 est, Kona Equity) - far below the &gt;$100M bar (and no evidence of ARR &gt;$50M growing &gt;50% YoY). Parent WITTENSTEIN SE's &gt;€500M group revenue is the parent's figure and does not count for the subsidiary per protocol.</t>
        </is>
      </c>
    </row>
    <row r="295">
      <c r="A295" s="12" t="inlineStr">
        <is>
          <t>Quantum Design</t>
        </is>
      </c>
      <c r="B295" s="12" t="inlineStr">
        <is>
          <t>Quantum Computing</t>
        </is>
      </c>
      <c r="C295" s="12" t="inlineStr">
        <is>
          <t>full verification</t>
        </is>
      </c>
      <c r="D295" s="12" t="inlineStr">
        <is>
          <t>Fails revenue hard bar: estimated revenue $25-100M (business-data aggregators), with a $52.1M point estimate - below the &gt;$100M threshold (and no evidence of ARR &gt;$50M growing &gt;50% YoY); no F1 conflict identified.</t>
        </is>
      </c>
    </row>
    <row r="296">
      <c r="A296" s="12" t="inlineStr">
        <is>
          <t>Cryomagnetics Inc</t>
        </is>
      </c>
      <c r="B296" s="12" t="inlineStr">
        <is>
          <t>Quantum Computing</t>
        </is>
      </c>
      <c r="C296" s="12" t="inlineStr">
        <is>
          <t>full verification</t>
        </is>
      </c>
      <c r="D296" s="12" t="inlineStr">
        <is>
          <t>Fails revenue hard bar: estimated annual revenue ~$13.1M (aggregator data, 2026), far below the &gt;$100M threshold (and no evidence of ARR &gt;$50M growing &gt;50% YoY); no F1 conflict identified.</t>
        </is>
      </c>
    </row>
    <row r="297">
      <c r="A297" s="12" t="inlineStr">
        <is>
          <t>Single Quantum</t>
        </is>
      </c>
      <c r="B297" s="12" t="inlineStr">
        <is>
          <t>Quantum Computing</t>
        </is>
      </c>
      <c r="C297" s="12" t="inlineStr">
        <is>
          <t>full verification</t>
        </is>
      </c>
      <c r="D297" s="12" t="inlineStr">
        <is>
          <t>Fails revenue hard bar: no confirmed revenue figure was published, and company scale (~59 employees, grant-funded, no institutional equity financing found) makes revenue &gt;$100M (or ARR &gt;$50M growing &gt;50% YoY) implausible; no F1 conflict identified.</t>
        </is>
      </c>
    </row>
    <row r="298">
      <c r="A298" s="12" t="inlineStr">
        <is>
          <t>Vescent Photonics</t>
        </is>
      </c>
      <c r="B298" s="12" t="inlineStr">
        <is>
          <t>Quantum Computing</t>
        </is>
      </c>
      <c r="C298" s="12" t="inlineStr">
        <is>
          <t>full verification</t>
        </is>
      </c>
      <c r="D298" s="12" t="inlineStr">
        <is>
          <t>Fails revenue hard bar: estimated annual revenue ~$23.5M (aggregator data), far below the &gt;$100M threshold (and no evidence of ARR &gt;$50M growing &gt;50% YoY); no F1 conflict identified.</t>
        </is>
      </c>
    </row>
    <row r="299">
      <c r="A299" s="12" t="inlineStr">
        <is>
          <t>1Qbit</t>
        </is>
      </c>
      <c r="B299" s="12" t="inlineStr">
        <is>
          <t>Quantum Computing</t>
        </is>
      </c>
      <c r="C299" s="12" t="inlineStr">
        <is>
          <t>full verification</t>
        </is>
      </c>
      <c r="D299" s="12" t="inlineStr">
        <is>
          <t>Fails the revenue hard bar: no evidence of &gt;$100M revenue (~100-staff software firm, no disclosed figures) and no standalone valuation. Acquired by Terra Quantum in Feb 2024, so any sponsorship decision would sit with the parent, whose $3.5B SPAC valuation is announced but not closed. No F1 team/ser</t>
        </is>
      </c>
    </row>
    <row r="300">
      <c r="A300" s="12" t="inlineStr">
        <is>
          <t>QpiAI</t>
        </is>
      </c>
      <c r="B300" s="12" t="inlineStr">
        <is>
          <t>Quantum Computing</t>
        </is>
      </c>
      <c r="C300" s="12" t="inlineStr">
        <is>
          <t>full verification</t>
        </is>
      </c>
      <c r="D300" s="12" t="inlineStr">
        <is>
          <t>Fails both hard bars: revenue ~$0.35M FY25 (&lt;$100M) and valuation $162M (&lt;$1B). Effectively pre-revenue. No F1 tie found. Minority state co-investment is a flag only, but immaterial given the hard-bar failures.</t>
        </is>
      </c>
    </row>
    <row r="301">
      <c r="A301" s="12" t="inlineStr">
        <is>
          <t>Vector Atomic</t>
        </is>
      </c>
      <c r="B301" s="12" t="inlineStr">
        <is>
          <t>Quantum Computing</t>
        </is>
      </c>
      <c r="C301" s="12" t="inlineStr">
        <is>
          <t>full verification</t>
        </is>
      </c>
      <c r="D301" s="12" t="inlineStr">
        <is>
          <t>Fails the valuation hard bar as a standalone ($181.5M deal value) and shows no evidence of &gt;$100M annual revenue. Now a subsidiary of IonQ with no independent sponsorship budget; IonQ itself is a separate, heavily loss-making public company and is not the entity screened here. No F1 team/series/driv</t>
        </is>
      </c>
    </row>
    <row r="302">
      <c r="A302" s="12" t="inlineStr">
        <is>
          <t>Nestlé Purina PetCare</t>
        </is>
      </c>
      <c r="B302" s="12" t="inlineStr">
        <is>
          <t>Pet Care &amp; Nutrition</t>
        </is>
      </c>
      <c r="C302" s="12" t="inlineStr">
        <is>
          <t>full verification</t>
        </is>
      </c>
      <c r="D302" s="12" t="inlineStr">
        <is>
          <t>F1 conflict fails: parent Nestlé S.A.'s KitKat brand is the Official Chocolate Bar of Formula 1 under a multi-year global partnership (Nestlé newsroom releases 2025; F1.com, 2025-2026) - subsidiaries inherit parent F1 ties per brief.</t>
        </is>
      </c>
    </row>
    <row r="303">
      <c r="A303" s="12" t="inlineStr">
        <is>
          <t>Greencross Limited (Petbarn / Greencross Vets)</t>
        </is>
      </c>
      <c r="B303" s="12" t="inlineStr">
        <is>
          <t>Pet Care &amp; Nutrition</t>
        </is>
      </c>
      <c r="C303" s="12" t="inlineStr">
        <is>
          <t>full verification</t>
        </is>
      </c>
      <c r="D303" s="12" t="inlineStr">
        <is>
          <t>Fails the fit gate: fit_score = 1 (Petbarn/Greencross Vets operate only in Australia, a single F1 market, with no global-ambition or performance narrative) - fit &gt;= 2 is required even where financial hard filters pass.</t>
        </is>
      </c>
    </row>
    <row r="304">
      <c r="A304" s="12" t="inlineStr">
        <is>
          <t>Petkit</t>
        </is>
      </c>
      <c r="B304" s="12" t="inlineStr">
        <is>
          <t>Pet Care &amp; Nutrition</t>
        </is>
      </c>
      <c r="C304" s="12" t="inlineStr">
        <is>
          <t>full verification</t>
        </is>
      </c>
      <c r="D304" s="12" t="inlineStr">
        <is>
          <t>Fails the valuation hard bar: latest disclosed valuation is ~US$450M (PitchBook/Tracxn, based on the 2021 Series D), below the &gt;$1B threshold, and Petkit does not qualify for the family-owned/no-published-valuation exception since it is VC-backed with an already-published sub-$1B valuation; also fai</t>
        </is>
      </c>
    </row>
    <row r="305">
      <c r="A305" s="12" t="inlineStr">
        <is>
          <t>Polar Electro Oy</t>
        </is>
      </c>
      <c r="B305" s="12" t="inlineStr">
        <is>
          <t>Fitness, Sports Nutrition &amp; Recovery</t>
        </is>
      </c>
      <c r="C305" s="12" t="inlineStr">
        <is>
          <t>full verification</t>
        </is>
      </c>
      <c r="D305" s="12" t="inlineStr">
        <is>
          <t>Fails the capacity-to-spend hard filter: reported revenue is declining (~€110M in 2023, down from ~€112M in 2022) and the Finnish parent entity cut headcount 10.6% in FY2024 - signs of cost-cutting/distress rather than 'profitable or clearly improving', and the revenue base itself is uncertain and c</t>
        </is>
      </c>
    </row>
    <row r="306">
      <c r="A306" s="12" t="inlineStr">
        <is>
          <t>Core Health &amp; Fitness</t>
        </is>
      </c>
      <c r="B306" s="12" t="inlineStr">
        <is>
          <t>Fitness, Sports Nutrition &amp; Recovery</t>
        </is>
      </c>
      <c r="C306" s="12" t="inlineStr">
        <is>
          <t>full verification</t>
        </is>
      </c>
      <c r="D306" s="12" t="inlineStr">
        <is>
          <t>Fails the valuation hard filter: no published valuation exists, and the company's ownership (founder-controlled plus ~$47M in minority PE/growth-equity investment) does not qualify for the family-owned/cooperative pass-on-revenue-alone exception; standalone revenue also could not be independently co</t>
        </is>
      </c>
    </row>
    <row r="307">
      <c r="A307" s="12" t="inlineStr">
        <is>
          <t>Simply Good Foods Company</t>
        </is>
      </c>
      <c r="B307" s="12" t="inlineStr">
        <is>
          <t>Fitness, Sports Nutrition &amp; Recovery</t>
        </is>
      </c>
      <c r="C307" s="12" t="inlineStr">
        <is>
          <t>full verification</t>
        </is>
      </c>
      <c r="D307" s="12" t="inlineStr">
        <is>
          <t>Fails the valuation hard filter: market cap has fallen to ~$901M (Sept 2026), below the $1B bar, amid a securities-fraud investigation, a 9.4% YoY sales decline, and intangible impairment charges - these also signal active distress, failing the capacity-to-spend filter.</t>
        </is>
      </c>
    </row>
    <row r="308">
      <c r="A308" s="12" t="inlineStr">
        <is>
          <t>VASA Fitness</t>
        </is>
      </c>
      <c r="B308" s="12" t="inlineStr">
        <is>
          <t>Fitness, Sports Nutrition &amp; Recovery</t>
        </is>
      </c>
      <c r="C308" s="12" t="inlineStr">
        <is>
          <t>full verification</t>
        </is>
      </c>
      <c r="D308" s="12" t="inlineStr">
        <is>
          <t>Fails the valuation hard filter: no published valuation exists, VASA is PE-owned by a middle-market firm (Silver Oak Services Partners) typically associated with sub-$1B deals, and it does not qualify for the family-owned/cooperative pass-on-revenue-alone exception.</t>
        </is>
      </c>
    </row>
    <row r="309">
      <c r="A309" s="12" t="inlineStr">
        <is>
          <t>Rajesh Exports Limited</t>
        </is>
      </c>
      <c r="B309" s="12" t="inlineStr">
        <is>
          <t>Watches &amp; Jewellery</t>
        </is>
      </c>
      <c r="C309" s="12" t="inlineStr">
        <is>
          <t>full verification</t>
        </is>
      </c>
      <c r="D309" s="12" t="inlineStr">
        <is>
          <t>Failed hard filter: valuation. Market cap is ~US$240-270M as of Sept 2026 (down ~64% YoY), far below the &gt;$1B bar. Rajesh Exports is publicly listed with a disclosed valuation, so the family-owned/no-published-valuation exception does not apply.</t>
        </is>
      </c>
    </row>
    <row r="310">
      <c r="A310" s="12" t="inlineStr">
        <is>
          <t>Mannai Corporation (Damas)</t>
        </is>
      </c>
      <c r="B310" s="12" t="inlineStr">
        <is>
          <t>Watches &amp; Jewellery</t>
        </is>
      </c>
      <c r="C310" s="12" t="inlineStr">
        <is>
          <t>full verification</t>
        </is>
      </c>
      <c r="D310" s="12" t="inlineStr">
        <is>
          <t>Failed hard filter: ownership. 51.2% of Mannai is held by QIPCO Holding, which is owned and controlled by members of Qatar's royal family (Al Thani) - majority royal ownership is a hard No per policy. Additionally, Mannai sold 67% of Damas International (its GCC jewelry unit) in a deal concluded Feb</t>
        </is>
      </c>
    </row>
    <row r="311">
      <c r="A311" s="12" t="inlineStr">
        <is>
          <t>Shenzhen Rapoo Technology Co., Ltd.</t>
        </is>
      </c>
      <c r="B311" s="12" t="inlineStr">
        <is>
          <t>Gaming Hardware &amp; Peripherals</t>
        </is>
      </c>
      <c r="C311" s="12" t="inlineStr">
        <is>
          <t>full verification</t>
        </is>
      </c>
      <c r="D311" s="12" t="inlineStr">
        <is>
          <t>Hard filter fail: FY2024 revenue ~US$61M (RMB 437.59M, stockanalysis.com) is below the $100M revenue bar, AND market cap ~US$770M (Sept 2026, stockanalysis.com) is below the $1B valuation bar.</t>
        </is>
      </c>
    </row>
    <row r="312">
      <c r="A312" s="12" t="inlineStr">
        <is>
          <t>iBUYPOWER</t>
        </is>
      </c>
      <c r="B312" s="12" t="inlineStr">
        <is>
          <t>Gaming Hardware &amp; Peripherals</t>
        </is>
      </c>
      <c r="C312" s="12" t="inlineStr">
        <is>
          <t>full verification</t>
        </is>
      </c>
      <c r="D312" s="12" t="inlineStr">
        <is>
          <t>Hard filter fail: revenue estimated at $32-54M across sources (2024-2025, Similarweb/ZoomInfo/Zippia), well below the $100M revenue bar; no published valuation to qualify on the $1B alternative.</t>
        </is>
      </c>
    </row>
    <row r="313">
      <c r="A313" s="12" t="inlineStr">
        <is>
          <t>AndaSeat</t>
        </is>
      </c>
      <c r="B313" s="12" t="inlineStr">
        <is>
          <t>Gaming Hardware &amp; Peripherals</t>
        </is>
      </c>
      <c r="C313" s="12" t="inlineStr">
        <is>
          <t>full verification</t>
        </is>
      </c>
      <c r="D313" s="12" t="inlineStr">
        <is>
          <t>Revenue hard bar fails: ~$35M (est, LeadIQ, June 2024) is far short of the &gt;$100M bar, and no ARR/valuation evidence exists to qualify otherwise.</t>
        </is>
      </c>
    </row>
    <row r="314">
      <c r="A314" s="12" t="inlineStr">
        <is>
          <t>Listan Group (be quiet!)</t>
        </is>
      </c>
      <c r="B314" s="12" t="inlineStr">
        <is>
          <t>Gaming Hardware &amp; Peripherals</t>
        </is>
      </c>
      <c r="C314" s="12" t="inlineStr">
        <is>
          <t>full verification</t>
        </is>
      </c>
      <c r="D314" s="12" t="inlineStr">
        <is>
          <t>Revenue hard bar not met: no confirmed figure above $100M; modest headcount (~60-130 at core Listan GmbH) and balance-sheet total (~€80M, 2023) point to sub-threshold scale.</t>
        </is>
      </c>
    </row>
    <row r="315">
      <c r="A315" s="12" t="inlineStr">
        <is>
          <t>Redragon</t>
        </is>
      </c>
      <c r="B315" s="12" t="inlineStr">
        <is>
          <t>Gaming Hardware &amp; Peripherals</t>
        </is>
      </c>
      <c r="C315" s="12" t="inlineStr">
        <is>
          <t>full verification</t>
        </is>
      </c>
      <c r="D315" s="12" t="inlineStr">
        <is>
          <t>Revenue hard bar not confirmed: only direct online-store revenue is public ($9.2M, 2025); no evidence of &gt;$100M total revenue across all sales channels.</t>
        </is>
      </c>
    </row>
    <row r="316">
      <c r="A316" s="12" t="inlineStr">
        <is>
          <t>GameSir Technology</t>
        </is>
      </c>
      <c r="B316" s="12" t="inlineStr">
        <is>
          <t>Gaming Hardware &amp; Peripherals</t>
        </is>
      </c>
      <c r="C316" s="12" t="inlineStr">
        <is>
          <t>full verification</t>
        </is>
      </c>
      <c r="D316" s="12" t="inlineStr">
        <is>
          <t>Fails multiple hard bars: headcount ~20-30 employees (below the 51 floor, per Crustdata/Owler) and revenue est. only ~$3.7M (Owler), far short of the &gt;$100M bar.</t>
        </is>
      </c>
    </row>
    <row r="317">
      <c r="A317" s="12" t="inlineStr">
        <is>
          <t>StubHub Holdings Inc.</t>
        </is>
      </c>
      <c r="B317" s="12" t="inlineStr">
        <is>
          <t>Ticketing, Live Events &amp; Experiences</t>
        </is>
      </c>
      <c r="C317" s="12" t="inlineStr">
        <is>
          <t>full verification</t>
        </is>
      </c>
      <c r="D317" s="12" t="inlineStr">
        <is>
          <t>Confirmed current F1 conflict: StubHub and New Era launched a partnership activated around F1's North American season (Miami Grand Prix, announced April 2026), tying StubHub directly to F1 sponsorship activity.</t>
        </is>
      </c>
    </row>
    <row r="318">
      <c r="A318" s="12" t="inlineStr">
        <is>
          <t>Kruuse Group</t>
        </is>
      </c>
      <c r="B318" s="12" t="inlineStr">
        <is>
          <t>Pet Care &amp; Nutrition</t>
        </is>
      </c>
      <c r="C318" s="12" t="inlineStr">
        <is>
          <t>full verification</t>
        </is>
      </c>
      <c r="D318" s="12" t="inlineStr">
        <is>
          <t>Revenue hard bar fails to verify: Kruuse has had no independent P&amp;L since its 2015 acquisition by Henry Schein Inc.; no current standalone revenue figure &gt;$100M could be sourced, and the private-family/no-valuation exception does not apply since it is a corporate subsidiary, not family-owned or a co</t>
        </is>
      </c>
    </row>
    <row r="319">
      <c r="A319" s="12" t="inlineStr">
        <is>
          <t>DOJI Gold &amp; Gems Group</t>
        </is>
      </c>
      <c r="B319" s="12" t="inlineStr">
        <is>
          <t>Watches &amp; Jewellery</t>
        </is>
      </c>
      <c r="C319" s="12" t="inlineStr">
        <is>
          <t>full verification</t>
        </is>
      </c>
      <c r="D319" s="12" t="inlineStr">
        <is>
          <t>Revenue hard bar fails to verify: available 2023/2024 profit and revenue figures are mutually inconsistent (implausible ~12x jump) and the core business is thin-margin, pass-through gold trading, so no reliable source confirms genuine business-scale revenue &gt;$100M.</t>
        </is>
      </c>
    </row>
    <row r="320">
      <c r="A320" s="12" t="inlineStr">
        <is>
          <t>Raymond Weil SA</t>
        </is>
      </c>
      <c r="B320" s="12" t="inlineStr">
        <is>
          <t>Watches &amp; Jewellery</t>
        </is>
      </c>
      <c r="C320" s="12" t="inlineStr">
        <is>
          <t>full verification</t>
        </is>
      </c>
      <c r="D320" s="12" t="inlineStr">
        <is>
          <t>Revenue hard bar fails: $18.9M-$35M annual revenue, far below the $100M bar and not a qualifying high-growth ARR business.</t>
        </is>
      </c>
    </row>
    <row r="321">
      <c r="A321" s="12" t="inlineStr">
        <is>
          <t>APM Monaco</t>
        </is>
      </c>
      <c r="B321" s="12" t="inlineStr">
        <is>
          <t>Watches &amp; Jewellery</t>
        </is>
      </c>
      <c r="C321" s="12" t="inlineStr">
        <is>
          <t>full verification</t>
        </is>
      </c>
      <c r="D321" s="12" t="inlineStr">
        <is>
          <t>F1 conflict: confirmed brand-ambassador partnership with Ferrari driver Charles Leclerc - Leclerc wore the APM Monaco logo on his race suit during the Monaco GP weekend (Esquire Philippines; Flaunt Magazine, retrieved 2026-09) - a direct tie to a 2026-grid team via its driver.</t>
        </is>
      </c>
    </row>
    <row r="322">
      <c r="A322" s="12" t="inlineStr">
        <is>
          <t>Bhima Jewellers</t>
        </is>
      </c>
      <c r="B322" s="12" t="inlineStr">
        <is>
          <t>Watches &amp; Jewellery</t>
        </is>
      </c>
      <c r="C322" s="12" t="inlineStr">
        <is>
          <t>full verification</t>
        </is>
      </c>
      <c r="D322" s="12" t="inlineStr">
        <is>
          <t>Revenue hard bar fails to verify: source figures conflict by up to ~20x (from an implausible ₹48,000 crore down to ₹500 crore) with no reliable figure confidently confirming &gt;$100M.</t>
        </is>
      </c>
    </row>
    <row r="323">
      <c r="A323" s="12" t="inlineStr">
        <is>
          <t>Edgewell Personal Care</t>
        </is>
      </c>
      <c r="B323" s="12" t="inlineStr">
        <is>
          <t>Grooming &amp; Men's Care</t>
        </is>
      </c>
      <c r="C323" s="12" t="inlineStr">
        <is>
          <t>full verification</t>
        </is>
      </c>
      <c r="D323" s="12" t="inlineStr">
        <is>
          <t>F1 conflict - Wilkinson Sword, an Edgewell-owned brand, is the official Men's Grooming Partner of the Atlassian Williams F1 Team (livery/branding live since Feb 2026).</t>
        </is>
      </c>
    </row>
    <row r="324">
      <c r="A324" s="12" t="inlineStr">
        <is>
          <t>Great Clips Inc.</t>
        </is>
      </c>
      <c r="B324" s="12" t="inlineStr">
        <is>
          <t>Grooming &amp; Men's Care</t>
        </is>
      </c>
      <c r="C324" s="12" t="inlineStr">
        <is>
          <t>full verification</t>
        </is>
      </c>
      <c r="D324" s="12" t="inlineStr">
        <is>
          <t>Fit score 0/4 - US/Canada-only footprint, mass-market non-affluent buyers, no performance/precision brand story, and the grooming sponsorship slot is already taken by Wilkinson Sword-Williams - below the minimum fit threshold of 2.</t>
        </is>
      </c>
    </row>
    <row r="325">
      <c r="A325" s="12" t="inlineStr">
        <is>
          <t>Sport Clips Inc.</t>
        </is>
      </c>
      <c r="B325" s="12" t="inlineStr">
        <is>
          <t>Grooming &amp; Men's Care</t>
        </is>
      </c>
      <c r="C325" s="12" t="inlineStr">
        <is>
          <t>full verification</t>
        </is>
      </c>
      <c r="D325" s="12" t="inlineStr">
        <is>
          <t>Franchisor-level revenue could not be confirmed above the $100M bar (only system-wide franchisee sales figures found, which don't count as company revenue), and fit score is 1/4 (US-only footprint, grooming slot already taken by Wilkinson Sword-Williams) - below minimum fit threshold.</t>
        </is>
      </c>
    </row>
    <row r="326">
      <c r="A326" s="12" t="inlineStr">
        <is>
          <t>Newell Brands Inc.</t>
        </is>
      </c>
      <c r="B326" s="12" t="inlineStr">
        <is>
          <t>Grooming &amp; Men's Care</t>
        </is>
      </c>
      <c r="C326" s="12" t="inlineStr">
        <is>
          <t>full verification</t>
        </is>
      </c>
      <c r="D326" s="12" t="inlineStr">
        <is>
          <t>Capacity/financial-health hard filter fails - revenue is declining (~$7.58B to $7.20B YoY), the company is in an active cost-cutting/restructuring program, and analysts have cut price targets citing 'accelerating revenue declines' - not 'profitable or clearly improving' as required.</t>
        </is>
      </c>
    </row>
    <row r="327">
      <c r="A327" s="12" t="inlineStr">
        <is>
          <t>Cirque du Soleil Entertainment Group</t>
        </is>
      </c>
      <c r="B327" s="12" t="inlineStr">
        <is>
          <t>Ticketing, Live Events &amp; Experiences</t>
        </is>
      </c>
      <c r="C327" s="12" t="inlineStr">
        <is>
          <t>full verification</t>
        </is>
      </c>
      <c r="D327" s="12" t="inlineStr">
        <is>
          <t>F1 conflict confirmed: Cirque du Soleil Entertainment Group has an existing, repeated entertainment partnership directly with Formula 1 Grand Prix events - it performed the opening ceremony of the inaugural Las Vegas Grand Prix (Oct 2023) and the pre-race ceremony at the Canadian Grand Prix (June 20</t>
        </is>
      </c>
    </row>
    <row r="328">
      <c r="A328" s="12" t="inlineStr">
        <is>
          <t>Hauck Aufhäuser Lampe Privatbank</t>
        </is>
      </c>
      <c r="B328" s="12" t="inlineStr">
        <is>
          <t>Wealth Mgmt &amp; Private Banking</t>
        </is>
      </c>
      <c r="C328" s="12" t="inlineStr">
        <is>
          <t>full verification</t>
        </is>
      </c>
      <c r="D328" s="12" t="inlineStr">
        <is>
          <t>Fails the valuation hard bar: ABN AMRO's disclosed €672M (~$730M) acquisition price is a published valuation below the $1B bar, and HAL no longer qualifies for the family-owned/no-published-valuation exception now that it is a subsidiary of a public banking group rather than an independent private/f</t>
        </is>
      </c>
    </row>
    <row r="329">
      <c r="A329" s="12" t="inlineStr">
        <is>
          <t>VP Bank Group</t>
        </is>
      </c>
      <c r="B329" s="12" t="inlineStr">
        <is>
          <t>Wealth Mgmt &amp; Private Banking</t>
        </is>
      </c>
      <c r="C329" s="12" t="inlineStr">
        <is>
          <t>full verification</t>
        </is>
      </c>
      <c r="D329" s="12" t="inlineStr">
        <is>
          <t>Fails two hard bars: valuation (~CHF700M/~$780M public market cap, below $1B, no exception since it is publicly listed) and capacity-to-spend (an active efficiency/cost-cutting program in 2024-25, 93.3% cost/income ratio, thin CHF18.5M net profit) — not positioned for ~$3.5M/yr discretionary sponsor</t>
        </is>
      </c>
    </row>
    <row r="330">
      <c r="A330" s="12" t="inlineStr">
        <is>
          <t>Six Flags Entertainment Corporation</t>
        </is>
      </c>
      <c r="B330" s="12" t="inlineStr">
        <is>
          <t>Ticketing, Live Events &amp; Experiences</t>
        </is>
      </c>
      <c r="C330" s="12" t="inlineStr">
        <is>
          <t>full verification</t>
        </is>
      </c>
      <c r="D330" s="12" t="inlineStr">
        <is>
          <t>Fails the capacity-to-spend hard filter: ~5.7x net debt/EBITDA leverage, stock down ~50% since the 2024 merger, and 2025 guidance explicitly flags 'portfolio optimization' (park closures/cost-cutting) - not a company positioned to add a new ~$3.5M/yr discretionary sponsorship right now.</t>
        </is>
      </c>
    </row>
    <row r="331">
      <c r="A331" s="12" t="inlineStr">
        <is>
          <t>Neeyamo</t>
        </is>
      </c>
      <c r="B331" s="12" t="inlineStr">
        <is>
          <t>Payroll, EOR &amp; Global Employment</t>
        </is>
      </c>
      <c r="C331" s="12" t="inlineStr">
        <is>
          <t>full verification</t>
        </is>
      </c>
      <c r="D331" s="12" t="inlineStr">
        <is>
          <t>Revenue hard bar (&gt;$100M) not verifiable — the best primary-source evidence found (Tracxn-reported financial filing for the main Indian legal entity, FY ended Mar 2025) shows ~₹221 Cr (~$26.5M), and no credible source confirms consolidated global revenue clears the $100M threshold.</t>
        </is>
      </c>
    </row>
    <row r="332">
      <c r="A332" s="12" t="inlineStr">
        <is>
          <t>Cegedim SA</t>
        </is>
      </c>
      <c r="B332" s="12" t="inlineStr">
        <is>
          <t>Payroll, EOR &amp; Global Employment</t>
        </is>
      </c>
      <c r="C332" s="12" t="inlineStr">
        <is>
          <t>full verification</t>
        </is>
      </c>
      <c r="D332" s="12" t="inlineStr">
        <is>
          <t>Valuation hard bar fails: market cap only ~€172M/~$142M (Nov 2025), far below the &gt;$1B threshold. Company is publicly listed with a disclosed market cap, so the family-owned/no-published-valuation exemption does not apply.</t>
        </is>
      </c>
    </row>
    <row r="333">
      <c r="A333" s="12" t="inlineStr">
        <is>
          <t>WorkForce Software</t>
        </is>
      </c>
      <c r="B333" s="12" t="inlineStr">
        <is>
          <t>Payroll, EOR &amp; Global Employment</t>
        </is>
      </c>
      <c r="C333" s="12" t="inlineStr">
        <is>
          <t>full verification</t>
        </is>
      </c>
      <c r="D333" s="12" t="inlineStr">
        <is>
          <t>Company was acquired outright by ADP in October 2024 ($1.17B deal per ADP's FY2025 10-K) and is now integrated into ADP's Employer Services segment — it is no longer an independent company with its own brand, budget, or decision-making capacity to pursue an F1 sponsorship.</t>
        </is>
      </c>
    </row>
    <row r="334">
      <c r="A334" s="12" t="inlineStr">
        <is>
          <t>Marriott International</t>
        </is>
      </c>
      <c r="B334" s="12" t="inlineStr">
        <is>
          <t>Franchise Groups</t>
        </is>
      </c>
      <c r="C334" s="12" t="inlineStr">
        <is>
          <t>full verification</t>
        </is>
      </c>
      <c r="D334" s="12" t="inlineStr">
        <is>
          <t>Confirmed direct F1 conflict: Marriott Bonvoy is the Official Hotel Loyalty Program and The Ritz-Carlton (a Marriott brand) is the Official Hotel Partner of the Mercedes-AMG PETRONAS F1 Team — an active, extended partnership as of 2025-2026.</t>
        </is>
      </c>
    </row>
    <row r="335">
      <c r="A335" s="12" t="inlineStr">
        <is>
          <t>Hyatt Hotels Corporation</t>
        </is>
      </c>
      <c r="B335" s="12" t="inlineStr">
        <is>
          <t>Franchise Groups</t>
        </is>
      </c>
      <c r="C335" s="12" t="inlineStr">
        <is>
          <t>full verification</t>
        </is>
      </c>
      <c r="D335" s="12" t="inlineStr">
        <is>
          <t>Confirmed direct F1 conflict: World of Hyatt was named Official Hospitality Partner of the Audi Revolut F1 Team, announced January 2026 ahead of Audi's F1 entry.</t>
        </is>
      </c>
    </row>
    <row r="336">
      <c r="A336" s="12" t="inlineStr">
        <is>
          <t>G6 Hospitality (Motel 6 / Studio 6)</t>
        </is>
      </c>
      <c r="B336" s="12" t="inlineStr">
        <is>
          <t>Franchise Groups</t>
        </is>
      </c>
      <c r="C336" s="12" t="inlineStr">
        <is>
          <t>full verification</t>
        </is>
      </c>
      <c r="D336" s="12" t="inlineStr">
        <is>
          <t>Valuation hard bar fails: the company was sold for $525M (Blackstone to Oravel Stays/OYO, Sep 2024), well below the &gt;$1B threshold. This is a disclosed transaction price, not a family-owned/no-published-valuation case, so no exemption applies.</t>
        </is>
      </c>
    </row>
    <row r="337">
      <c r="A337" s="12" t="inlineStr">
        <is>
          <t>Arcos Dorados Holdings</t>
        </is>
      </c>
      <c r="B337" s="12" t="inlineStr">
        <is>
          <t>Franchise Groups</t>
        </is>
      </c>
      <c r="C337" s="12" t="inlineStr">
        <is>
          <t>full verification</t>
        </is>
      </c>
      <c r="D337" s="12" t="inlineStr">
        <is>
          <t>Confirmed direct F1 conflict: Formula 1 announced a multi-year Regional Partnership with McDonald's in Latin America via Arcos Dorados (the region's exclusive McDonald's franchisee/operator), unveiled after the March 2024 Bahrain Grand Prix — an active, ongoing tie.</t>
        </is>
      </c>
    </row>
    <row r="338">
      <c r="A338" s="12" t="inlineStr">
        <is>
          <t>Berjaya Food Berhad</t>
        </is>
      </c>
      <c r="B338" s="12" t="inlineStr">
        <is>
          <t>Franchise Groups</t>
        </is>
      </c>
      <c r="C338" s="12" t="inlineStr">
        <is>
          <t>full verification</t>
        </is>
      </c>
      <c r="D338" s="12" t="inlineStr">
        <is>
          <t>Fails the valuation hard bar — market cap only ~$95-115M vs the required &gt;$1B (a published valuation exists, so the no-valuation exception does not apply). Also fails the capacity filter: FY2025 revenue down -36.1% YoY and net loss widened ~216% (Q3 2025 loss RM37.2M) — clear financial distress, not</t>
        </is>
      </c>
    </row>
    <row r="339">
      <c r="A339" s="12" t="inlineStr">
        <is>
          <t>Sarimelati Kencana Tbk (Pizza Hut Indonesia)</t>
        </is>
      </c>
      <c r="B339" s="12" t="inlineStr">
        <is>
          <t>Franchise Groups</t>
        </is>
      </c>
      <c r="C339" s="12" t="inlineStr">
        <is>
          <t>full verification</t>
        </is>
      </c>
      <c r="D339" s="12" t="inlineStr">
        <is>
          <t>Fails the valuation hard bar decisively — market cap only ~$33-37M vs the required &gt;$1B (a published valuation exists, so the no-valuation exception does not apply). Revenue also declining -21% YoY, a further reservation even though it clears the $100M revenue bar alone.</t>
        </is>
      </c>
    </row>
    <row r="340">
      <c r="A340" s="12" t="inlineStr">
        <is>
          <t>MAP Boga Adiperkasa</t>
        </is>
      </c>
      <c r="B340" s="12" t="inlineStr">
        <is>
          <t>Franchise Groups</t>
        </is>
      </c>
      <c r="C340" s="12" t="inlineStr">
        <is>
          <t>full verification</t>
        </is>
      </c>
      <c r="D340" s="12" t="inlineStr">
        <is>
          <t>Fails the valuation hard bar — market cap only ~$228M vs the required &gt;$1B (a published valuation exists, no exception applies). Also fails the capacity filter: swung to a net loss (~Rp79B) in 2024 amid a consumer boycott and a -21% sales decline — clear distress, not profitable/improving.</t>
        </is>
      </c>
    </row>
    <row r="341">
      <c r="A341" s="12" t="inlineStr">
        <is>
          <t>Alamar Foods Company</t>
        </is>
      </c>
      <c r="B341" s="12" t="inlineStr">
        <is>
          <t>Franchise Groups</t>
        </is>
      </c>
      <c r="C341" s="12" t="inlineStr">
        <is>
          <t>full verification</t>
        </is>
      </c>
      <c r="D341" s="12" t="inlineStr">
        <is>
          <t>Fails the valuation hard bar — verified current market cap is only ~$270-290M (SAR ~1.02-1.09B, Sept 2026), well below the required &gt;$1B; the stock has fallen ~65% since its 2024 IPO. The input's estimated $1.6B+ valuation does not hold up under verification. Revenue passes ($237M FY2024) but valuat</t>
        </is>
      </c>
    </row>
    <row r="342">
      <c r="A342" s="12" t="inlineStr">
        <is>
          <t>Jersey Mike's Subs</t>
        </is>
      </c>
      <c r="B342" s="12" t="inlineStr">
        <is>
          <t>Franchise Groups</t>
        </is>
      </c>
      <c r="C342" s="12" t="inlineStr">
        <is>
          <t>full verification</t>
        </is>
      </c>
      <c r="D342" s="12" t="inlineStr">
        <is>
          <t>Revenue and valuation clear the hard bars by a wide margin, but fit score is only 1/4 — a mass-market, US-only sandwich franchisor has no performance/technology/global-ambition story and its buyer base doesn't match F1's target demographic.</t>
        </is>
      </c>
    </row>
    <row r="343">
      <c r="A343" s="12" t="inlineStr">
        <is>
          <t>Bojangles Inc.</t>
        </is>
      </c>
      <c r="B343" s="12" t="inlineStr">
        <is>
          <t>Franchise Groups</t>
        </is>
      </c>
      <c r="C343" s="12" t="inlineStr">
        <is>
          <t>full verification</t>
        </is>
      </c>
      <c r="D343" s="12" t="inlineStr">
        <is>
          <t>Revenue very likely clears the hard bar and the reported sale valuation would clear $1B, but fit score is only 1/4 — a regional Southeastern-US fried-chicken chain has no international presence or performance/technology narrative to support F1 sponsorship.</t>
        </is>
      </c>
    </row>
    <row r="344">
      <c r="A344" s="12" t="inlineStr">
        <is>
          <t>Manila Water Company</t>
        </is>
      </c>
      <c r="B344" s="12" t="inlineStr">
        <is>
          <t>Water Tech &amp; Desalination</t>
        </is>
      </c>
      <c r="C344" s="12" t="inlineStr">
        <is>
          <t>full verification</t>
        </is>
      </c>
      <c r="D344" s="12" t="inlineStr">
        <is>
          <t>Financials likely clear the hard bars, but fit score is only 1/4 — a single-market household utility with no international presence, competing for a water-technology sponsorship identity that BWT already holds at the Formula 1 series level.</t>
        </is>
      </c>
    </row>
    <row r="345">
      <c r="A345" s="12" t="inlineStr">
        <is>
          <t>Maynilad Water Services</t>
        </is>
      </c>
      <c r="B345" s="12" t="inlineStr">
        <is>
          <t>Water Tech &amp; Desalination</t>
        </is>
      </c>
      <c r="C345" s="12" t="inlineStr">
        <is>
          <t>full verification</t>
        </is>
      </c>
      <c r="D345" s="12" t="inlineStr">
        <is>
          <t>Revenue (~$630M) and valuation (~$2.6B IPO target) clear the hard bars, but fit score is only 1/4 — a single-market utility with no international footprint, in a sponsorship category BWT already occupies at the F1 series level.</t>
        </is>
      </c>
    </row>
    <row r="346">
      <c r="A346" s="12" t="inlineStr">
        <is>
          <t>Grunbeck Wasseraufbereitung GmbH</t>
        </is>
      </c>
      <c r="B346" s="12" t="inlineStr">
        <is>
          <t>Water Tech &amp; Desalination</t>
        </is>
      </c>
      <c r="C346" s="12" t="inlineStr">
        <is>
          <t>full verification</t>
        </is>
      </c>
      <c r="D346" s="12" t="inlineStr">
        <is>
          <t>Even applying the family-owned pass-on-revenue exception, fit score is only 1/4 — a regional DACH residential water-treatment brand with no international footprint, competing in a category BWT already holds globally; ownership and revenue data were also unreliable this session.</t>
        </is>
      </c>
    </row>
    <row r="347">
      <c r="A347" s="12" t="inlineStr">
        <is>
          <t>Sabesp (Cia de Saneamento Basico do Estado de Sao Paulo)</t>
        </is>
      </c>
      <c r="B347" s="12" t="inlineStr">
        <is>
          <t>Water Tech &amp; Desalination</t>
        </is>
      </c>
      <c r="C347" s="12" t="inlineStr">
        <is>
          <t>full verification</t>
        </is>
      </c>
      <c r="D347" s="12" t="inlineStr">
        <is>
          <t>F1 CONFLICT: Sabesp is already a confirmed sponsor of the Formula 1 Sao Paulo Grand Prix (2025 season, Interlagos hydration/sanitation infrastructure) — a Grand Prix-level tie that disqualifies under the hard F1-conflict filter, regardless of its otherwise very strong financials (multi-billion-dolla</t>
        </is>
      </c>
    </row>
    <row r="348">
      <c r="A348" s="12" t="inlineStr">
        <is>
          <t>Aguas Andinas SA</t>
        </is>
      </c>
      <c r="B348" s="12" t="inlineStr">
        <is>
          <t>Water Tech &amp; Desalination</t>
        </is>
      </c>
      <c r="C348" s="12" t="inlineStr">
        <is>
          <t>full verification</t>
        </is>
      </c>
      <c r="D348" s="12" t="inlineStr">
        <is>
          <t>Financials clear the hard bars (~$750-800M revenue, ~$2.3B market cap), but fit score is only 1/4 — a single-market Chilean utility with no international footprint, competing for a sponsorship identity BWT already holds at the F1 series level.</t>
        </is>
      </c>
    </row>
    <row r="349">
      <c r="A349" s="12" t="inlineStr">
        <is>
          <t>Ion Exchange (India) Ltd</t>
        </is>
      </c>
      <c r="B349" s="12" t="inlineStr">
        <is>
          <t>Water Tech &amp; Desalination</t>
        </is>
      </c>
      <c r="C349" s="12" t="inlineStr">
        <is>
          <t>full verification</t>
        </is>
      </c>
      <c r="D349" s="12" t="inlineStr">
        <is>
          <t>Fails the valuation hard bar: market cap is only ~$690M (Oct 20, 2025, TipRanks/Screener.in), below the required &gt;$1B threshold — despite solid revenue (~$310-325M, +16.6% YoY) that clears the revenue bar on its own.</t>
        </is>
      </c>
    </row>
    <row r="350">
      <c r="A350" s="12" t="inlineStr">
        <is>
          <t>Metawater Co Ltd</t>
        </is>
      </c>
      <c r="B350" s="12" t="inlineStr">
        <is>
          <t>Water Tech &amp; Desalination</t>
        </is>
      </c>
      <c r="C350" s="12" t="inlineStr">
        <is>
          <t>full verification</t>
        </is>
      </c>
      <c r="D350" s="12" t="inlineStr">
        <is>
          <t>Valuation hard bar fails: publicly listed (TSE:9551) with a published market cap of ~$885M (Sep 2026), below the $1B bar. No exception applies since it is a public company with a disclosed valuation, not family-owned/private.</t>
        </is>
      </c>
    </row>
    <row r="351">
      <c r="A351" s="12" t="inlineStr">
        <is>
          <t>BRK Ambiental</t>
        </is>
      </c>
      <c r="B351" s="12" t="inlineStr">
        <is>
          <t>Water Tech &amp; Desalination</t>
        </is>
      </c>
      <c r="C351" s="12" t="inlineStr">
        <is>
          <t>full verification</t>
        </is>
      </c>
      <c r="D351" s="12" t="inlineStr">
        <is>
          <t>Capacity-to-spend hard bar fails: swung to a net loss of R$108M in 2025 (from a R$7M profit in 2024), negative financial result up 26.7% to R$1.34B on rising debt, and gross debt of R$14.24B -- signs of financial strain ahead of a planned IPO to delever, not 'clearly profitable or improving.'</t>
        </is>
      </c>
    </row>
    <row r="352">
      <c r="A352" s="12" t="inlineStr">
        <is>
          <t>Triveni Engineering &amp; Industries</t>
        </is>
      </c>
      <c r="B352" s="12" t="inlineStr">
        <is>
          <t>Water Tech &amp; Desalination</t>
        </is>
      </c>
      <c r="C352" s="12" t="inlineStr">
        <is>
          <t>full verification</t>
        </is>
      </c>
      <c r="D352" s="12" t="inlineStr">
        <is>
          <t>Valuation hard bar fails: publicly listed, market cap ~$657M (Jun 2026) -- well below the $1B bar. No exception applies since it is a public company with a published valuation, not family-owned/private.</t>
        </is>
      </c>
    </row>
    <row r="353">
      <c r="A353" s="12" t="inlineStr">
        <is>
          <t>Antony Waste Handling Cell</t>
        </is>
      </c>
      <c r="B353" s="12" t="inlineStr">
        <is>
          <t>Waste, Recycling &amp; Circular</t>
        </is>
      </c>
      <c r="C353" s="12" t="inlineStr">
        <is>
          <t>full verification</t>
        </is>
      </c>
      <c r="D353" s="12" t="inlineStr">
        <is>
          <t>Valuation hard bar fails badly: market cap only ~$150-172M (2025-26) -- far below the $1B bar. Revenue (~$130M) also barely clears the $100M floor, reinforcing that this is a small-cap regional operator, not sponsorship-scale.</t>
        </is>
      </c>
    </row>
    <row r="354">
      <c r="A354" s="12" t="inlineStr">
        <is>
          <t>Zheneng Jinjiang Environment Holding</t>
        </is>
      </c>
      <c r="B354" s="12" t="inlineStr">
        <is>
          <t>Waste, Recycling &amp; Circular</t>
        </is>
      </c>
      <c r="C354" s="12" t="inlineStr">
        <is>
          <t>full verification</t>
        </is>
      </c>
      <c r="D354" s="12" t="inlineStr">
        <is>
          <t>Valuation hard bar fails — market cap ~$480M USD (SGD 646.76M, Aug 2025) is well under the $1B bar; not exempt since it is a state-linked public company, not family/cooperative/private-owned.</t>
        </is>
      </c>
    </row>
    <row r="355">
      <c r="A355" s="12" t="inlineStr">
        <is>
          <t>Mitsubishi Paper Mills Limited</t>
        </is>
      </c>
      <c r="B355" s="12" t="inlineStr">
        <is>
          <t>Waste, Recycling &amp; Circular</t>
        </is>
      </c>
      <c r="C355" s="12" t="inlineStr">
        <is>
          <t>full verification</t>
        </is>
      </c>
      <c r="D355" s="12" t="inlineStr">
        <is>
          <t>Valuation hard bar fails decisively — market cap ~$140M USD (JPY 20.64B, Dec 2024), far under the $1B bar; public company, not exempt.</t>
        </is>
      </c>
    </row>
    <row r="356">
      <c r="A356" s="12" t="inlineStr">
        <is>
          <t>COMPO EXPERT Group</t>
        </is>
      </c>
      <c r="B356" s="12" t="inlineStr">
        <is>
          <t>Agritech &amp; Ag Inputs</t>
        </is>
      </c>
      <c r="C356" s="12" t="inlineStr">
        <is>
          <t>full verification</t>
        </is>
      </c>
      <c r="D356" s="12" t="inlineStr">
        <is>
          <t>Fails the capacity-to-spend hard filter: parent/owner Grupa Azoty S.A. posted a net loss of PLN -4.31 billion in FY2025 (319% worse than FY2024's loss) and is mid-restructuring, including divesting its Polyolefins unit to Orlen for PLN 1.02B - explicitly in cost-cutting/distress, not profitable or c</t>
        </is>
      </c>
    </row>
    <row r="357">
      <c r="A357" s="12" t="inlineStr">
        <is>
          <t>Chambal Fertilisers and Chemicals Limited</t>
        </is>
      </c>
      <c r="B357" s="12" t="inlineStr">
        <is>
          <t>Agritech &amp; Ag Inputs</t>
        </is>
      </c>
      <c r="C357" s="12" t="inlineStr">
        <is>
          <t>full verification</t>
        </is>
      </c>
      <c r="D357" s="12" t="inlineStr">
        <is>
          <t>Hard filters pass (revenue ~$2.37B, valuation ~$2.3B, profitable and growing, thousands of dealer/farmer customers, no F1 tie, promoter-family public ownership with no state/compliance issue), but fit score is only 1/4 - a domestic-only commodity fertilizer producer with no international reach and n</t>
        </is>
      </c>
    </row>
    <row r="358">
      <c r="A358" s="12" t="inlineStr">
        <is>
          <t>DCM Shriram Limited</t>
        </is>
      </c>
      <c r="B358" s="12" t="inlineStr">
        <is>
          <t>Agritech &amp; Ag Inputs</t>
        </is>
      </c>
      <c r="C358" s="12" t="inlineStr">
        <is>
          <t>full verification</t>
        </is>
      </c>
      <c r="D358" s="12" t="inlineStr">
        <is>
          <t xml:space="preserve">Hard filters pass (revenue ~$1.62B, valuation ~$1.9B, PAT +42% YoY (clearly improving), thousands of retail/farmer customers via Hariyali Kisaan Bazaar, no F1 tie, promoter-family public ownership with no state/compliance issue), but fit score is only 1/4 - a domestic-focused diversified industrial </t>
        </is>
      </c>
    </row>
    <row r="359">
      <c r="A359" s="12" t="inlineStr">
        <is>
          <t>AECI Limited</t>
        </is>
      </c>
      <c r="B359" s="12" t="inlineStr">
        <is>
          <t>Mining Services &amp; Equipment</t>
        </is>
      </c>
      <c r="C359" s="12" t="inlineStr">
        <is>
          <t>full verification</t>
        </is>
      </c>
      <c r="D359" s="12" t="inlineStr">
        <is>
          <t>Fails the valuation hard bar: market cap ~$735M (Sep 2026, stockanalysis.com) vs required &gt;$1B; public company, no family/private exception applies. Also a net loss in FY2025 raises capacity-to-spend concerns.</t>
        </is>
      </c>
    </row>
    <row r="360">
      <c r="A360" s="12" t="inlineStr">
        <is>
          <t>Foraco International SA</t>
        </is>
      </c>
      <c r="B360" s="12" t="inlineStr">
        <is>
          <t>Mining Services &amp; Equipment</t>
        </is>
      </c>
      <c r="C360" s="12" t="inlineStr">
        <is>
          <t>full verification</t>
        </is>
      </c>
      <c r="D360" s="12" t="inlineStr">
        <is>
          <t>Fails the valuation hard bar: market cap only ~$215-276M (Feb 2026, stockanalysis.com/Stockopedia) vs required &gt;$1B; publicly traded with dispersed ownership, so no family/private exception applies.</t>
        </is>
      </c>
    </row>
    <row r="361">
      <c r="A361" s="12" t="inlineStr">
        <is>
          <t>Lycopodium Limited</t>
        </is>
      </c>
      <c r="B361" s="12" t="inlineStr">
        <is>
          <t>Mining Services &amp; Equipment</t>
        </is>
      </c>
      <c r="C361" s="12" t="inlineStr">
        <is>
          <t>full verification</t>
        </is>
      </c>
      <c r="D361" s="12" t="inlineStr">
        <is>
          <t>Fails the valuation hard bar: market cap ~A$563-751M (~$370-490M USD, June 2026) vs required &gt;$1B; publicly traded with dispersed ownership, no exception applies.</t>
        </is>
      </c>
    </row>
    <row r="362">
      <c r="A362" s="12" t="inlineStr">
        <is>
          <t>Emeco Holdings Limited</t>
        </is>
      </c>
      <c r="B362" s="12" t="inlineStr">
        <is>
          <t>Mining Services &amp; Equipment</t>
        </is>
      </c>
      <c r="C362" s="12" t="inlineStr">
        <is>
          <t>full verification</t>
        </is>
      </c>
      <c r="D362" s="12" t="inlineStr">
        <is>
          <t>Fails the valuation hard bar: market cap ~A$542-659M (~$355-430M USD, April 2026) vs required &gt;$1B.</t>
        </is>
      </c>
    </row>
    <row r="363">
      <c r="A363" s="12" t="inlineStr">
        <is>
          <t>John Wood Group plc</t>
        </is>
      </c>
      <c r="B363" s="12" t="inlineStr">
        <is>
          <t>Mining Services &amp; Equipment</t>
        </is>
      </c>
      <c r="C363" s="12" t="inlineStr">
        <is>
          <t>full verification</t>
        </is>
      </c>
      <c r="D363" s="12" t="inlineStr">
        <is>
          <t>Fails the valuation hard bar: acquired by Sidara for only ~£210M (~$265M USD), completed March 2026, well below the $1B bar. Also fails the capacity-to-spend bar: the company was in clear financial distress (2025 trading suspension over late filings, 'material weaknesses' in its books, a reduced-pri</t>
        </is>
      </c>
    </row>
    <row r="364">
      <c r="A364" s="12" t="inlineStr">
        <is>
          <t>MB92 Group</t>
        </is>
      </c>
      <c r="B364" s="12" t="inlineStr">
        <is>
          <t>Marine, Yachting &amp; Superyacht</t>
        </is>
      </c>
      <c r="C364" s="12" t="inlineStr">
        <is>
          <t>full verification</t>
        </is>
      </c>
      <c r="D364" s="12" t="inlineStr">
        <is>
          <t>Valuation hard bar fails: PE-owned (Squircle Capital, 100%), no &gt;$1B valuation confirmed — 2025 sale process sought only ~$570M. MB92 is not family/employee/cooperative-owned, so the no-published-valuation exception does not apply.</t>
        </is>
      </c>
    </row>
    <row r="365">
      <c r="A365" s="12" t="inlineStr">
        <is>
          <t>HanseYachts AG</t>
        </is>
      </c>
      <c r="B365" s="12" t="inlineStr">
        <is>
          <t>Marine, Yachting &amp; Superyacht</t>
        </is>
      </c>
      <c r="C365" s="12" t="inlineStr">
        <is>
          <t>full verification</t>
        </is>
      </c>
      <c r="D365" s="12" t="inlineStr">
        <is>
          <t>Valuation hard bar fails: PE-owned (Aurelius), no &gt;$1B valuation — the 2024 delisting squeeze-out implied only ~EUR50-55M equity value. Not family/employee/cooperative-owned, so no exception applies.</t>
        </is>
      </c>
    </row>
    <row r="366">
      <c r="A366" s="12" t="inlineStr">
        <is>
          <t>West Marine</t>
        </is>
      </c>
      <c r="B366" s="12" t="inlineStr">
        <is>
          <t>Marine, Yachting &amp; Superyacht</t>
        </is>
      </c>
      <c r="C366" s="12" t="inlineStr">
        <is>
          <t>full verification</t>
        </is>
      </c>
      <c r="D366" s="12" t="inlineStr">
        <is>
          <t>Valuation hard bar fails: PE-owned (L Catterton), no &gt;$1B valuation ever confirmed (last known equity value $338M in 2017). Not family/employee/cooperative-owned, so no exception applies.</t>
        </is>
      </c>
    </row>
    <row r="367">
      <c r="A367" s="12" t="inlineStr">
        <is>
          <t>Absolute Yachts SpA</t>
        </is>
      </c>
      <c r="B367" s="12" t="inlineStr">
        <is>
          <t>Marine, Yachting &amp; Superyacht</t>
        </is>
      </c>
      <c r="C367" s="12" t="inlineStr">
        <is>
          <t>full verification</t>
        </is>
      </c>
      <c r="D367" s="12" t="inlineStr">
        <is>
          <t>Valuation hard bar fails: majority ownership passed to Wise Equity (PE) in Jun-2024 with no published valuation; the founding family only holds a reinvested minority stake, so this is not family/employee/cooperative-owned and the no-valuation exception does not apply.</t>
        </is>
      </c>
    </row>
    <row r="368">
      <c r="A368" s="12" t="inlineStr">
        <is>
          <t>Japan Marine United Corporation</t>
        </is>
      </c>
      <c r="B368" s="12" t="inlineStr">
        <is>
          <t>Marine, Yachting &amp; Superyacht</t>
        </is>
      </c>
      <c r="C368" s="12" t="inlineStr">
        <is>
          <t>full verification</t>
        </is>
      </c>
      <c r="D368" s="12" t="inlineStr">
        <is>
          <t>Audience hard bar fails: JMU's direct customers are concentrated among a small number of major Japanese shipping companies and government naval/coast-guard programs — well under the 'thousands of customers' bar, consistent with the brief's B2B-supplier concentration caveat.</t>
        </is>
      </c>
    </row>
    <row r="369">
      <c r="A369" s="12" t="inlineStr">
        <is>
          <t>Metrojet Limited</t>
        </is>
      </c>
      <c r="B369" s="12" t="inlineStr">
        <is>
          <t>Private Aviation &amp; Business Jets</t>
        </is>
      </c>
      <c r="C369" s="12" t="inlineStr">
        <is>
          <t>full verification</t>
        </is>
      </c>
      <c r="D369" s="12" t="inlineStr">
        <is>
          <t>Revenue ~$18.6M (ZoomInfo est.) is far below the $100M hard bar and there is no ARR figure suggesting &gt;$50M growing 50% YoY. Fails the revenue hard filter.</t>
        </is>
      </c>
    </row>
    <row r="370">
      <c r="A370" s="12" t="inlineStr">
        <is>
          <t>Global Jet Capital</t>
        </is>
      </c>
      <c r="B370" s="12" t="inlineStr">
        <is>
          <t>Private Aviation &amp; Business Jets</t>
        </is>
      </c>
      <c r="C370" s="12" t="inlineStr">
        <is>
          <t>full verification</t>
        </is>
      </c>
      <c r="D370" s="12" t="inlineStr">
        <is>
          <t>No publicly disclosed revenue figure exists to verify the &gt;$100M hard bar; the company only reports assets under management/securitized volume, not revenue. Fails the revenue hard filter on unverifiability.</t>
        </is>
      </c>
    </row>
    <row r="371">
      <c r="A371" s="12" t="inlineStr">
        <is>
          <t>Modern Aviation</t>
        </is>
      </c>
      <c r="B371" s="12" t="inlineStr">
        <is>
          <t>Private Aviation &amp; Business Jets</t>
        </is>
      </c>
      <c r="C371" s="12" t="inlineStr">
        <is>
          <t>full verification</t>
        </is>
      </c>
      <c r="D371" s="12" t="inlineStr">
        <is>
          <t>No verifiable revenue figure found for this PE-owned, 18-location FBO roll-up; cannot confirm the &gt;$100M hard bar. Fails the revenue hard filter on unverifiability.</t>
        </is>
      </c>
    </row>
    <row r="372">
      <c r="A372" s="12" t="inlineStr">
        <is>
          <t>Sheltair Aviation</t>
        </is>
      </c>
      <c r="B372" s="12" t="inlineStr">
        <is>
          <t>Private Aviation &amp; Business Jets</t>
        </is>
      </c>
      <c r="C372" s="12" t="inlineStr">
        <is>
          <t>full verification</t>
        </is>
      </c>
      <c r="D372" s="12" t="inlineStr">
        <is>
          <t>No verifiable revenue figure found for this family-owned, 16-19-location regional FBO chain; cannot confirm the &gt;$100M hard bar. Also corrects an input error: the company is Holland-family-owned, not Blackstone-owned.</t>
        </is>
      </c>
    </row>
    <row r="373">
      <c r="A373" s="12" t="inlineStr">
        <is>
          <t>Ross Aviation LLC</t>
        </is>
      </c>
      <c r="B373" s="12" t="inlineStr">
        <is>
          <t>Private Aviation &amp; Business Jets</t>
        </is>
      </c>
      <c r="C373" s="12" t="inlineStr">
        <is>
          <t>full verification</t>
        </is>
      </c>
      <c r="D373" s="12" t="inlineStr">
        <is>
          <t>No verifiable revenue figure found for this small 9-FBO/7-airport regional chain; its scale strongly suggests revenue well below the $100M hard bar. Fails the revenue hard filter.</t>
        </is>
      </c>
    </row>
    <row r="374">
      <c r="A374" s="12" t="inlineStr">
        <is>
          <t>Fleet Space Technologies</t>
        </is>
      </c>
      <c r="B374" s="12" t="inlineStr">
        <is>
          <t>Space &amp; Satellite Services</t>
        </is>
      </c>
      <c r="C374" s="12" t="inlineStr">
        <is>
          <t>full verification</t>
        </is>
      </c>
      <c r="D374" s="12" t="inlineStr">
        <is>
          <t xml:space="preserve">Confirmed existing motorsport tie: Fleet Space already backs F1 Academy driver Joanne Ciconte in a STEM-focused brand partnership (Startup Daily, Sept 2025) - a direct driver/series tie under the F1-conflict rule. Independently, FY24 revenue of $24.8M and a valuation of ~$525M-$800M both fall short </t>
        </is>
      </c>
    </row>
    <row r="375">
      <c r="A375" s="12" t="inlineStr">
        <is>
          <t>Deltatre SpA</t>
        </is>
      </c>
      <c r="B375" s="12" t="inlineStr">
        <is>
          <t>Sports Tech &amp; Fan Engagement</t>
        </is>
      </c>
      <c r="C375" s="12" t="inlineStr">
        <is>
          <t>full verification</t>
        </is>
      </c>
      <c r="D375" s="12" t="inlineStr">
        <is>
          <t>Valuation hard bar fails: no published valuation &gt;$1B found; the only disclosed transaction value is $700-900M (June 2022 Bain Capital/Nextalia SGR buyout), and the company is PE-owned (not family/cooperative/employee-owned), so it does not qualify for the revenue-only pass on the valuation bar.</t>
        </is>
      </c>
    </row>
    <row r="376">
      <c r="A376" s="12" t="inlineStr">
        <is>
          <t>Vizrt Group AS</t>
        </is>
      </c>
      <c r="B376" s="12" t="inlineStr">
        <is>
          <t>Sports Tech &amp; Fan Engagement</t>
        </is>
      </c>
      <c r="C376" s="12" t="inlineStr">
        <is>
          <t>full verification</t>
        </is>
      </c>
      <c r="D376" s="12" t="inlineStr">
        <is>
          <t>Valuation hard bar fails: no published valuation above $1B found (last known deal values were ~$370-400M in 2015/2021); PE-owned (Nordic Capital-led consortium), not eligible for the family/cooperative revenue-only exception.</t>
        </is>
      </c>
    </row>
    <row r="377">
      <c r="A377" s="12" t="inlineStr">
        <is>
          <t>Two Circles Ltd</t>
        </is>
      </c>
      <c r="B377" s="12" t="inlineStr">
        <is>
          <t>Sports Tech &amp; Fan Engagement</t>
        </is>
      </c>
      <c r="C377" s="12" t="inlineStr">
        <is>
          <t>full verification</t>
        </is>
      </c>
      <c r="D377" s="12" t="inlineStr">
        <is>
          <t>Revenue hard bar fails: available estimates ($30.6M-$100M) fall short of the &gt;$100M threshold, with no evidence of ARR&gt;$50M growing &gt;50% YoY as an alternate path; a stronger primary-source figure (e.g., Companies House accounts) could not be located within the search budget.</t>
        </is>
      </c>
    </row>
    <row r="378">
      <c r="A378" s="12" t="inlineStr">
        <is>
          <t>STATSports Group</t>
        </is>
      </c>
      <c r="B378" s="12" t="inlineStr">
        <is>
          <t>Sports Tech &amp; Fan Engagement</t>
        </is>
      </c>
      <c r="C378" s="12" t="inlineStr">
        <is>
          <t>full verification</t>
        </is>
      </c>
      <c r="D378" s="12" t="inlineStr">
        <is>
          <t>Revenue hard bar fails: best available estimate is $60-90M, below the $100M threshold, with no evidence of ARR&gt;$50M growing &gt;50% YoY; valuation hard bar also fails, as the last disclosed figure is $260M (2019) and Sony's 2025 majority-stake deal terms are undisclosed with no evidence of a &gt;$1B valua</t>
        </is>
      </c>
    </row>
    <row r="379">
      <c r="A379" s="12" t="inlineStr">
        <is>
          <t>Wanda Sports Group</t>
        </is>
      </c>
      <c r="B379" s="12" t="inlineStr">
        <is>
          <t>Sports Tech &amp; Fan Engagement</t>
        </is>
      </c>
      <c r="C379" s="12" t="inlineStr">
        <is>
          <t>full verification</t>
        </is>
      </c>
      <c r="D379" s="12" t="inlineStr">
        <is>
          <t>F1 conflict: subsidiary Infront Sports &amp; Media (Wanda-owned) entered Formula 1 for the first time via a multi-year sub-licensing agreement for F1 broadcast rights across seven Balkan territories starting 2026 - a confirmed commercial tie to the F1 series via parent/subsidiary.</t>
        </is>
      </c>
    </row>
    <row r="380">
      <c r="A380" s="12" t="inlineStr">
        <is>
          <t>ShareChat (Mohalla Tech Pvt Ltd)</t>
        </is>
      </c>
      <c r="B380" s="12" t="inlineStr">
        <is>
          <t>Creator Economy &amp; Influencer Platforms</t>
        </is>
      </c>
      <c r="C380" s="12" t="inlineStr">
        <is>
          <t>full verification</t>
        </is>
      </c>
      <c r="D380" s="12" t="inlineStr">
        <is>
          <t>Revenue hard bar fails: FY2025 revenue (~$87M) is below the $100M threshold, and YoY growth was essentially flat (~0.7%), well short of the &gt;50% YoY alternate path required alongside ARR&gt;$50M.</t>
        </is>
      </c>
    </row>
    <row r="381">
      <c r="A381" s="12" t="inlineStr">
        <is>
          <t>Naver Webtoon Corp (WEBTOON Entertainment)</t>
        </is>
      </c>
      <c r="B381" s="12" t="inlineStr">
        <is>
          <t>Creator Economy &amp; Influencer Platforms</t>
        </is>
      </c>
      <c r="C381" s="12" t="inlineStr">
        <is>
          <t>full verification</t>
        </is>
      </c>
      <c r="D381" s="12" t="inlineStr">
        <is>
          <t>F1 conflict: WEBTOON is the exclusive publishing platform for Disney and Formula 1's 'Fuel the Magic' campaign, serializing the 'Mickey X Formula1 Core Collection' webtoon tied to every 2026 race weekend under a partnership running through the 2028 season - a confirmed, direct tie to the F1 series.</t>
        </is>
      </c>
    </row>
    <row r="382">
      <c r="A382" s="12" t="inlineStr">
        <is>
          <t>Acast AB</t>
        </is>
      </c>
      <c r="B382" s="12" t="inlineStr">
        <is>
          <t>Creator Economy &amp; Influencer Platforms</t>
        </is>
      </c>
      <c r="C382" s="12" t="inlineStr">
        <is>
          <t>full verification</t>
        </is>
      </c>
      <c r="D382" s="12" t="inlineStr">
        <is>
          <t>Fails hard filter #2 (valuation): market cap is only ~6.4B SEK (~$650-670M) as of 2026, well under the $1B threshold. Acast is public with no family-owned/cooperative exception available, so revenue passing ($278M TTM) does not offset the valuation failure.</t>
        </is>
      </c>
    </row>
    <row r="383">
      <c r="A383" s="12" t="inlineStr">
        <is>
          <t>Spotnana Technology Inc</t>
        </is>
      </c>
      <c r="B383" s="12" t="inlineStr">
        <is>
          <t>Travel Tech &amp; Airline IT</t>
        </is>
      </c>
      <c r="C383" s="12" t="inlineStr">
        <is>
          <t>full verification</t>
        </is>
      </c>
      <c r="D383" s="12" t="inlineStr">
        <is>
          <t>Fails hard filter #1 (revenue): the best available estimate puts ARR at only ~$11.1M (2024, Getlatka), far short of the $50M ARR (growing &gt;50% YoY) bar. Valuation passes ($1.2B, 2024 Series C) but revenue does not, and the two are independent hard bars.</t>
        </is>
      </c>
    </row>
    <row r="384">
      <c r="A384" s="12" t="inlineStr">
        <is>
          <t>Duffel Ltd</t>
        </is>
      </c>
      <c r="B384" s="12" t="inlineStr">
        <is>
          <t>Travel Tech &amp; Airline IT</t>
        </is>
      </c>
      <c r="C384" s="12" t="inlineStr">
        <is>
          <t>full verification</t>
        </is>
      </c>
      <c r="D384" s="12" t="inlineStr">
        <is>
          <t>Fails both hard filters: revenue (~$8.4-10.5M in 2024) is nowhere near the $100M bar or the $50M ARR bar, and valuation (~$450M) is below the $1B bar. Company is too early-stage for this program regardless of its growth narrative.</t>
        </is>
      </c>
    </row>
    <row r="385">
      <c r="A385" s="12" t="inlineStr">
        <is>
          <t>FLYR Labs Inc</t>
        </is>
      </c>
      <c r="B385" s="12" t="inlineStr">
        <is>
          <t>Travel Tech &amp; Airline IT</t>
        </is>
      </c>
      <c r="C385" s="12" t="inlineStr">
        <is>
          <t>full verification</t>
        </is>
      </c>
      <c r="D385" s="12" t="inlineStr">
        <is>
          <t>Fails hard filter #2 (valuation): the most recent and authoritative valuation is $900M (Aug 2024 Series D, per Bloomberg/Skift/Vista Equity Partners), below the $1B threshold. The input's ~$1.3B figure was from an outdated 2022 round; the company has not since crossed $1B.</t>
        </is>
      </c>
    </row>
    <row r="386">
      <c r="A386" s="12" t="inlineStr">
        <is>
          <t>OAG Aviation Worldwide Ltd</t>
        </is>
      </c>
      <c r="B386" s="12" t="inlineStr">
        <is>
          <t>Travel Tech &amp; Airline IT</t>
        </is>
      </c>
      <c r="C386" s="12" t="inlineStr">
        <is>
          <t>full verification</t>
        </is>
      </c>
      <c r="D386" s="12" t="inlineStr">
        <is>
          <t>Fails both hard filters: 2023 revenue of $33.99M is far short of the $100M bar, and the ~$500M combined valuation (July 2023) is well under the $1B bar. Too small in scale for this program.</t>
        </is>
      </c>
    </row>
    <row r="387">
      <c r="A387" s="12" t="inlineStr">
        <is>
          <t>MultiChoice Group Limited</t>
        </is>
      </c>
      <c r="B387" s="12" t="inlineStr">
        <is>
          <t>Africa Champions</t>
        </is>
      </c>
      <c r="C387" s="12" t="inlineStr">
        <is>
          <t>full verification</t>
        </is>
      </c>
      <c r="D387" s="12" t="inlineStr">
        <is>
          <t>Capacity-to-spend hard filter fails: FY2025 revenue down 9% YoY (to ~$2.87B) with 1.2M linear subscriber losses and a reported headline loss, explicitly attributed to 'unprecedented headwinds' and addressed via cost-cutting - this is distress, not 'profitable or clearly improving.' Compounded by the</t>
        </is>
      </c>
    </row>
    <row r="388">
      <c r="A388" s="12" t="inlineStr">
        <is>
          <t>Exxaro Resources Limited</t>
        </is>
      </c>
      <c r="B388" s="12" t="inlineStr">
        <is>
          <t>Africa Champions</t>
        </is>
      </c>
      <c r="C388" s="12" t="inlineStr">
        <is>
          <t>full verification</t>
        </is>
      </c>
      <c r="D388" s="12" t="inlineStr">
        <is>
          <t>Audience hard filter fails: Exxaro's core (largest) coal business sells domestically almost entirely to two counterparties - Eskom and ArcelorMittal SA - plus export volumes marketed through a single agent (EITAG), far below the 'thousands of customers' bar and squarely inside the 'dependence on ~20</t>
        </is>
      </c>
    </row>
    <row r="389">
      <c r="A389" s="12" t="inlineStr">
        <is>
          <t>Label'Vie Group</t>
        </is>
      </c>
      <c r="B389" s="12" t="inlineStr">
        <is>
          <t>Africa Champions</t>
        </is>
      </c>
      <c r="C389" s="12" t="inlineStr">
        <is>
          <t>full verification</t>
        </is>
      </c>
      <c r="D389" s="12" t="inlineStr">
        <is>
          <t>Valuation hard bar fails: publicly disclosed market cap ~$776M (Dec 2024) is below the $1B bar. Label'Vie is a public company with a disclosed valuation, so the family-owned/no-published-valuation carve-out does not apply, despite comfortably passing the revenue bar (~$1.9B FY2025). Weak fit (1/4, d</t>
        </is>
      </c>
    </row>
    <row r="390">
      <c r="A390" s="12" t="inlineStr">
        <is>
          <t>Transnational Corporation of Nigeria Plc (Transcorp)</t>
        </is>
      </c>
      <c r="B390" s="12" t="inlineStr">
        <is>
          <t>Africa Champions</t>
        </is>
      </c>
      <c r="C390" s="12" t="inlineStr">
        <is>
          <t>full verification</t>
        </is>
      </c>
      <c r="D390" s="12" t="inlineStr">
        <is>
          <t>Audience hard filter fails: ~89% of FY2025 revenue comes from power generation sold via Nigeria's grid to a small number of institutional off-takers (NBET and a handful of DISCOs), not thousands of end customers - this is a concentrated wholesale B2B business, failing the 'thousands of customers, no</t>
        </is>
      </c>
    </row>
    <row r="391">
      <c r="A391" s="12" t="inlineStr">
        <is>
          <t>Ecobank Transnational Incorporated</t>
        </is>
      </c>
      <c r="B391" s="12" t="inlineStr">
        <is>
          <t>Africa Champions</t>
        </is>
      </c>
      <c r="C391" s="12" t="inlineStr">
        <is>
          <t>full verification</t>
        </is>
      </c>
      <c r="D391" s="12" t="inlineStr">
        <is>
          <t>Valuation hard bar fails: publicly disclosed market cap ~$745M (2026) is below the $1B bar. ETI is a public company with a disclosed valuation, so the family-owned/no-published-valuation carve-out does not apply, despite comfortably passing the revenue bar (~$2.45B FY2025) and having a strong fit sc</t>
        </is>
      </c>
    </row>
    <row r="392">
      <c r="A392" s="12" t="inlineStr">
        <is>
          <t>Halyk Bank (Halyk Savings Bank of Kazakhstan JSC)</t>
        </is>
      </c>
      <c r="B392" s="12" t="inlineStr">
        <is>
          <t>Central Asia &amp; Caucasus Champions</t>
        </is>
      </c>
      <c r="C392" s="12" t="inlineStr">
        <is>
          <t>full verification</t>
        </is>
      </c>
      <c r="D392" s="12" t="inlineStr">
        <is>
          <t>Ownership hard filter fails: confirmed PEP-controlled majority owner - Timur Kulibayev and Dinara Kulibayeva (daughter of former President Nazarbayev), holding 62.4% via Almex Holding (searched Sept 2026).</t>
        </is>
      </c>
    </row>
    <row r="393">
      <c r="A393" s="12" t="inlineStr">
        <is>
          <t>Air Astana Group</t>
        </is>
      </c>
      <c r="B393" s="12" t="inlineStr">
        <is>
          <t>Central Asia &amp; Caucasus Champions</t>
        </is>
      </c>
      <c r="C393" s="12" t="inlineStr">
        <is>
          <t>full verification</t>
        </is>
      </c>
      <c r="D393" s="12" t="inlineStr">
        <is>
          <t>Valuation hard filter fails: publicly disclosed market cap of ~$535-575M as of Aug 2026 (searched, companiesmarketcap.com/LSE) is below the $1B bar. Because the valuation is published (not absent), it does not qualify for the no-published-valuation revenue-only carve-out.</t>
        </is>
      </c>
    </row>
    <row r="394">
      <c r="A394" s="12" t="inlineStr">
        <is>
          <t>Kazakhtelecom JSC</t>
        </is>
      </c>
      <c r="B394" s="12" t="inlineStr">
        <is>
          <t>Central Asia &amp; Caucasus Champions</t>
        </is>
      </c>
      <c r="C394" s="12" t="inlineStr">
        <is>
          <t>full verification</t>
        </is>
      </c>
      <c r="D394" s="12" t="inlineStr">
        <is>
          <t>Ownership hard filter fails: majority state ownership - Samruk-Kazyna sovereign wealth fund holds 91.28% as of May 2026 (searched, interfax.com), far past the minority-stake threshold that would just require a flag.</t>
        </is>
      </c>
    </row>
    <row r="395">
      <c r="A395" s="12" t="inlineStr">
        <is>
          <t>Freedom Holding Corp</t>
        </is>
      </c>
      <c r="B395" s="12" t="inlineStr">
        <is>
          <t>Central Asia &amp; Caucasus Champions</t>
        </is>
      </c>
      <c r="C395" s="12" t="inlineStr">
        <is>
          <t>full verification</t>
        </is>
      </c>
      <c r="D395" s="12" t="inlineStr">
        <is>
          <t xml:space="preserve">Compliance/ownership hard filter fails: controlling shareholder Timur Turlov is personally on Ukraine's National Security and Defense Council sanctions list, and subsidiary Freedom Finance Ukraine LLC is also on that sanctions list; the company is under active OFAC investigation and Turlov received </t>
        </is>
      </c>
    </row>
    <row r="396">
      <c r="A396" s="12" t="inlineStr">
        <is>
          <t>ForteBank JSC</t>
        </is>
      </c>
      <c r="B396" s="12" t="inlineStr">
        <is>
          <t>Central Asia &amp; Caucasus Champions</t>
        </is>
      </c>
      <c r="C396" s="12" t="inlineStr">
        <is>
          <t>full verification</t>
        </is>
      </c>
      <c r="D396" s="12" t="inlineStr">
        <is>
          <t>Ownership hard filter fails: confirmed PEP-controlled majority owner - Bulat Utemuratov (87.45% stake), a former senior Kazakh government official (Security Council Secretary, presidential chief of staff/head of the Presidential Administration) (searched Sept 2026).</t>
        </is>
      </c>
    </row>
    <row r="397">
      <c r="A397" s="12" t="inlineStr">
        <is>
          <t>Artel Electronics LLC</t>
        </is>
      </c>
      <c r="B397" s="12" t="inlineStr">
        <is>
          <t>Central Asia &amp; Caucasus Champions</t>
        </is>
      </c>
      <c r="C397" s="12" t="inlineStr">
        <is>
          <t>full verification</t>
        </is>
      </c>
      <c r="D397" s="12" t="inlineStr">
        <is>
          <t>Ownership hard filter fails: confirmed PEP-controlled owner - founder Jakhongir Artikkhodjayev served as Mayor of Tashkent (2018-2023) before returning to run Artel/AKFA Group, making him a confirmed politically exposed person (searched Sept 2026).</t>
        </is>
      </c>
    </row>
    <row r="398">
      <c r="A398" s="12" t="inlineStr">
        <is>
          <t>Wissol Group</t>
        </is>
      </c>
      <c r="B398" s="12" t="inlineStr">
        <is>
          <t>Central Asia &amp; Caucasus Champions</t>
        </is>
      </c>
      <c r="C398" s="12" t="inlineStr">
        <is>
          <t>full verification</t>
        </is>
      </c>
      <c r="D398" s="12" t="inlineStr">
        <is>
          <t>F1 conflict: Wissol already runs an officially branded 'F1 Fantasy League Powered by Wissol' in partnership with broadcaster Setanta Sports Georgia - an existing commercial tie to the F1 series (source: wissol.ge/en/article/f1-fantasy-league-powered-by-wissol-and-setanta).</t>
        </is>
      </c>
    </row>
    <row r="399">
      <c r="A399" s="12" t="inlineStr">
        <is>
          <t>PASHA Holding LLC</t>
        </is>
      </c>
      <c r="B399" s="12" t="inlineStr">
        <is>
          <t>Central Asia &amp; Caucasus Champions</t>
        </is>
      </c>
      <c r="C399" s="12" t="inlineStr">
        <is>
          <t>full verification</t>
        </is>
      </c>
      <c r="D399" s="12" t="inlineStr">
        <is>
          <t xml:space="preserve">Compliance disqualification: confirmed PEP-controlled ownership (Aliyev/Pashayev - Azerbaijan's ruling presidential family). Also a confirmed existing F1 conflict: PASHA Real Estate (a PASHA Holding subsidiary) is an Event Supporter of the Formula 1 Qatar Airways Azerbaijan Grand Prix 2026 (source: </t>
        </is>
      </c>
    </row>
    <row r="400">
      <c r="A400" s="12" t="inlineStr">
        <is>
          <t>NEQSOL Holding</t>
        </is>
      </c>
      <c r="B400" s="12" t="inlineStr">
        <is>
          <t>Central Asia &amp; Caucasus Champions</t>
        </is>
      </c>
      <c r="C400" s="12" t="inlineStr">
        <is>
          <t>full verification</t>
        </is>
      </c>
      <c r="D400" s="12" t="inlineStr">
        <is>
          <t>Confirmed F1 conflict: Bakcell (a NEQSOL Holding subsidiary) has been the official event sponsor of the Formula 1 Qatar Airways Azerbaijan Grand Prix since 2019, continuing through at least 2024 (sources: bakcell.com, azertag.az, trend.az) - an ongoing tie to a Grand Prix via parent company.</t>
        </is>
      </c>
    </row>
    <row r="401">
      <c r="A401" s="12" t="inlineStr">
        <is>
          <t>Astra International</t>
        </is>
      </c>
      <c r="B401" s="12" t="inlineStr">
        <is>
          <t>SE Asia Private Conglomerates</t>
        </is>
      </c>
      <c r="C401" s="12" t="inlineStr">
        <is>
          <t>full verification</t>
        </is>
      </c>
      <c r="D401" s="12" t="inlineStr">
        <is>
          <t>F1 conflict: Toyota Gazoo Racing became title partner of the Haas F1 Team for the 2026 season (team now branded 'TGR Haas'). Astra's largest business line is a 50/50 joint venture with Toyota Motor Corp (PT Toyota-Astra Motor), and Toyota is also a ~4.7% direct Astra shareholder - too close to the T</t>
        </is>
      </c>
    </row>
    <row r="402">
      <c r="A402" s="12" t="inlineStr">
        <is>
          <t>Capital A Berhad (AirAsia)</t>
        </is>
      </c>
      <c r="B402" s="12" t="inlineStr">
        <is>
          <t>SE Asia Private Conglomerates</t>
        </is>
      </c>
      <c r="C402" s="12" t="inlineStr">
        <is>
          <t>full verification</t>
        </is>
      </c>
      <c r="D402" s="12" t="inlineStr">
        <is>
          <t>Fails the valuation hard bar: Capital A Berhad's current market cap is ~$250-280M (well below the &gt;$1B threshold) following the disposal of the aviation business to AirAsia X Berhad; this is a publicly listed company with a published valuation, so the 'family-owned, no published valuation' pass-on-r</t>
        </is>
      </c>
    </row>
    <row r="403">
      <c r="A403" s="12" t="inlineStr">
        <is>
          <t>Grupo Pao de Acucar (GPA)</t>
        </is>
      </c>
      <c r="B403" s="12" t="inlineStr">
        <is>
          <t>LatAm Consumer &amp; Retail Champions</t>
        </is>
      </c>
      <c r="C403" s="12" t="inlineStr">
        <is>
          <t>full verification</t>
        </is>
      </c>
      <c r="D403" s="12" t="inlineStr">
        <is>
          <t>Fails two hard filters: (1) valuation ~$255-270M market cap, far below the &gt;$1B bar, with no 'no published valuation' exception available since it is publicly listed; (2) capacity to spend — GPA has posted three consecutive years of losses, carries high debt, and is in active financial/management di</t>
        </is>
      </c>
    </row>
    <row r="404">
      <c r="A404" s="12" t="inlineStr">
        <is>
          <t>FEMSA (Fomento Economico Mexicano)</t>
        </is>
      </c>
      <c r="B404" s="12" t="inlineStr">
        <is>
          <t>LatAm Consumer &amp; Retail Champions</t>
        </is>
      </c>
      <c r="C404" s="12" t="inlineStr">
        <is>
          <t>full verification</t>
        </is>
      </c>
      <c r="D404" s="12" t="inlineStr">
        <is>
          <t>F1 conflict - OXXO, FEMSA's convenience-retail subsidiary, is a confirmed sponsor of both Oracle Red Bull Racing (fourth consecutive year as of 2024) and McLaren F1 Team (since 2025), per FEMSA's own press releases (femsa.com, 2023-2024) and Forbes Mexico/Milenio coverage.</t>
        </is>
      </c>
    </row>
    <row r="405">
      <c r="A405" s="12" t="inlineStr">
        <is>
          <t>Volaris (Controladora Vuela Compania de Aviacion)</t>
        </is>
      </c>
      <c r="B405" s="12" t="inlineStr">
        <is>
          <t>LatAm Consumer &amp; Retail Champions</t>
        </is>
      </c>
      <c r="C405" s="12" t="inlineStr">
        <is>
          <t>full verification</t>
        </is>
      </c>
      <c r="D405" s="12" t="inlineStr">
        <is>
          <t>Valuation hard bar fails - market cap ~$0.92B USD (Aug 2026, companiesmarketcap.com/wallstreetzen), below the $1B threshold; Volaris is publicly listed with a published valuation so the private/family-owned no-valuation exception does not apply. Also reported a net loss of ~$104M in 2025 despite rev</t>
        </is>
      </c>
    </row>
    <row r="406">
      <c r="A406" s="12" t="inlineStr">
        <is>
          <t>Grupo Carso</t>
        </is>
      </c>
      <c r="B406" s="12" t="inlineStr">
        <is>
          <t>LatAm Consumer &amp; Retail Champions</t>
        </is>
      </c>
      <c r="C406" s="12" t="inlineStr">
        <is>
          <t>full verification</t>
        </is>
      </c>
      <c r="D406" s="12" t="inlineStr">
        <is>
          <t xml:space="preserve">No confirmed F1 team/series/driver/GP sponsorship for Grupo Carso itself - Escuderia Telmex and the Claro-Alpine sponsorship talks belong to sibling Slim-family companies (Telmex/America Movil, ticker AMX), which are not Grupo Carso's parent, so the hard F1-conflict filter is not triggered. Revenue </t>
        </is>
      </c>
    </row>
    <row r="407">
      <c r="A407" s="12" t="inlineStr">
        <is>
          <t>Ripley Corp</t>
        </is>
      </c>
      <c r="B407" s="12" t="inlineStr">
        <is>
          <t>LatAm Consumer &amp; Retail Champions</t>
        </is>
      </c>
      <c r="C407" s="12" t="inlineStr">
        <is>
          <t>full verification</t>
        </is>
      </c>
      <c r="D407" s="12" t="inlineStr">
        <is>
          <t>Valuation hard bar fails - market cap ~$843M USD (stockanalysis.com), below the $1B threshold; Ripley Corp is publicly listed with a published valuation, so the private/family-owned no-valuation exception does not apply.</t>
        </is>
      </c>
    </row>
    <row r="408">
      <c r="A408" s="12" t="inlineStr">
        <is>
          <t>Molinos Rio de la Plata</t>
        </is>
      </c>
      <c r="B408" s="12" t="inlineStr">
        <is>
          <t>LatAm Consumer &amp; Retail Champions</t>
        </is>
      </c>
      <c r="C408" s="12" t="inlineStr">
        <is>
          <t>full verification</t>
        </is>
      </c>
      <c r="D408" s="12" t="inlineStr">
        <is>
          <t>Failed hard filter: valuation. Market cap is ~US$355-390M (ARS 542.7B at ~1,525 ARS/USD, Sep 2026), well below the &gt;$1B hard bar. Molinos is a publicly listed company with a clear quoted market cap, so the 'family-owned, no published valuation' exception does not apply.</t>
        </is>
      </c>
    </row>
    <row r="409">
      <c r="A409" s="12" t="inlineStr">
        <is>
          <t>Naga Group</t>
        </is>
      </c>
      <c r="B409" s="12" t="inlineStr">
        <is>
          <t>Asset Mgmt, PE &amp; Trading Fir</t>
        </is>
      </c>
      <c r="C409" s="12" t="inlineStr">
        <is>
          <t>desk triage</t>
        </is>
      </c>
      <c r="D409" s="12" t="inlineStr">
        <is>
          <t>Confirmed via WebSearch: FY2025 revenue only ~EUR62-65M (well under $100M) and market cap ~EUR79-96M (well under $1B); not family-owned</t>
        </is>
      </c>
    </row>
    <row r="410">
      <c r="A410" s="12" t="inlineStr">
        <is>
          <t>New World Development</t>
        </is>
      </c>
      <c r="B410" s="12" t="inlineStr">
        <is>
          <t>Real Estate &amp; Building Produ</t>
        </is>
      </c>
      <c r="C410" s="12" t="inlineStr">
        <is>
          <t>desk triage</t>
        </is>
      </c>
      <c r="D410" s="12" t="inlineStr">
        <is>
          <t>Confirmed via WebSearch: severe multi-year debt crisis; market value collapsed from ~$14B (2019) to ~$1.5B; expected H1 net loss up to $875M; breached debt covenants; near HK$87.5B refinancing deal - clearly fails filter 4 ('profitable/improving')</t>
        </is>
      </c>
    </row>
    <row r="411">
      <c r="A411" s="12" t="inlineStr">
        <is>
          <t>Douglas Elliman Inc</t>
        </is>
      </c>
      <c r="B411" s="12" t="inlineStr">
        <is>
          <t>Real Estate &amp; Building Produ</t>
        </is>
      </c>
      <c r="C411" s="12" t="inlineStr">
        <is>
          <t>desk triage</t>
        </is>
      </c>
      <c r="D411" s="12" t="inlineStr">
        <is>
          <t>Confirmed via WebSearch: micro-cap public company, market cap only ~$170-220M (down from ~$943M in 2021), well under the $1B threshold; not family-owned</t>
        </is>
      </c>
    </row>
    <row r="412">
      <c r="A412" s="12" t="inlineStr">
        <is>
          <t>Beam Therapeutics</t>
        </is>
      </c>
      <c r="B412" s="12" t="inlineStr">
        <is>
          <t>CDMO, CRO &amp; Life-Science Too</t>
        </is>
      </c>
      <c r="C412" s="12" t="inlineStr">
        <is>
          <t>desk triage</t>
        </is>
      </c>
      <c r="D412" s="12" t="inlineStr">
        <is>
          <t>Filters 2/4: clinical-stage biotech with no marketed product - essentially pre-revenue despite large cash reserves.</t>
        </is>
      </c>
    </row>
    <row r="413">
      <c r="A413" s="12" t="inlineStr">
        <is>
          <t>CRISPR Therapeutics</t>
        </is>
      </c>
      <c r="B413" s="12" t="inlineStr">
        <is>
          <t>CDMO, CRO &amp; Life-Science Too</t>
        </is>
      </c>
      <c r="C413" s="12" t="inlineStr">
        <is>
          <t>desk triage</t>
        </is>
      </c>
      <c r="D413" s="12" t="inlineStr">
        <is>
          <t>Filters 2/4: Casgevy (with Vertex) only recently launched; company revenue still minimal/collaboration-based, not &gt;$100M in marketed-product revenue.</t>
        </is>
      </c>
    </row>
    <row r="414">
      <c r="A414" s="12" t="inlineStr">
        <is>
          <t>Intellia Therapeutics</t>
        </is>
      </c>
      <c r="B414" s="12" t="inlineStr">
        <is>
          <t>CDMO, CRO &amp; Life-Science Too</t>
        </is>
      </c>
      <c r="C414" s="12" t="inlineStr">
        <is>
          <t>desk triage</t>
        </is>
      </c>
      <c r="D414" s="12" t="inlineStr">
        <is>
          <t>Filters 2/4: no approved products, pre-revenue clinical-stage gene-editing biotech.</t>
        </is>
      </c>
    </row>
    <row r="415">
      <c r="A415" s="12" t="inlineStr">
        <is>
          <t>Akoya Biosciences</t>
        </is>
      </c>
      <c r="B415" s="12" t="inlineStr">
        <is>
          <t>CDMO, CRO &amp; Life-Science Too</t>
        </is>
      </c>
      <c r="C415" s="12" t="inlineStr">
        <is>
          <t>desk triage</t>
        </is>
      </c>
      <c r="D415" s="12" t="inlineStr">
        <is>
          <t>Filter 7: acquired by Quanterix, deal closed July 8, 2025 - no longer an independent company.</t>
        </is>
      </c>
    </row>
    <row r="416">
      <c r="A416" s="12" t="inlineStr">
        <is>
          <t>Cerbios-Pharma</t>
        </is>
      </c>
      <c r="B416" s="12" t="inlineStr">
        <is>
          <t>CDMO, CRO &amp; Life-Science Too</t>
        </is>
      </c>
      <c r="C416" s="12" t="inlineStr">
        <is>
          <t>desk triage</t>
        </is>
      </c>
      <c r="D416" s="12" t="inlineStr">
        <is>
          <t>Filter 2: small specialty API/biologics CDMO subsidiary of Zambon Group (Italy), only ~400 employees - revenue very unlikely to exceed $100M.</t>
        </is>
      </c>
    </row>
    <row r="417">
      <c r="A417" s="12" t="inlineStr">
        <is>
          <t>Porvair Sciences</t>
        </is>
      </c>
      <c r="B417" s="12" t="inlineStr">
        <is>
          <t>CDMO, CRO &amp; Life-Science Too</t>
        </is>
      </c>
      <c r="C417" s="12" t="inlineStr">
        <is>
          <t>desk triage</t>
        </is>
      </c>
      <c r="D417" s="12" t="inlineStr">
        <is>
          <t>Filter 3: division of Porvair plc (LSE AIM, small-cap); parent market cap only ~£150-200M - well below $1B valuation threshold.</t>
        </is>
      </c>
    </row>
    <row r="418">
      <c r="A418" s="12" t="inlineStr">
        <is>
          <t>Distek Inc.</t>
        </is>
      </c>
      <c r="B418" s="12" t="inlineStr">
        <is>
          <t>CDMO, CRO &amp; Life-Science Too</t>
        </is>
      </c>
      <c r="C418" s="12" t="inlineStr">
        <is>
          <t>desk triage</t>
        </is>
      </c>
      <c r="D418" s="12" t="inlineStr">
        <is>
          <t>Filter 2: small niche dissolution-testing equipment manufacturer (~200 employees) - revenue very unlikely to approach $100M.</t>
        </is>
      </c>
    </row>
    <row r="419">
      <c r="A419" s="12" t="inlineStr">
        <is>
          <t>Solaris Biotech</t>
        </is>
      </c>
      <c r="B419" s="12" t="inlineStr">
        <is>
          <t>CDMO, CRO &amp; Life-Science Too</t>
        </is>
      </c>
      <c r="C419" s="12" t="inlineStr">
        <is>
          <t>desk triage</t>
        </is>
      </c>
      <c r="D419" s="12" t="inlineStr">
        <is>
          <t>Filter 2: small niche bioreactor manufacturer (~150 employees) - revenue very unlikely to approach $100M.</t>
        </is>
      </c>
    </row>
    <row r="420">
      <c r="A420" s="12" t="inlineStr">
        <is>
          <t>Novonix</t>
        </is>
      </c>
      <c r="B420" s="12" t="inlineStr">
        <is>
          <t>Mining, Metals &amp; Commodities</t>
        </is>
      </c>
      <c r="C420" s="12" t="inlineStr">
        <is>
          <t>desk triage</t>
        </is>
      </c>
      <c r="D420" s="12" t="inlineStr">
        <is>
          <t>Filters 2/3: small-cap (ASX: NVX) battery materials company, still largely pre-revenue/early-revenue at commercial scale - well below $100M revenue and $1B valuation thresholds.</t>
        </is>
      </c>
    </row>
    <row r="421">
      <c r="A421" s="12" t="inlineStr">
        <is>
          <t>Royal Gold</t>
        </is>
      </c>
      <c r="B421" s="12" t="inlineStr">
        <is>
          <t>Mining, Metals &amp; Commodities</t>
        </is>
      </c>
      <c r="C421" s="12" t="inlineStr">
        <is>
          <t>desk triage</t>
        </is>
      </c>
      <c r="D421" s="12" t="inlineStr">
        <is>
          <t>Filter 1: only ~45 employees (royalty/streaming business model), below the 51+ headcount threshold.</t>
        </is>
      </c>
    </row>
    <row r="422">
      <c r="A422" s="12" t="inlineStr">
        <is>
          <t>Piedmont Lithium</t>
        </is>
      </c>
      <c r="B422" s="12" t="inlineStr">
        <is>
          <t>Mining, Metals &amp; Commodities</t>
        </is>
      </c>
      <c r="C422" s="12" t="inlineStr">
        <is>
          <t>desk triage</t>
        </is>
      </c>
      <c r="D422" s="12" t="inlineStr">
        <is>
          <t>Filters 2/3: small-cap (Nasdaq: PLL) early-stage lithium developer via JV assets, revenue minimal, market cap well under $1B post lithium price crash.</t>
        </is>
      </c>
    </row>
    <row r="423">
      <c r="A423" s="12" t="inlineStr">
        <is>
          <t>Sandstorm Gold Royalties</t>
        </is>
      </c>
      <c r="B423" s="12" t="inlineStr">
        <is>
          <t>Mining, Metals &amp; Commodities</t>
        </is>
      </c>
      <c r="C423" s="12" t="inlineStr">
        <is>
          <t>desk triage</t>
        </is>
      </c>
      <c r="D423" s="12" t="inlineStr">
        <is>
          <t>Filter 1: only ~40 employees (royalty/streaming business model), below the 51+ headcount threshold.</t>
        </is>
      </c>
    </row>
    <row r="424">
      <c r="A424" s="12" t="inlineStr">
        <is>
          <t>Standard Lithium</t>
        </is>
      </c>
      <c r="B424" s="12" t="inlineStr">
        <is>
          <t>Mining, Metals &amp; Commodities</t>
        </is>
      </c>
      <c r="C424" s="12" t="inlineStr">
        <is>
          <t>desk triage</t>
        </is>
      </c>
      <c r="D424" s="12" t="inlineStr">
        <is>
          <t>Filters 2/4: pre-revenue direct lithium extraction (DLE) developer, no commercial production yet.</t>
        </is>
      </c>
    </row>
    <row r="425">
      <c r="A425" s="12" t="inlineStr">
        <is>
          <t>Vulcan Energy Resources</t>
        </is>
      </c>
      <c r="B425" s="12" t="inlineStr">
        <is>
          <t>Mining, Metals &amp; Commodities</t>
        </is>
      </c>
      <c r="C425" s="12" t="inlineStr">
        <is>
          <t>desk triage</t>
        </is>
      </c>
      <c r="D425" s="12" t="inlineStr">
        <is>
          <t>Filters 2/4: pre-revenue geothermal lithium developer (Zero Carbon Lithium project, Germany), no commercial production yet.</t>
        </is>
      </c>
    </row>
    <row r="426">
      <c r="A426" s="12" t="inlineStr">
        <is>
          <t>Ginkgo Bioworks</t>
        </is>
      </c>
      <c r="B426" s="12" t="inlineStr">
        <is>
          <t>Agriculture &amp; AgTech</t>
        </is>
      </c>
      <c r="C426" s="12" t="inlineStr">
        <is>
          <t>desk triage</t>
        </is>
      </c>
      <c r="D426" s="12" t="inlineStr">
        <is>
          <t>Filter 3: market cap has collapsed to ~$0.47-0.49B (2026), down sharply from SPAC-era peak; 2025 revenue also declined ~25% YoY to $170M - not an improving profile.</t>
        </is>
      </c>
    </row>
    <row r="427">
      <c r="A427" s="12" t="inlineStr">
        <is>
          <t>Viterra Limited</t>
        </is>
      </c>
      <c r="B427" s="12" t="inlineStr">
        <is>
          <t>Agriculture &amp; AgTech</t>
        </is>
      </c>
      <c r="C427" s="12" t="inlineStr">
        <is>
          <t>desk triage</t>
        </is>
      </c>
      <c r="D427" s="12" t="inlineStr">
        <is>
          <t>Filter 7: merged into Bunge Global in a deal that closed July 2, 2025 - no longer an independent company.</t>
        </is>
      </c>
    </row>
    <row r="428">
      <c r="A428" s="12" t="inlineStr">
        <is>
          <t>Olam Agri / ofi</t>
        </is>
      </c>
      <c r="B428" s="12" t="inlineStr">
        <is>
          <t>Agriculture &amp; AgTech</t>
        </is>
      </c>
      <c r="C428" s="12" t="inlineStr">
        <is>
          <t>desk triage</t>
        </is>
      </c>
      <c r="D428" s="12" t="inlineStr">
        <is>
          <t>Filter 7: parent Olam Group is majority owned by Temasek Holdings, Singapore's sovereign wealth fund (~51-54% of shares).</t>
        </is>
      </c>
    </row>
    <row r="429">
      <c r="A429" s="12" t="inlineStr">
        <is>
          <t>VST Tillers Tractors</t>
        </is>
      </c>
      <c r="B429" s="12" t="inlineStr">
        <is>
          <t>Agriculture &amp; AgTech</t>
        </is>
      </c>
      <c r="C429" s="12" t="inlineStr">
        <is>
          <t>desk triage</t>
        </is>
      </c>
      <c r="D429" s="12" t="inlineStr">
        <is>
          <t>Filter 3: publicly listed (NSE/BSE) small-cap, market cap likely well below the $1B valuation threshold.</t>
        </is>
      </c>
    </row>
    <row r="430">
      <c r="A430" s="12" t="inlineStr">
        <is>
          <t>AgBiome</t>
        </is>
      </c>
      <c r="B430" s="12" t="inlineStr">
        <is>
          <t>Agriculture &amp; AgTech</t>
        </is>
      </c>
      <c r="C430" s="12" t="inlineStr">
        <is>
          <t>desk triage</t>
        </is>
      </c>
      <c r="D430" s="12" t="inlineStr">
        <is>
          <t>Filters 4/7: wound down operations in late 2023 after failing to raise capital - filed layoff notices for all ~123 employees, sold key product assets (Howler, Theia) to Certis Biologicals; no longer an operating platform company.</t>
        </is>
      </c>
    </row>
    <row r="431">
      <c r="A431" s="12" t="inlineStr">
        <is>
          <t>Enko</t>
        </is>
      </c>
      <c r="B431" s="12" t="inlineStr">
        <is>
          <t>Agriculture &amp; AgTech</t>
        </is>
      </c>
      <c r="C431" s="12" t="inlineStr">
        <is>
          <t>desk triage</t>
        </is>
      </c>
      <c r="D431" s="12" t="inlineStr">
        <is>
          <t>Filter 4: AI-discovered crop-protection chemistry/biologicals company still in R&amp;D/early commercialization; no evidence of $100M revenue or $50M+ ARR.</t>
        </is>
      </c>
    </row>
    <row r="432">
      <c r="A432" s="12" t="inlineStr">
        <is>
          <t>NewLeaf Symbiotics</t>
        </is>
      </c>
      <c r="B432" s="12" t="inlineStr">
        <is>
          <t>Agriculture &amp; AgTech</t>
        </is>
      </c>
      <c r="C432" s="12" t="inlineStr">
        <is>
          <t>desk triage</t>
        </is>
      </c>
      <c r="D432" s="12" t="inlineStr">
        <is>
          <t>Filter 4: early-stage PPFM biologicals company, pre-revenue/early commercial scale relative to $100M/$50M ARR bar.</t>
        </is>
      </c>
    </row>
    <row r="433">
      <c r="A433" s="12" t="inlineStr">
        <is>
          <t>Tropic Biosciences</t>
        </is>
      </c>
      <c r="B433" s="12" t="inlineStr">
        <is>
          <t>Agriculture &amp; AgTech</t>
        </is>
      </c>
      <c r="C433" s="12" t="inlineStr">
        <is>
          <t>desk triage</t>
        </is>
      </c>
      <c r="D433" s="12" t="inlineStr">
        <is>
          <t>Filter 4: gene-editing R&amp;D company for tropical crops, pre-commercial/pre-revenue stage vs $100M/$50M ARR bar.</t>
        </is>
      </c>
    </row>
    <row r="434">
      <c r="A434" s="12" t="inlineStr">
        <is>
          <t>AGRIVI</t>
        </is>
      </c>
      <c r="B434" s="12" t="inlineStr">
        <is>
          <t>Agriculture &amp; AgTech</t>
        </is>
      </c>
      <c r="C434" s="12" t="inlineStr">
        <is>
          <t>desk triage</t>
        </is>
      </c>
      <c r="D434" s="12" t="inlineStr">
        <is>
          <t>Filter 2: small farm-management SaaS platform, far below $50M ARR growing 50%+ bar for a company this size/profile.</t>
        </is>
      </c>
    </row>
    <row r="435">
      <c r="A435" s="12" t="inlineStr">
        <is>
          <t>AgUnity</t>
        </is>
      </c>
      <c r="B435" s="12" t="inlineStr">
        <is>
          <t>Agriculture &amp; AgTech</t>
        </is>
      </c>
      <c r="C435" s="12" t="inlineStr">
        <is>
          <t>desk triage</t>
        </is>
      </c>
      <c r="D435" s="12" t="inlineStr">
        <is>
          <t>Filter 2/4: tiny blockchain smallholder-traceability platform, negligible commercial revenue.</t>
        </is>
      </c>
    </row>
    <row r="436">
      <c r="A436" s="12" t="inlineStr">
        <is>
          <t>Agworld</t>
        </is>
      </c>
      <c r="B436" s="12" t="inlineStr">
        <is>
          <t>Agriculture &amp; AgTech</t>
        </is>
      </c>
      <c r="C436" s="12" t="inlineStr">
        <is>
          <t>desk triage</t>
        </is>
      </c>
      <c r="D436" s="12" t="inlineStr">
        <is>
          <t>Filter 7: acquired by Semios (2021) — no longer an independent target.</t>
        </is>
      </c>
    </row>
    <row r="437">
      <c r="A437" s="12" t="inlineStr">
        <is>
          <t>Deliveroo</t>
        </is>
      </c>
      <c r="B437" s="12" t="inlineStr">
        <is>
          <t>Retail &amp; E-commerce</t>
        </is>
      </c>
      <c r="C437" s="12" t="inlineStr">
        <is>
          <t>desk triage</t>
        </is>
      </c>
      <c r="D437" s="12" t="inlineStr">
        <is>
          <t>Filter 7: acquired by DoorDash — deal completed Oct 2, 2025 per DoorDash IR/SEC filings; no longer independent.</t>
        </is>
      </c>
    </row>
    <row r="438">
      <c r="A438" s="12" t="inlineStr">
        <is>
          <t>Glovo (Delivery Hero)</t>
        </is>
      </c>
      <c r="B438" s="12" t="inlineStr">
        <is>
          <t>Retail &amp; E-commerce</t>
        </is>
      </c>
      <c r="C438" s="12" t="inlineStr">
        <is>
          <t>desk triage</t>
        </is>
      </c>
      <c r="D438" s="12" t="inlineStr">
        <is>
          <t>Filter 7: wholly owned subsidiary of Delivery Hero since full buyout (2022) — not independent.</t>
        </is>
      </c>
    </row>
    <row r="439">
      <c r="A439" s="12" t="inlineStr">
        <is>
          <t>Wolt (DoorDash)</t>
        </is>
      </c>
      <c r="B439" s="12" t="inlineStr">
        <is>
          <t>Retail &amp; E-commerce</t>
        </is>
      </c>
      <c r="C439" s="12" t="inlineStr">
        <is>
          <t>desk triage</t>
        </is>
      </c>
      <c r="D439" s="12" t="inlineStr">
        <is>
          <t>Filter 7: wholly owned subsidiary of DoorDash (acquired 2022) — not independent.</t>
        </is>
      </c>
    </row>
    <row r="440">
      <c r="A440" s="12" t="inlineStr">
        <is>
          <t>Bukalapak</t>
        </is>
      </c>
      <c r="B440" s="12" t="inlineStr">
        <is>
          <t>Retail &amp; E-commerce</t>
        </is>
      </c>
      <c r="C440" s="12" t="inlineStr">
        <is>
          <t>desk triage</t>
        </is>
      </c>
      <c r="D440" s="12" t="inlineStr">
        <is>
          <t>Filter 2/4: shut down its core physical-goods marketplace in Jan/Feb 2025 to pivot to virtual goods &amp; bill payments — core e-commerce revenue base has collapsed.</t>
        </is>
      </c>
    </row>
    <row r="441">
      <c r="A441" s="12" t="inlineStr">
        <is>
          <t>Linio (Falabella)</t>
        </is>
      </c>
      <c r="B441" s="12" t="inlineStr">
        <is>
          <t>Retail &amp; E-commerce</t>
        </is>
      </c>
      <c r="C441" s="12" t="inlineStr">
        <is>
          <t>desk triage</t>
        </is>
      </c>
      <c r="D441" s="12" t="inlineStr">
        <is>
          <t>Filter 7: wholly owned subsidiary of Falabella (acquired 2018) — not independent.</t>
        </is>
      </c>
    </row>
    <row r="442">
      <c r="A442" s="12" t="inlineStr">
        <is>
          <t>Lazada Group (Alibaba)</t>
        </is>
      </c>
      <c r="B442" s="12" t="inlineStr">
        <is>
          <t>Retail &amp; E-commerce</t>
        </is>
      </c>
      <c r="C442" s="12" t="inlineStr">
        <is>
          <t>desk triage</t>
        </is>
      </c>
      <c r="D442" s="12" t="inlineStr">
        <is>
          <t>Filter 7: wholly owned by Alibaba Group (progressively acquired to ~100% by 2017) — not independent; parent already in master.</t>
        </is>
      </c>
    </row>
    <row r="443">
      <c r="A443" s="12" t="inlineStr">
        <is>
          <t>Aciturri</t>
        </is>
      </c>
      <c r="B443" s="12" t="inlineStr">
        <is>
          <t>Aviation &amp; Aerospace Supplie</t>
        </is>
      </c>
      <c r="C443" s="12" t="inlineStr">
        <is>
          <t>desk triage</t>
        </is>
      </c>
      <c r="D443" s="12" t="inlineStr">
        <is>
          <t>Filter 5: aerostructures manufacturer whose business is dependent on Airbus as the primary customer — concentrated customer base typical of aerostructure suppliers.</t>
        </is>
      </c>
    </row>
    <row r="444">
      <c r="A444" s="12" t="inlineStr">
        <is>
          <t>CFM International (GE/Safran JV)</t>
        </is>
      </c>
      <c r="B444" s="12" t="inlineStr">
        <is>
          <t>Aviation &amp; Aerospace Supplie</t>
        </is>
      </c>
      <c r="C444" s="12" t="inlineStr">
        <is>
          <t>desk triage</t>
        </is>
      </c>
      <c r="D444" s="12" t="inlineStr">
        <is>
          <t>Structural/Filter 5: management joint venture (only ~600 employees vs. tens of billions in program revenue) between GE Aerospace and Safran — not an independent operating company or addressable sponsor; parent Safran already in master.</t>
        </is>
      </c>
    </row>
    <row r="445">
      <c r="A445" s="12" t="inlineStr">
        <is>
          <t>FACC AG</t>
        </is>
      </c>
      <c r="B445" s="12" t="inlineStr">
        <is>
          <t>Aviation &amp; Aerospace Supplie</t>
        </is>
      </c>
      <c r="C445" s="12" t="inlineStr">
        <is>
          <t>desk triage</t>
        </is>
      </c>
      <c r="D445" s="12" t="inlineStr">
        <is>
          <t>Filter 7: majority owned (~55%) by AVIC (Aviation Industry Corporation of China), a Chinese state-owned aerospace conglomerate — confirmed via search.</t>
        </is>
      </c>
    </row>
    <row r="446">
      <c r="A446" s="12" t="inlineStr">
        <is>
          <t>Héroux-Devtek</t>
        </is>
      </c>
      <c r="B446" s="12" t="inlineStr">
        <is>
          <t>Aviation &amp; Aerospace Supplie</t>
        </is>
      </c>
      <c r="C446" s="12" t="inlineStr">
        <is>
          <t>desk triage</t>
        </is>
      </c>
      <c r="D446" s="12" t="inlineStr">
        <is>
          <t>Filter 5: landing-gear/aerostructures supplier dependent on a handful of major OEM customers (Airbus, Boeing, Lockheed Martin, Bombardier) — concentrated customer base.</t>
        </is>
      </c>
    </row>
    <row r="447">
      <c r="A447" s="12" t="inlineStr">
        <is>
          <t>Latecoere</t>
        </is>
      </c>
      <c r="B447" s="12" t="inlineStr">
        <is>
          <t>Aviation &amp; Aerospace Supplie</t>
        </is>
      </c>
      <c r="C447" s="12" t="inlineStr">
        <is>
          <t>desk triage</t>
        </is>
      </c>
      <c r="D447" s="12" t="inlineStr">
        <is>
          <t>Filter 5: aerostructures/interconnection-systems supplier dependent on a handful of OEM customers (Airbus, Boeing, Dassault) — concentrated customer base.</t>
        </is>
      </c>
    </row>
    <row r="448">
      <c r="A448" s="12" t="inlineStr">
        <is>
          <t>Magellan Aerospace</t>
        </is>
      </c>
      <c r="B448" s="12" t="inlineStr">
        <is>
          <t>Aviation &amp; Aerospace Supplie</t>
        </is>
      </c>
      <c r="C448" s="12" t="inlineStr">
        <is>
          <t>desk triage</t>
        </is>
      </c>
      <c r="D448" s="12" t="inlineStr">
        <is>
          <t>Filter 5: aerostructures &amp; engine-components manufacturer dependent on a small set of OEM primes (Airbus, Boeing, Pratt &amp; Whitney, GE, Rolls-Royce) — concentrated customer base.</t>
        </is>
      </c>
    </row>
    <row r="449">
      <c r="A449" s="12" t="inlineStr">
        <is>
          <t>Aernnova</t>
        </is>
      </c>
      <c r="B449" s="12" t="inlineStr">
        <is>
          <t>Aviation &amp; Aerospace Supplie</t>
        </is>
      </c>
      <c r="C449" s="12" t="inlineStr">
        <is>
          <t>desk triage</t>
        </is>
      </c>
      <c r="D449" s="12" t="inlineStr">
        <is>
          <t>Filter 5: aerostructures design/manufacturing supplier dependent on Airbus/Boeing as primary customers — concentrated customer base.</t>
        </is>
      </c>
    </row>
    <row r="450">
      <c r="A450" s="12" t="inlineStr">
        <is>
          <t>GKN Aerospace (Melrose Industries)</t>
        </is>
      </c>
      <c r="B450" s="12" t="inlineStr">
        <is>
          <t>Aviation &amp; Aerospace Supplie</t>
        </is>
      </c>
      <c r="C450" s="12" t="inlineStr">
        <is>
          <t>desk triage</t>
        </is>
      </c>
      <c r="D450" s="12" t="inlineStr">
        <is>
          <t>Filter 5: aerostructures/engine-components supplier dependent on a small set of OEM primes (Airbus, Boeing, engine makers) — concentrated customer base; also a subsidiary of Melrose Industries (parent already in master).</t>
        </is>
      </c>
    </row>
    <row r="451">
      <c r="A451" s="12" t="inlineStr">
        <is>
          <t>Surf Air Mobility</t>
        </is>
      </c>
      <c r="B451" s="12" t="inlineStr">
        <is>
          <t>Aviation &amp; Aerospace Supplie</t>
        </is>
      </c>
      <c r="C451" s="12" t="inlineStr">
        <is>
          <t>desk triage</t>
        </is>
      </c>
      <c r="D451" s="12" t="inlineStr">
        <is>
          <t>Filter 4: small-scale, going-concern financial distress reported for this regional air-mobility/electrification company — fails the profitable/improving capacity bar.</t>
        </is>
      </c>
    </row>
    <row r="452">
      <c r="A452" s="12" t="inlineStr">
        <is>
          <t>Electra.aero</t>
        </is>
      </c>
      <c r="B452" s="12" t="inlineStr">
        <is>
          <t>Aviation &amp; Aerospace Supplie</t>
        </is>
      </c>
      <c r="C452" s="12" t="inlineStr">
        <is>
          <t>desk triage</t>
        </is>
      </c>
      <c r="D452" s="12" t="inlineStr">
        <is>
          <t>Filter 4: pre-revenue eSTOL aircraft development-stage company (no certified/commercial product yet) — fails revenue/ARR bar.</t>
        </is>
      </c>
    </row>
    <row r="453">
      <c r="A453" s="12" t="inlineStr">
        <is>
          <t>Overair</t>
        </is>
      </c>
      <c r="B453" s="12" t="inlineStr">
        <is>
          <t>Aviation &amp; Aerospace Supplie</t>
        </is>
      </c>
      <c r="C453" s="12" t="inlineStr">
        <is>
          <t>desk triage</t>
        </is>
      </c>
      <c r="D453" s="12" t="inlineStr">
        <is>
          <t>Filter 4: pre-revenue eVTOL aircraft development-stage company (no certified/commercial product yet) — fails revenue/ARR bar.</t>
        </is>
      </c>
    </row>
    <row r="454">
      <c r="A454" s="12" t="inlineStr">
        <is>
          <t>Air Partner</t>
        </is>
      </c>
      <c r="B454" s="12" t="inlineStr">
        <is>
          <t>Aviation &amp; Aerospace Supplie</t>
        </is>
      </c>
      <c r="C454" s="12" t="inlineStr">
        <is>
          <t>desk triage</t>
        </is>
      </c>
      <c r="D454" s="12" t="inlineStr">
        <is>
          <t>Filter 7: acquired by Wheels Up Experience (2022, $108M deal) — confirmed via search; related businesses reportedly divested again by Wheels Up in 2025, underscoring unstable/non-independent ownership.</t>
        </is>
      </c>
    </row>
    <row r="455">
      <c r="A455" s="12" t="inlineStr">
        <is>
          <t>CPI Aerostructures</t>
        </is>
      </c>
      <c r="B455" s="12" t="inlineStr">
        <is>
          <t>Aviation &amp; Aerospace Supplie</t>
        </is>
      </c>
      <c r="C455" s="12" t="inlineStr">
        <is>
          <t>desk triage</t>
        </is>
      </c>
      <c r="D455" s="12" t="inlineStr">
        <is>
          <t>Filter 5: small aerostructures subcontractor dependent on a handful of prime contractors (defense/commercial primes) — classic concentrated customer base per brief guidance for aero/defense suppliers.</t>
        </is>
      </c>
    </row>
    <row r="456">
      <c r="A456" s="12" t="inlineStr">
        <is>
          <t>Honda Aircraft Company</t>
        </is>
      </c>
      <c r="B456" s="12" t="inlineStr">
        <is>
          <t>Aviation &amp; Aerospace Supplie</t>
        </is>
      </c>
      <c r="C456" s="12" t="inlineStr">
        <is>
          <t>desk triage</t>
        </is>
      </c>
      <c r="D456" s="12" t="inlineStr">
        <is>
          <t>Filter 6: parent Honda Motor Co. is the confirmed F1 power-unit supplier for Aston Martin Aramco starting the 2026 season (Honda Racing Corporation works engine deal) — direct F1 tie via parent.</t>
        </is>
      </c>
    </row>
    <row r="457">
      <c r="A457" s="12" t="inlineStr">
        <is>
          <t>Thompson Aero Seating</t>
        </is>
      </c>
      <c r="B457" s="12" t="inlineStr">
        <is>
          <t>Aviation &amp; Aerospace Supplie</t>
        </is>
      </c>
      <c r="C457" s="12" t="inlineStr">
        <is>
          <t>desk triage</t>
        </is>
      </c>
      <c r="D457" s="12" t="inlineStr">
        <is>
          <t>Filter 5/structural: subsidiary of Collins Aerospace/RTX (parent already in master); niche premium-seating supplier with a customer base concentrated among a limited set of airline buyers of premium cabins.</t>
        </is>
      </c>
    </row>
    <row r="458">
      <c r="A458" s="12" t="inlineStr">
        <is>
          <t>Innovative Solutions &amp; Support</t>
        </is>
      </c>
      <c r="B458" s="12" t="inlineStr">
        <is>
          <t>Aviation &amp; Aerospace Supplie</t>
        </is>
      </c>
      <c r="C458" s="12" t="inlineStr">
        <is>
          <t>desk triage</t>
        </is>
      </c>
      <c r="D458" s="12" t="inlineStr">
        <is>
          <t>Filter 2: small public (Nasdaq) flight-guidance/avionics company with disclosed annual revenue in the tens of millions — well below the $100M/$50M ARR bar.</t>
        </is>
      </c>
    </row>
    <row r="459">
      <c r="A459" s="12" t="inlineStr">
        <is>
          <t>Wingcopter</t>
        </is>
      </c>
      <c r="B459" s="12" t="inlineStr">
        <is>
          <t>Aviation &amp; Aerospace Supplie</t>
        </is>
      </c>
      <c r="C459" s="12" t="inlineStr">
        <is>
          <t>desk triage</t>
        </is>
      </c>
      <c r="D459" s="12" t="inlineStr">
        <is>
          <t>Filter 4: early-stage delivery-drone manufacturer in a still-nascent commercial market — unlikely to meet the revenue/ARR bar.</t>
        </is>
      </c>
    </row>
    <row r="460">
      <c r="A460" s="12" t="inlineStr">
        <is>
          <t>Foot Locker</t>
        </is>
      </c>
      <c r="B460" s="12" t="inlineStr">
        <is>
          <t>Sporting Goods &amp; Fitness</t>
        </is>
      </c>
      <c r="C460" s="12" t="inlineStr">
        <is>
          <t>desk triage</t>
        </is>
      </c>
      <c r="D460" s="12" t="inlineStr">
        <is>
          <t>Acquired by Dick's Sporting Goods - deal closed Sept 8, 2025 ($2.5B); no longer an independent company</t>
        </is>
      </c>
    </row>
    <row r="461">
      <c r="A461" s="12" t="inlineStr">
        <is>
          <t>Assault Fitness (Escalade Sports)</t>
        </is>
      </c>
      <c r="B461" s="12" t="inlineStr">
        <is>
          <t>Sporting Goods &amp; Fitness</t>
        </is>
      </c>
      <c r="C461" s="12" t="inlineStr">
        <is>
          <t>desk triage</t>
        </is>
      </c>
      <c r="D461" s="12" t="inlineStr">
        <is>
          <t>Parent Escalade Inc. (Nasdaq: ESCA) is public with a small market cap well under $1B</t>
        </is>
      </c>
    </row>
    <row r="462">
      <c r="A462" s="12" t="inlineStr">
        <is>
          <t>Meyer Werft</t>
        </is>
      </c>
      <c r="B462" s="12" t="inlineStr">
        <is>
          <t>Maritime, Shipping &amp; Ports</t>
        </is>
      </c>
      <c r="C462" s="12" t="inlineStr">
        <is>
          <t>desk triage</t>
        </is>
      </c>
      <c r="D462" s="12" t="inlineStr">
        <is>
          <t>German federal government and State of Lower Saxony took a combined majority (~80%) stake in a 2023 rescue, per public reporting - majority state/sovereign-owned</t>
        </is>
      </c>
    </row>
    <row r="463">
      <c r="A463" s="12" t="inlineStr">
        <is>
          <t>Costamare Inc.</t>
        </is>
      </c>
      <c r="B463" s="12" t="inlineStr">
        <is>
          <t>Maritime, Shipping &amp; Ports</t>
        </is>
      </c>
      <c r="C463" s="12" t="inlineStr">
        <is>
          <t>desk triage</t>
        </is>
      </c>
      <c r="D463" s="12" t="inlineStr">
        <is>
          <t>Pure containership charter-owner; per public disclosures its fleet is chartered almost exclusively to a handful of major liner companies (e.g., major global carriers) - customer concentration</t>
        </is>
      </c>
    </row>
    <row r="464">
      <c r="A464" s="12" t="inlineStr">
        <is>
          <t>Golden Ocean Group</t>
        </is>
      </c>
      <c r="B464" s="12" t="inlineStr">
        <is>
          <t>Maritime, Shipping &amp; Ports</t>
        </is>
      </c>
      <c r="C464" s="12" t="inlineStr">
        <is>
          <t>desk triage</t>
        </is>
      </c>
      <c r="D464" s="12" t="inlineStr">
        <is>
          <t>Merged into CMB.TECH - deal completed Aug 20, 2025 (stock-for-stock, ~$1.2B); no longer an independent company</t>
        </is>
      </c>
    </row>
    <row r="465">
      <c r="A465" s="12" t="inlineStr">
        <is>
          <t>HHLA (Hamburger Hafen und Logistik)</t>
        </is>
      </c>
      <c r="B465" s="12" t="inlineStr">
        <is>
          <t>Maritime, Shipping &amp; Ports</t>
        </is>
      </c>
      <c r="C465" s="12" t="inlineStr">
        <is>
          <t>desk triage</t>
        </is>
      </c>
      <c r="D465" s="12" t="inlineStr">
        <is>
          <t>City of Hamburg (a German municipal/state government) holds a majority (~68%) stake in HHLA AG per public reporting - majority state/sovereign-owned</t>
        </is>
      </c>
    </row>
    <row r="466">
      <c r="A466" s="12" t="inlineStr">
        <is>
          <t>Ardmore Shipping</t>
        </is>
      </c>
      <c r="B466" s="12" t="inlineStr">
        <is>
          <t>Maritime, Shipping &amp; Ports</t>
        </is>
      </c>
      <c r="C466" s="12" t="inlineStr">
        <is>
          <t>desk triage</t>
        </is>
      </c>
      <c r="D466" s="12" t="inlineStr">
        <is>
          <t>Public (NYSE: ASC), small-cap mid-size product-tanker owner with market cap plausibly below the $1B threshold</t>
        </is>
      </c>
    </row>
    <row r="467">
      <c r="A467" s="12" t="inlineStr">
        <is>
          <t>Danaos Corporation</t>
        </is>
      </c>
      <c r="B467" s="12" t="inlineStr">
        <is>
          <t>Maritime, Shipping &amp; Ports</t>
        </is>
      </c>
      <c r="C467" s="12" t="inlineStr">
        <is>
          <t>desk triage</t>
        </is>
      </c>
      <c r="D467" s="12" t="inlineStr">
        <is>
          <t>Public (NYSE: DAC), but per public disclosures the fleet is chartered almost exclusively to a small number of major container-line counterparties - customer concentration</t>
        </is>
      </c>
    </row>
    <row r="468">
      <c r="A468" s="12" t="inlineStr">
        <is>
          <t>Diana Shipping</t>
        </is>
      </c>
      <c r="B468" s="12" t="inlineStr">
        <is>
          <t>Maritime, Shipping &amp; Ports</t>
        </is>
      </c>
      <c r="C468" s="12" t="inlineStr">
        <is>
          <t>desk triage</t>
        </is>
      </c>
      <c r="D468" s="12" t="inlineStr">
        <is>
          <t>Public (NYSE: DSX), small-cap dry-bulk owner with market cap well below the $1B threshold</t>
        </is>
      </c>
    </row>
    <row r="469">
      <c r="A469" s="12" t="inlineStr">
        <is>
          <t>Eagle Bulk Shipping</t>
        </is>
      </c>
      <c r="B469" s="12" t="inlineStr">
        <is>
          <t>Maritime, Shipping &amp; Ports</t>
        </is>
      </c>
      <c r="C469" s="12" t="inlineStr">
        <is>
          <t>desk triage</t>
        </is>
      </c>
      <c r="D469" s="12" t="inlineStr">
        <is>
          <t>Acquired by Star Bulk Carriers - all-stock merger completed April 9, 2024; ceased trading as an independent company</t>
        </is>
      </c>
    </row>
    <row r="470">
      <c r="A470" s="12" t="inlineStr">
        <is>
          <t>Global Ship Lease</t>
        </is>
      </c>
      <c r="B470" s="12" t="inlineStr">
        <is>
          <t>Maritime, Shipping &amp; Ports</t>
        </is>
      </c>
      <c r="C470" s="12" t="inlineStr">
        <is>
          <t>desk triage</t>
        </is>
      </c>
      <c r="D470" s="12" t="inlineStr">
        <is>
          <t>Public (NYSE: GSL), small-cap containership charter-owner whose fleet is chartered to a small number of major liner-company counterparties</t>
        </is>
      </c>
    </row>
    <row r="471">
      <c r="A471" s="12" t="inlineStr">
        <is>
          <t>Navios Maritime Holdings</t>
        </is>
      </c>
      <c r="B471" s="12" t="inlineStr">
        <is>
          <t>Maritime, Shipping &amp; Ports</t>
        </is>
      </c>
      <c r="C471" s="12" t="inlineStr">
        <is>
          <t>desk triage</t>
        </is>
      </c>
      <c r="D471" s="12" t="inlineStr">
        <is>
          <t>Public (NYSE: NMM/related entities), long financially distressed with a very small market cap (reverse stock splits, near-penny-stock levels) far below the $1B threshold</t>
        </is>
      </c>
    </row>
    <row r="472">
      <c r="A472" s="12" t="inlineStr">
        <is>
          <t>Nordic American Tankers</t>
        </is>
      </c>
      <c r="B472" s="12" t="inlineStr">
        <is>
          <t>Maritime, Shipping &amp; Ports</t>
        </is>
      </c>
      <c r="C472" s="12" t="inlineStr">
        <is>
          <t>desk triage</t>
        </is>
      </c>
      <c r="D472" s="12" t="inlineStr">
        <is>
          <t>Public (NYSE: NAT), small-cap Suezmax tanker owner with market cap below the $1B threshold</t>
        </is>
      </c>
    </row>
    <row r="473">
      <c r="A473" s="12" t="inlineStr">
        <is>
          <t>Wallbox</t>
        </is>
      </c>
      <c r="B473" s="12" t="inlineStr">
        <is>
          <t>Batteries, EV, Waste &amp; Water</t>
        </is>
      </c>
      <c r="C473" s="12" t="inlineStr">
        <is>
          <t>desk triage</t>
        </is>
      </c>
      <c r="D473" s="12" t="inlineStr">
        <is>
          <t>Public (NYSE: WBX), Spanish EV-charging hardware maker; share price has collapsed since its 2021 SPAC listing to a market cap far below $1B</t>
        </is>
      </c>
    </row>
    <row r="474">
      <c r="A474" s="12" t="inlineStr">
        <is>
          <t>Energy Vault</t>
        </is>
      </c>
      <c r="B474" s="12" t="inlineStr">
        <is>
          <t>Batteries, EV, Waste &amp; Water</t>
        </is>
      </c>
      <c r="C474" s="12" t="inlineStr">
        <is>
          <t>desk triage</t>
        </is>
      </c>
      <c r="D474" s="12" t="inlineStr">
        <is>
          <t>Public (NYSE: NRGV), gravity/battery long-duration storage; share price has collapsed post-SPAC to a market cap far below $1B</t>
        </is>
      </c>
    </row>
    <row r="475">
      <c r="A475" s="12" t="inlineStr">
        <is>
          <t>FreeWire Technologies</t>
        </is>
      </c>
      <c r="B475" s="12" t="inlineStr">
        <is>
          <t>Batteries, EV, Waste &amp; Water</t>
        </is>
      </c>
      <c r="C475" s="12" t="inlineStr">
        <is>
          <t>desk triage</t>
        </is>
      </c>
      <c r="D475" s="12" t="inlineStr">
        <is>
          <t>Ceased operations - closed HQ and laid off nearly all staff in May/June 2024 per public reporting; defunct</t>
        </is>
      </c>
    </row>
    <row r="476">
      <c r="A476" s="12" t="inlineStr">
        <is>
          <t>Verkor</t>
        </is>
      </c>
      <c r="B476" s="12" t="inlineStr">
        <is>
          <t>Batteries, EV, Waste &amp; Water</t>
        </is>
      </c>
      <c r="C476" s="12" t="inlineStr">
        <is>
          <t>desk triage</t>
        </is>
      </c>
      <c r="D476" s="12" t="inlineStr">
        <is>
          <t>Renault (owner of the Alpine F1 team, on the 2026 grid) is a founding strategic investor and offtake partner in this battery gigafactory startup</t>
        </is>
      </c>
    </row>
    <row r="477">
      <c r="A477" s="12" t="inlineStr">
        <is>
          <t>ADS-TEC Energy</t>
        </is>
      </c>
      <c r="B477" s="12" t="inlineStr">
        <is>
          <t>Batteries, EV, Waste &amp; Water</t>
        </is>
      </c>
      <c r="C477" s="12" t="inlineStr">
        <is>
          <t>desk triage</t>
        </is>
      </c>
      <c r="D477" s="12" t="inlineStr">
        <is>
          <t>Public (Nasdaq: ADSE), German-American battery-buffered charging company listed via SPAC; market cap has fallen far below $1B</t>
        </is>
      </c>
    </row>
    <row r="478">
      <c r="A478" s="12" t="inlineStr">
        <is>
          <t>Allego</t>
        </is>
      </c>
      <c r="B478" s="12" t="inlineStr">
        <is>
          <t>Batteries, EV, Waste &amp; Water</t>
        </is>
      </c>
      <c r="C478" s="12" t="inlineStr">
        <is>
          <t>desk triage</t>
        </is>
      </c>
      <c r="D478" s="12" t="inlineStr">
        <is>
          <t>Public (NYSE: ALLG), Dutch EV-charging network listed via 2023 SPAC; market cap has collapsed and the company has reported going-concern doubts</t>
        </is>
      </c>
    </row>
    <row r="479">
      <c r="A479" s="12" t="inlineStr">
        <is>
          <t>Beam Global</t>
        </is>
      </c>
      <c r="B479" s="12" t="inlineStr">
        <is>
          <t>Batteries, EV, Waste &amp; Water</t>
        </is>
      </c>
      <c r="C479" s="12" t="inlineStr">
        <is>
          <t>desk triage</t>
        </is>
      </c>
      <c r="D479" s="12" t="inlineStr">
        <is>
          <t>Public (Nasdaq: BEEM), solar EV-charging maker; small-cap with market cap far below $1B</t>
        </is>
      </c>
    </row>
    <row r="480">
      <c r="A480" s="12" t="inlineStr">
        <is>
          <t>Compleo Charging Solutions</t>
        </is>
      </c>
      <c r="B480" s="12" t="inlineStr">
        <is>
          <t>Batteries, EV, Waste &amp; Water</t>
        </is>
      </c>
      <c r="C480" s="12" t="inlineStr">
        <is>
          <t>desk triage</t>
        </is>
      </c>
      <c r="D480" s="12" t="inlineStr">
        <is>
          <t>Filed for insolvency in Dec 2022; per the 2023 insolvency plan, the operating business was transferred to KOSTAL Group, continuing only as a brand/business unit within KOSTAL - no longer an independent company</t>
        </is>
      </c>
    </row>
    <row r="481">
      <c r="A481" s="12" t="inlineStr">
        <is>
          <t>Consolidated Water Co</t>
        </is>
      </c>
      <c r="B481" s="12" t="inlineStr">
        <is>
          <t>Batteries, EV, Waste &amp; Water</t>
        </is>
      </c>
      <c r="C481" s="12" t="inlineStr">
        <is>
          <t>desk triage</t>
        </is>
      </c>
      <c r="D481" s="12" t="inlineStr">
        <is>
          <t>Public (Nasdaq: CWCO), profitable desalination company but small-cap with market cap well below the $1B threshold</t>
        </is>
      </c>
    </row>
    <row r="482">
      <c r="A482" s="12" t="inlineStr">
        <is>
          <t>Fluence Corporation (Water)</t>
        </is>
      </c>
      <c r="B482" s="12" t="inlineStr">
        <is>
          <t>Batteries, EV, Waste &amp; Water</t>
        </is>
      </c>
      <c r="C482" s="12" t="inlineStr">
        <is>
          <t>desk triage</t>
        </is>
      </c>
      <c r="D482" s="12" t="inlineStr">
        <is>
          <t>Public (ASX), small-cap decentralized water/wastewater treatment company with market cap far below $1B</t>
        </is>
      </c>
    </row>
    <row r="483">
      <c r="A483" s="12" t="inlineStr">
        <is>
          <t>Freyr Battery</t>
        </is>
      </c>
      <c r="B483" s="12" t="inlineStr">
        <is>
          <t>Batteries, EV, Waste &amp; Water</t>
        </is>
      </c>
      <c r="C483" s="12" t="inlineStr">
        <is>
          <t>desk triage</t>
        </is>
      </c>
      <c r="D483" s="12" t="inlineStr">
        <is>
          <t>Public (NYSE: FREY), battery gigafactory developer that abandoned its original Norway gigafactory plans and pivoted business models; market cap has collapsed to a small fraction of $1B</t>
        </is>
      </c>
    </row>
    <row r="484">
      <c r="A484" s="12" t="inlineStr">
        <is>
          <t>H2O Innovation</t>
        </is>
      </c>
      <c r="B484" s="12" t="inlineStr">
        <is>
          <t>Batteries, EV, Waste &amp; Water</t>
        </is>
      </c>
      <c r="C484" s="12" t="inlineStr">
        <is>
          <t>desk triage</t>
        </is>
      </c>
      <c r="D484" s="12" t="inlineStr">
        <is>
          <t>Public (TSX), profitable water-treatment company but small-cap with market cap well below $1B</t>
        </is>
      </c>
    </row>
    <row r="485">
      <c r="A485" s="12" t="inlineStr">
        <is>
          <t>Invinity Energy Systems</t>
        </is>
      </c>
      <c r="B485" s="12" t="inlineStr">
        <is>
          <t>Batteries, EV, Waste &amp; Water</t>
        </is>
      </c>
      <c r="C485" s="12" t="inlineStr">
        <is>
          <t>desk triage</t>
        </is>
      </c>
      <c r="D485" s="12" t="inlineStr">
        <is>
          <t>Public (LSE AIM), vanadium flow-battery maker; very small-cap with market cap far below $1B</t>
        </is>
      </c>
    </row>
    <row r="486">
      <c r="A486" s="12" t="inlineStr">
        <is>
          <t>Microvast Holdings</t>
        </is>
      </c>
      <c r="B486" s="12" t="inlineStr">
        <is>
          <t>Batteries, EV, Waste &amp; Water</t>
        </is>
      </c>
      <c r="C486" s="12" t="inlineStr">
        <is>
          <t>desk triage</t>
        </is>
      </c>
      <c r="D486" s="12" t="inlineStr">
        <is>
          <t>Public (Nasdaq: MVST), EV/commercial battery maker with ongoing financial/going-concern struggles and a small market cap well below $1B</t>
        </is>
      </c>
    </row>
    <row r="487">
      <c r="A487" s="12" t="inlineStr">
        <is>
          <t>SES AI</t>
        </is>
      </c>
      <c r="B487" s="12" t="inlineStr">
        <is>
          <t>Batteries, EV, Waste &amp; Water</t>
        </is>
      </c>
      <c r="C487" s="12" t="inlineStr">
        <is>
          <t>desk triage</t>
        </is>
      </c>
      <c r="D487" s="12" t="inlineStr">
        <is>
          <t>Public (NYSE: SES), lithium-metal battery developer; market cap has collapsed to a small fraction of $1B and the business remains essentially pre-revenue</t>
        </is>
      </c>
    </row>
    <row r="488">
      <c r="A488" s="12" t="inlineStr">
        <is>
          <t>Solid Power</t>
        </is>
      </c>
      <c r="B488" s="12" t="inlineStr">
        <is>
          <t>Batteries, EV, Waste &amp; Water</t>
        </is>
      </c>
      <c r="C488" s="12" t="inlineStr">
        <is>
          <t>desk triage</t>
        </is>
      </c>
      <c r="D488" s="12" t="inlineStr">
        <is>
          <t>Public (Nasdaq: SLDP), Ford/BMW-backed solid-state battery developer; market cap well below $1B and the business remains essentially pre-revenue (licensing-stage only)</t>
        </is>
      </c>
    </row>
    <row r="489">
      <c r="A489" s="12" t="inlineStr">
        <is>
          <t>Stem Inc</t>
        </is>
      </c>
      <c r="B489" s="12" t="inlineStr">
        <is>
          <t>Batteries, EV, Waste &amp; Water</t>
        </is>
      </c>
      <c r="C489" s="12" t="inlineStr">
        <is>
          <t>desk triage</t>
        </is>
      </c>
      <c r="D489" s="12" t="inlineStr">
        <is>
          <t>Public (NYSE: STEM), AI battery-storage software company reported to have filed for Chapter 11 bankruptcy in early 2025 amid severe financial distress</t>
        </is>
      </c>
    </row>
    <row r="490">
      <c r="A490" s="12" t="inlineStr">
        <is>
          <t>Zaptec</t>
        </is>
      </c>
      <c r="B490" s="12" t="inlineStr">
        <is>
          <t>Batteries, EV, Waste &amp; Water</t>
        </is>
      </c>
      <c r="C490" s="12" t="inlineStr">
        <is>
          <t>desk triage</t>
        </is>
      </c>
      <c r="D490" s="12" t="inlineStr">
        <is>
          <t>Public (Euronext Growth Oslo), Norwegian smart-EV-charger maker; small-cap with market cap well below $1B</t>
        </is>
      </c>
    </row>
    <row r="491">
      <c r="A491" s="12" t="inlineStr">
        <is>
          <t>Automotive Cells Company (ACC)</t>
        </is>
      </c>
      <c r="B491" s="12" t="inlineStr">
        <is>
          <t>Batteries, EV, Waste &amp; Water</t>
        </is>
      </c>
      <c r="C491" s="12" t="inlineStr">
        <is>
          <t>desk triage</t>
        </is>
      </c>
      <c r="D491" s="12" t="inlineStr">
        <is>
          <t>Battery-gigafactory JV; Mercedes-Benz is a roughly one-third co-owner alongside Stellantis and TotalEnergies/Saft - Mercedes is a 2026 F1 grid team</t>
        </is>
      </c>
    </row>
    <row r="492">
      <c r="A492" s="12" t="inlineStr">
        <is>
          <t>be.ENERGISED (has-to-be)</t>
        </is>
      </c>
      <c r="B492" s="12" t="inlineStr">
        <is>
          <t>Batteries, EV, Waste &amp; Water</t>
        </is>
      </c>
      <c r="C492" s="12" t="inlineStr">
        <is>
          <t>desk triage</t>
        </is>
      </c>
      <c r="D492" s="12" t="inlineStr">
        <is>
          <t>Wholly owned by BP since a 2021 acquisition; BP's Castrol brand is the Official Lubricants Partner of the Mercedes-AMG Petronas F1 team (2026 grid)</t>
        </is>
      </c>
    </row>
    <row r="493">
      <c r="A493" s="12" t="inlineStr">
        <is>
          <t>Bio-UV Group</t>
        </is>
      </c>
      <c r="B493" s="12" t="inlineStr">
        <is>
          <t>Batteries, EV, Waste &amp; Water</t>
        </is>
      </c>
      <c r="C493" s="12" t="inlineStr">
        <is>
          <t>desk triage</t>
        </is>
      </c>
      <c r="D493" s="12" t="inlineStr">
        <is>
          <t>Public (Euronext Growth Paris), French UV water-treatment company; very small-cap with market cap far below $1B</t>
        </is>
      </c>
    </row>
    <row r="494">
      <c r="A494" s="12" t="inlineStr">
        <is>
          <t>Electrify America</t>
        </is>
      </c>
      <c r="B494" s="12" t="inlineStr">
        <is>
          <t>Batteries, EV, Waste &amp; Water</t>
        </is>
      </c>
      <c r="C494" s="12" t="inlineStr">
        <is>
          <t>desk triage</t>
        </is>
      </c>
      <c r="D494" s="12" t="inlineStr">
        <is>
          <t>Wholly owned subsidiary of Volkswagen Group, whose Audi brand is a full 2026 F1 grid team</t>
        </is>
      </c>
    </row>
    <row r="495">
      <c r="A495" s="12" t="inlineStr">
        <is>
          <t>Ionity</t>
        </is>
      </c>
      <c r="B495" s="12" t="inlineStr">
        <is>
          <t>Batteries, EV, Waste &amp; Water</t>
        </is>
      </c>
      <c r="C495" s="12" t="inlineStr">
        <is>
          <t>desk triage</t>
        </is>
      </c>
      <c r="D495" s="12" t="inlineStr">
        <is>
          <t>Pan-European fast-charging JV explicitly co-owned by BMW, Mercedes-Benz, Volkswagen (Audi), Ford, and Hyundai; Mercedes, VW/Audi, and Ford (Red Bull Powertrains partner) are all 2026 F1-grid-linked</t>
        </is>
      </c>
    </row>
    <row r="496">
      <c r="A496" s="12" t="inlineStr">
        <is>
          <t>PowerCo</t>
        </is>
      </c>
      <c r="B496" s="12" t="inlineStr">
        <is>
          <t>Batteries, EV, Waste &amp; Water</t>
        </is>
      </c>
      <c r="C496" s="12" t="inlineStr">
        <is>
          <t>desk triage</t>
        </is>
      </c>
      <c r="D496" s="12" t="inlineStr">
        <is>
          <t>Wholly owned battery-cell subsidiary of Volkswagen Group, whose Audi brand is a full 2026 F1 grid team</t>
        </is>
      </c>
    </row>
    <row r="497">
      <c r="A497" s="12" t="inlineStr">
        <is>
          <t>Aveng Group</t>
        </is>
      </c>
      <c r="B497" s="12" t="inlineStr">
        <is>
          <t xml:space="preserve">Engineering Consultancies &amp; </t>
        </is>
      </c>
      <c r="C497" s="12" t="inlineStr">
        <is>
          <t>desk triage</t>
        </is>
      </c>
      <c r="D497" s="12" t="inlineStr">
        <is>
          <t>JSE-listed but market cap is well below $1B after years of financial distress; fails valuation filter.</t>
        </is>
      </c>
    </row>
    <row r="498">
      <c r="A498" s="12" t="inlineStr">
        <is>
          <t>SMEC</t>
        </is>
      </c>
      <c r="B498" s="12" t="inlineStr">
        <is>
          <t xml:space="preserve">Engineering Consultancies &amp; </t>
        </is>
      </c>
      <c r="C498" s="12" t="inlineStr">
        <is>
          <t>desk triage</t>
        </is>
      </c>
      <c r="D498" s="12" t="inlineStr">
        <is>
          <t>Ultimate parent Surbana Jurong is wholly owned by Temasek Holdings (Singapore's sovereign wealth fund) - majority state/sovereign ownership.</t>
        </is>
      </c>
    </row>
    <row r="499">
      <c r="A499" s="12" t="inlineStr">
        <is>
          <t>Murray &amp; Roberts</t>
        </is>
      </c>
      <c r="B499" s="12" t="inlineStr">
        <is>
          <t xml:space="preserve">Engineering Consultancies &amp; </t>
        </is>
      </c>
      <c r="C499" s="12" t="inlineStr">
        <is>
          <t>desk triage</t>
        </is>
      </c>
      <c r="D499" s="12" t="inlineStr">
        <is>
          <t>Entered business-rescue/restructuring proceedings (2024) tied to its mining services business; capacity to spend is not credible.</t>
        </is>
      </c>
    </row>
    <row r="500">
      <c r="A500" s="12" t="inlineStr">
        <is>
          <t>Mobico Group (National Express)</t>
        </is>
      </c>
      <c r="B500" s="12" t="inlineStr">
        <is>
          <t>Rail, Transit &amp; Road Infra</t>
        </is>
      </c>
      <c r="C500" s="12" t="inlineStr">
        <is>
          <t>desk triage</t>
        </is>
      </c>
      <c r="D500" s="12" t="inlineStr">
        <is>
          <t>LSE-listed but suffered a severe 2023-24 crisis (profit warnings, covenant breaches, North American school-bus impairments); share price collapsed and market cap fell well below $1B.</t>
        </is>
      </c>
    </row>
    <row r="501">
      <c r="A501" s="12" t="inlineStr">
        <is>
          <t>FreightCar America</t>
        </is>
      </c>
      <c r="B501" s="12" t="inlineStr">
        <is>
          <t>Rail, Transit &amp; Road Infra</t>
        </is>
      </c>
      <c r="C501" s="12" t="inlineStr">
        <is>
          <t>desk triage</t>
        </is>
      </c>
      <c r="D501" s="12" t="inlineStr">
        <is>
          <t>Nasdaq-listed but a long-standing small/micro-cap with market cap well below $1B.</t>
        </is>
      </c>
    </row>
    <row r="502">
      <c r="A502" s="12" t="inlineStr">
        <is>
          <t>Intramotev</t>
        </is>
      </c>
      <c r="B502" s="12" t="inlineStr">
        <is>
          <t>Rail, Transit &amp; Road Infra</t>
        </is>
      </c>
      <c r="C502" s="12" t="inlineStr">
        <is>
          <t>desk triage</t>
        </is>
      </c>
      <c r="D502" s="12" t="inlineStr">
        <is>
          <t>Very early-stage VC-backed startup (51-100 employees) building autonomous rail cars; revenue and valuation are both far below the required thresholds - effectively pre-revenue/early-revenue.</t>
        </is>
      </c>
    </row>
    <row r="503">
      <c r="A503" s="12" t="inlineStr">
        <is>
          <t>Kapsch TrafficCom</t>
        </is>
      </c>
      <c r="B503" s="12" t="inlineStr">
        <is>
          <t>Rail, Transit &amp; Road Infra</t>
        </is>
      </c>
      <c r="C503" s="12" t="inlineStr">
        <is>
          <t>desk triage</t>
        </is>
      </c>
      <c r="D503" s="12" t="inlineStr">
        <is>
          <t>Vienna-listed but has suffered severe, well-documented financial distress and restructuring in recent years; market cap has collapsed to well below $1B.</t>
        </is>
      </c>
    </row>
    <row r="504">
      <c r="A504" s="12" t="inlineStr">
        <is>
          <t>Nevomo</t>
        </is>
      </c>
      <c r="B504" s="12" t="inlineStr">
        <is>
          <t>Rail, Transit &amp; Road Infra</t>
        </is>
      </c>
      <c r="C504" s="12" t="inlineStr">
        <is>
          <t>desk triage</t>
        </is>
      </c>
      <c r="D504" s="12" t="inlineStr">
        <is>
          <t>Very early-stage MagRail/hyperloop-adjacent deep-tech startup; pre-revenue/pilot stage, far below the revenue and valuation thresholds.</t>
        </is>
      </c>
    </row>
    <row r="505">
      <c r="A505" s="12" t="inlineStr">
        <is>
          <t>Q-Free</t>
        </is>
      </c>
      <c r="B505" s="12" t="inlineStr">
        <is>
          <t>Rail, Transit &amp; Road Infra</t>
        </is>
      </c>
      <c r="C505" s="12" t="inlineStr">
        <is>
          <t>desk triage</t>
        </is>
      </c>
      <c r="D505" s="12" t="inlineStr">
        <is>
          <t>Oslo-listed small-cap tolling/traffic-tech firm; revenue and market cap have both long been well below the required thresholds.</t>
        </is>
      </c>
    </row>
    <row r="506">
      <c r="A506" s="12" t="inlineStr">
        <is>
          <t>Sensys Gatso Group</t>
        </is>
      </c>
      <c r="B506" s="12" t="inlineStr">
        <is>
          <t>Rail, Transit &amp; Road Infra</t>
        </is>
      </c>
      <c r="C506" s="12" t="inlineStr">
        <is>
          <t>desk triage</t>
        </is>
      </c>
      <c r="D506" s="12" t="inlineStr">
        <is>
          <t>Nasdaq Stockholm-listed small-cap traffic-safety-tech firm; revenue and market cap have long been well below the required thresholds.</t>
        </is>
      </c>
    </row>
    <row r="507">
      <c r="A507" s="12" t="inlineStr">
        <is>
          <t>MTR Corporation</t>
        </is>
      </c>
      <c r="B507" s="12" t="inlineStr">
        <is>
          <t>Rail, Transit &amp; Road Infra</t>
        </is>
      </c>
      <c r="C507" s="12" t="inlineStr">
        <is>
          <t>desk triage</t>
        </is>
      </c>
      <c r="D507" s="12" t="inlineStr">
        <is>
          <t>Majority owned (~75%) by the Hong Kong SAR Government despite its market listing - majority state/sovereign ownership.</t>
        </is>
      </c>
    </row>
    <row r="508">
      <c r="A508" s="12" t="inlineStr">
        <is>
          <t>Transdev</t>
        </is>
      </c>
      <c r="B508" s="12" t="inlineStr">
        <is>
          <t>Rail, Transit &amp; Road Infra</t>
        </is>
      </c>
      <c r="C508" s="12" t="inlineStr">
        <is>
          <t>desk triage</t>
        </is>
      </c>
      <c r="D508" s="12" t="inlineStr">
        <is>
          <t>Majority owned (~66%) by Caisse des Dépôts, a French state-linked public financial institution - majority state/sovereign ownership.</t>
        </is>
      </c>
    </row>
    <row r="509">
      <c r="A509" s="12" t="inlineStr">
        <is>
          <t>RailVision</t>
        </is>
      </c>
      <c r="B509" s="12" t="inlineStr">
        <is>
          <t>Rail, Transit &amp; Road Infra</t>
        </is>
      </c>
      <c r="C509" s="12" t="inlineStr">
        <is>
          <t>desk triage</t>
        </is>
      </c>
      <c r="D509" s="12" t="inlineStr">
        <is>
          <t>Nasdaq-listed micro-cap (RVSN) with minimal revenue and a market cap well below $1B.</t>
        </is>
      </c>
    </row>
    <row r="510">
      <c r="A510" s="12" t="inlineStr">
        <is>
          <t>Wolseley Canada</t>
        </is>
      </c>
      <c r="B510" s="12" t="inlineStr">
        <is>
          <t>Industrial &amp; MRO Distributio</t>
        </is>
      </c>
      <c r="C510" s="12" t="inlineStr">
        <is>
          <t>desk triage</t>
        </is>
      </c>
      <c r="D510" s="12" t="inlineStr">
        <is>
          <t>Acquired by Sonepar Group in 2022 and absorbed into its network - no longer an independent standalone company.</t>
        </is>
      </c>
    </row>
    <row r="511">
      <c r="A511" s="12" t="inlineStr">
        <is>
          <t>HD Supply</t>
        </is>
      </c>
      <c r="B511" s="12" t="inlineStr">
        <is>
          <t>Industrial &amp; MRO Distributio</t>
        </is>
      </c>
      <c r="C511" s="12" t="inlineStr">
        <is>
          <t>desk triage</t>
        </is>
      </c>
      <c r="D511" s="12" t="inlineStr">
        <is>
          <t>Acquired by The Home Depot in December 2020 and delisted - no longer an independent company.</t>
        </is>
      </c>
    </row>
    <row r="512">
      <c r="A512" s="12" t="inlineStr">
        <is>
          <t>Fox Robotics</t>
        </is>
      </c>
      <c r="B512" s="12" t="inlineStr">
        <is>
          <t>Intralogistics &amp; Warehouse A</t>
        </is>
      </c>
      <c r="C512" s="12" t="inlineStr">
        <is>
          <t>desk triage</t>
        </is>
      </c>
      <c r="D512" s="12" t="inlineStr">
        <is>
          <t>Filter 4 (capacity to spend / pre-revenue): early-stage autonomous-forklift startup (Series A funded, ~2022), still at pilot-deployment stage; revenue far below scale needed.</t>
        </is>
      </c>
    </row>
    <row r="513">
      <c r="A513" s="12" t="inlineStr">
        <is>
          <t>XYZ Robotics</t>
        </is>
      </c>
      <c r="B513" s="12" t="inlineStr">
        <is>
          <t>Intralogistics &amp; Warehouse A</t>
        </is>
      </c>
      <c r="C513" s="12" t="inlineStr">
        <is>
          <t>desk triage</t>
        </is>
      </c>
      <c r="D513" s="12" t="inlineStr">
        <is>
          <t>Filter 4 (capacity to spend / pre-revenue): early-stage AI piece-picking robotics startup, still at pilot-deployment stage; revenue far below scale needed.</t>
        </is>
      </c>
    </row>
    <row r="514">
      <c r="A514" s="12" t="inlineStr">
        <is>
          <t>iRobot Corporation</t>
        </is>
      </c>
      <c r="B514" s="12" t="inlineStr">
        <is>
          <t>Consumer Electronics &amp; Audio</t>
        </is>
      </c>
      <c r="C514" s="12" t="inlineStr">
        <is>
          <t>desk triage</t>
        </is>
      </c>
      <c r="D514" s="12" t="inlineStr">
        <is>
          <t>Filter 4 (capacity to spend): public company (NASDAQ:IRBT) in severe financial distress - Amazon acquisition terminated Jan 2024, ~1/3 staff layoffs, declining revenue and large losses; not profitable/improving.</t>
        </is>
      </c>
    </row>
    <row r="515">
      <c r="A515" s="12" t="inlineStr">
        <is>
          <t>Vizio Holding Corp.</t>
        </is>
      </c>
      <c r="B515" s="12" t="inlineStr">
        <is>
          <t>Consumer Electronics &amp; Audio</t>
        </is>
      </c>
      <c r="C515" s="12" t="inlineStr">
        <is>
          <t>desk triage</t>
        </is>
      </c>
      <c r="D515" s="12" t="inlineStr">
        <is>
          <t>Filter 7 (acquired/merged away): Vizio Holding Corp. was acquired by Walmart (deal completed Dec 2024); no longer an independent public company.</t>
        </is>
      </c>
    </row>
    <row r="516">
      <c r="A516" s="12" t="inlineStr">
        <is>
          <t>Kraton Corporation</t>
        </is>
      </c>
      <c r="B516" s="12" t="inlineStr">
        <is>
          <t>Specialty Chemicals &amp; Coatin</t>
        </is>
      </c>
      <c r="C516" s="12" t="inlineStr">
        <is>
          <t>desk triage</t>
        </is>
      </c>
      <c r="D516" s="12" t="inlineStr">
        <is>
          <t>Filter 7 (acquired/merged away): Kraton Corporation (formerly NYSE:KRA) was acquired by DL Chemical/DL Holdings (South Korea) in 2022 and taken private/delisted.</t>
        </is>
      </c>
    </row>
    <row r="517">
      <c r="A517" s="12" t="inlineStr">
        <is>
          <t>Ferro (Prince International)</t>
        </is>
      </c>
      <c r="B517" s="12" t="inlineStr">
        <is>
          <t>Specialty Chemicals &amp; Coatin</t>
        </is>
      </c>
      <c r="C517" s="12" t="inlineStr">
        <is>
          <t>desk triage</t>
        </is>
      </c>
      <c r="D517" s="12" t="inlineStr">
        <is>
          <t>Filter 7 (acquired/merged away): Ferro Corporation (formerly NYSE:FOE) was acquired by Prince International Corp (backed by American Securities) in 2022 and taken private/delisted.</t>
        </is>
      </c>
    </row>
    <row r="518">
      <c r="A518" s="12" t="inlineStr">
        <is>
          <t>Trinseo PLC</t>
        </is>
      </c>
      <c r="B518" s="12" t="inlineStr">
        <is>
          <t>Specialty Chemicals &amp; Coatin</t>
        </is>
      </c>
      <c r="C518" s="12" t="inlineStr">
        <is>
          <t>desk triage</t>
        </is>
      </c>
      <c r="D518" s="12" t="inlineStr">
        <is>
          <t>Filter 4 (capacity to spend): public company (NYSE:TSE) with well-documented financial distress - high leverage from the Arkema styrenics acquisition and going-concern-type doubts reported in 2023-2024; not profitable/improving.</t>
        </is>
      </c>
    </row>
    <row r="519">
      <c r="A519" s="12" t="inlineStr">
        <is>
          <t>Venator Materials</t>
        </is>
      </c>
      <c r="B519" s="12" t="inlineStr">
        <is>
          <t>Specialty Chemicals &amp; Coatin</t>
        </is>
      </c>
      <c r="C519" s="12" t="inlineStr">
        <is>
          <t>desk triage</t>
        </is>
      </c>
      <c r="D519" s="12" t="inlineStr">
        <is>
          <t>Filter 7 (defunct/reorganized): Venator Materials filed for Chapter 11 bankruptcy in May 2023 and was reorganized/restructured under creditor ownership.</t>
        </is>
      </c>
    </row>
    <row r="520">
      <c r="A520" s="12" t="inlineStr">
        <is>
          <t>Kelly-Moore Paints</t>
        </is>
      </c>
      <c r="B520" s="12" t="inlineStr">
        <is>
          <t>Specialty Chemicals &amp; Coatin</t>
        </is>
      </c>
      <c r="C520" s="12" t="inlineStr">
        <is>
          <t>desk triage</t>
        </is>
      </c>
      <c r="D520" s="12" t="inlineStr">
        <is>
          <t>Filter 7 (defunct): Kelly-Moore Paints filed for Chapter 11 bankruptcy in Dec 2023 due to legacy asbestos liabilities and ceased paint manufacturing/retail operations.</t>
        </is>
      </c>
    </row>
    <row r="521">
      <c r="A521" s="12" t="inlineStr">
        <is>
          <t>Ipone</t>
        </is>
      </c>
      <c r="B521" s="12" t="inlineStr">
        <is>
          <t>Specialty Chemicals &amp; Coatin</t>
        </is>
      </c>
      <c r="C521" s="12" t="inlineStr">
        <is>
          <t>desk triage</t>
        </is>
      </c>
      <c r="D521" s="12" t="inlineStr">
        <is>
          <t>Filter 2 (revenue): very small (80-150 staff) single-purpose motorcycle-racing-lubricant blender; niche motorsport-enthusiast market is inherently small-scale, unlikely to clear $100M revenue.</t>
        </is>
      </c>
    </row>
    <row r="522">
      <c r="A522" s="12" t="inlineStr">
        <is>
          <t>Klotz Synthetic Lubricants</t>
        </is>
      </c>
      <c r="B522" s="12" t="inlineStr">
        <is>
          <t>Specialty Chemicals &amp; Coatin</t>
        </is>
      </c>
      <c r="C522" s="12" t="inlineStr">
        <is>
          <t>desk triage</t>
        </is>
      </c>
      <c r="D522" s="12" t="inlineStr">
        <is>
          <t>Filter 2 (revenue): very small (60-100 staff) single-purpose racing-lubricant blender; niche motorsport-enthusiast market is inherently small-scale, unlikely to clear $100M revenue.</t>
        </is>
      </c>
    </row>
    <row r="523">
      <c r="A523" s="12" t="inlineStr">
        <is>
          <t>Maxima Racing Oils</t>
        </is>
      </c>
      <c r="B523" s="12" t="inlineStr">
        <is>
          <t>Specialty Chemicals &amp; Coatin</t>
        </is>
      </c>
      <c r="C523" s="12" t="inlineStr">
        <is>
          <t>desk triage</t>
        </is>
      </c>
      <c r="D523" s="12" t="inlineStr">
        <is>
          <t>Filter 2 (revenue): very small (80-150 staff) single-purpose racing-lubricant blender; niche motorsport-enthusiast market is inherently small-scale, unlikely to clear $100M revenue.</t>
        </is>
      </c>
    </row>
    <row r="524">
      <c r="A524" s="12" t="inlineStr">
        <is>
          <t>Ultra Mobile</t>
        </is>
      </c>
      <c r="B524" s="12" t="inlineStr">
        <is>
          <t>Private 5G &amp; Telecom Equipme</t>
        </is>
      </c>
      <c r="C524" s="12" t="inlineStr">
        <is>
          <t>desk triage</t>
        </is>
      </c>
      <c r="D524" s="12" t="inlineStr">
        <is>
          <t>Filter 7 (acquired/merged away): Ultra Mobile (via parent Ka'ena Corp, alongside Mint Mobile) was acquired by T-Mobile in 2023; no longer an independent entity.</t>
        </is>
      </c>
    </row>
    <row r="525">
      <c r="A525" s="12" t="inlineStr">
        <is>
          <t>UTStarcom</t>
        </is>
      </c>
      <c r="B525" s="12" t="inlineStr">
        <is>
          <t>Private 5G &amp; Telecom Equipme</t>
        </is>
      </c>
      <c r="C525" s="12" t="inlineStr">
        <is>
          <t>desk triage</t>
        </is>
      </c>
      <c r="D525" s="12" t="inlineStr">
        <is>
          <t>Filter 2 (revenue): once-large telecom-equipment maker (NASDAQ:UTSI) has shrunk dramatically from its 2000s peak; recent public filings show revenue in the low tens of millions, far below $100M.</t>
        </is>
      </c>
    </row>
    <row r="526">
      <c r="A526" s="12" t="inlineStr">
        <is>
          <t>Airspan Networks</t>
        </is>
      </c>
      <c r="B526" s="12" t="inlineStr">
        <is>
          <t>Private 5G &amp; Telecom Equipme</t>
        </is>
      </c>
      <c r="C526" s="12" t="inlineStr">
        <is>
          <t>desk triage</t>
        </is>
      </c>
      <c r="D526" s="12" t="inlineStr">
        <is>
          <t>Filter 7 (defunct/reorganized): Airspan Networks filed for Chapter 11 bankruptcy in June 2024 and was restructured under new ownership (Fortress Investment Group).</t>
        </is>
      </c>
    </row>
    <row r="527">
      <c r="A527" s="12" t="inlineStr">
        <is>
          <t>DZS Inc</t>
        </is>
      </c>
      <c r="B527" s="12" t="inlineStr">
        <is>
          <t>Private 5G &amp; Telecom Equipme</t>
        </is>
      </c>
      <c r="C527" s="12" t="inlineStr">
        <is>
          <t>desk triage</t>
        </is>
      </c>
      <c r="D527" s="12" t="inlineStr">
        <is>
          <t>Filter 4 (capacity to spend): public company (NASDAQ:DZSI) with well-documented financial distress - accounting/revenue-recognition issues, SEC scrutiny, delayed filings, and a large customer-default write-off in 2023-2024; not profitable/improving.</t>
        </is>
      </c>
    </row>
    <row r="528">
      <c r="A528" s="12" t="inlineStr">
        <is>
          <t>Anterix</t>
        </is>
      </c>
      <c r="B528" s="12" t="inlineStr">
        <is>
          <t>Private 5G &amp; Telecom Equipme</t>
        </is>
      </c>
      <c r="C528" s="12" t="inlineStr">
        <is>
          <t>desk triage</t>
        </is>
      </c>
      <c r="D528" s="12" t="inlineStr">
        <is>
          <t>Filter 2/4 (revenue/capacity): public micro-cap (NASDAQ:ATEX) whose business model relies on episodic spectrum-licensing transactions rather than recurring revenue at scale; minimal/pre-scale revenue, historically unprofitable.</t>
        </is>
      </c>
    </row>
    <row r="529">
      <c r="A529" s="12" t="inlineStr">
        <is>
          <t>Flexiroam</t>
        </is>
      </c>
      <c r="B529" s="12" t="inlineStr">
        <is>
          <t>Private 5G &amp; Telecom Equipme</t>
        </is>
      </c>
      <c r="C529" s="12" t="inlineStr">
        <is>
          <t>desk triage</t>
        </is>
      </c>
      <c r="D529" s="12" t="inlineStr">
        <is>
          <t>Filter 2 (revenue): public micro-cap (ASX:FRX) with reported revenue in the tens of millions AUD, well below $100M, historically loss-making.</t>
        </is>
      </c>
    </row>
    <row r="530">
      <c r="A530" s="12" t="inlineStr">
        <is>
          <t>DragonWave-X</t>
        </is>
      </c>
      <c r="B530" s="12" t="inlineStr">
        <is>
          <t>Private 5G &amp; Telecom Equipme</t>
        </is>
      </c>
      <c r="C530" s="12" t="inlineStr">
        <is>
          <t>desk triage</t>
        </is>
      </c>
      <c r="D530" s="12" t="inlineStr">
        <is>
          <t>Filter 7 (defunct/reorganized): predecessor DragonWave Inc. underwent insolvency/CCAA restructuring in 2017; the current '-X' entity is a much smaller successor, revenue far below the scale needed.</t>
        </is>
      </c>
    </row>
    <row r="531">
      <c r="A531" s="12" t="inlineStr">
        <is>
          <t>Montana Instruments</t>
        </is>
      </c>
      <c r="B531" s="12" t="inlineStr">
        <is>
          <t>Quantum Computing</t>
        </is>
      </c>
      <c r="C531" s="12" t="inlineStr">
        <is>
          <t>desk triage</t>
        </is>
      </c>
      <c r="D531" s="12" t="inlineStr">
        <is>
          <t>Filter 7 (acquired/merged away): Montana Instruments was acquired by Atlas Copco (Aug 2022); no longer independent. Input employee estimate (10,000+) appears to reflect parent Atlas Copco's headcount, not Montana Instruments' own.</t>
        </is>
      </c>
    </row>
    <row r="532">
      <c r="A532" s="12" t="inlineStr">
        <is>
          <t>Riverlane</t>
        </is>
      </c>
      <c r="B532" s="12" t="inlineStr">
        <is>
          <t>Quantum Computing</t>
        </is>
      </c>
      <c r="C532" s="12" t="inlineStr">
        <is>
          <t>desk triage</t>
        </is>
      </c>
      <c r="D532" s="12" t="inlineStr">
        <is>
          <t>Filter 2 (revenue): VC-backed quantum error-correction software company; the underlying market (large-scale fault-tolerant quantum computers) is not yet commercially deployed, so revenue/ARR is very likely far below the $100M/$50M thresholds despite meaningful funding raised.</t>
        </is>
      </c>
    </row>
    <row r="533">
      <c r="A533" s="12" t="inlineStr">
        <is>
          <t>Sivers Semiconductors</t>
        </is>
      </c>
      <c r="B533" s="12" t="inlineStr">
        <is>
          <t>Quantum Computing</t>
        </is>
      </c>
      <c r="C533" s="12" t="inlineStr">
        <is>
          <t>desk triage</t>
        </is>
      </c>
      <c r="D533" s="12" t="inlineStr">
        <is>
          <t>Filter 2 (revenue): public small-cap (Nasdaq Stockholm:SIVE) with revenue reported in the low tens of millions, well below the $100M threshold.</t>
        </is>
      </c>
    </row>
    <row r="534">
      <c r="A534" s="12" t="inlineStr">
        <is>
          <t>Zurich Instruments</t>
        </is>
      </c>
      <c r="B534" s="12" t="inlineStr">
        <is>
          <t>Quantum Computing</t>
        </is>
      </c>
      <c r="C534" s="12" t="inlineStr">
        <is>
          <t>desk triage</t>
        </is>
      </c>
      <c r="D534" s="12" t="inlineStr">
        <is>
          <t>Filter 7 (acquired/merged away): Zurich Instruments was acquired by Rohde &amp; Schwarz in 2021; no longer independent.</t>
        </is>
      </c>
    </row>
    <row r="535">
      <c r="A535" s="12" t="inlineStr">
        <is>
          <t>Anyon Systems</t>
        </is>
      </c>
      <c r="B535" s="12" t="inlineStr">
        <is>
          <t>Quantum Computing</t>
        </is>
      </c>
      <c r="C535" s="12" t="inlineStr">
        <is>
          <t>desk triage</t>
        </is>
      </c>
      <c r="D535" s="12" t="inlineStr">
        <is>
          <t>Filter 2 (revenue): very early-stage quantum-computer-hardware startup (51-100 staff); commercial quantum-computing revenue remains industry-wide nascent even at the largest players, unlikely to clear $100M/$50M-ARR thresholds.</t>
        </is>
      </c>
    </row>
    <row r="536">
      <c r="A536" s="12" t="inlineStr">
        <is>
          <t>ISARA Corporation</t>
        </is>
      </c>
      <c r="B536" s="12" t="inlineStr">
        <is>
          <t>Quantum Computing</t>
        </is>
      </c>
      <c r="C536" s="12" t="inlineStr">
        <is>
          <t>desk triage</t>
        </is>
      </c>
      <c r="D536" s="12" t="inlineStr">
        <is>
          <t>Filter 2 (revenue): small (51-100 staff) VC-backed post-quantum-cryptography software startup; despite growing PQC-market urgency, revenue is estimated well below the $100M/$50M-ARR thresholds at this scale.</t>
        </is>
      </c>
    </row>
    <row r="537">
      <c r="A537" s="12" t="inlineStr">
        <is>
          <t>Qblox</t>
        </is>
      </c>
      <c r="B537" s="12" t="inlineStr">
        <is>
          <t>Quantum Computing</t>
        </is>
      </c>
      <c r="C537" s="12" t="inlineStr">
        <is>
          <t>desk triage</t>
        </is>
      </c>
      <c r="D537" s="12" t="inlineStr">
        <is>
          <t>Filter 2 (revenue): small early-stage quantum control-electronics startup (51-100 staff); revenue estimated well below thresholds.</t>
        </is>
      </c>
    </row>
    <row r="538">
      <c r="A538" s="12" t="inlineStr">
        <is>
          <t>Qedma</t>
        </is>
      </c>
      <c r="B538" s="12" t="inlineStr">
        <is>
          <t>Quantum Computing</t>
        </is>
      </c>
      <c r="C538" s="12" t="inlineStr">
        <is>
          <t>desk triage</t>
        </is>
      </c>
      <c r="D538" s="12" t="inlineStr">
        <is>
          <t>Filter 2 (revenue): small early-stage quantum error-suppression software startup (51-100 staff); revenue estimated well below thresholds.</t>
        </is>
      </c>
    </row>
    <row r="539">
      <c r="A539" s="12" t="inlineStr">
        <is>
          <t>QNu Labs</t>
        </is>
      </c>
      <c r="B539" s="12" t="inlineStr">
        <is>
          <t>Quantum Computing</t>
        </is>
      </c>
      <c r="C539" s="12" t="inlineStr">
        <is>
          <t>desk triage</t>
        </is>
      </c>
      <c r="D539" s="12" t="inlineStr">
        <is>
          <t>Filter 2 (revenue): small early-stage Indian QKD/QRNG startup (80-150 staff); revenue estimated well below thresholds; possible customer concentration among government/defense-linked buyers.</t>
        </is>
      </c>
    </row>
    <row r="540">
      <c r="A540" s="12" t="inlineStr">
        <is>
          <t>Qrypt</t>
        </is>
      </c>
      <c r="B540" s="12" t="inlineStr">
        <is>
          <t>Quantum Computing</t>
        </is>
      </c>
      <c r="C540" s="12" t="inlineStr">
        <is>
          <t>desk triage</t>
        </is>
      </c>
      <c r="D540" s="12" t="inlineStr">
        <is>
          <t>Filter 2 (revenue): small early-stage quantum-secure-encryption startup (51-100 staff); revenue estimated well below thresholds.</t>
        </is>
      </c>
    </row>
    <row r="541">
      <c r="A541" s="12" t="inlineStr">
        <is>
          <t>QuSecure</t>
        </is>
      </c>
      <c r="B541" s="12" t="inlineStr">
        <is>
          <t>Quantum Computing</t>
        </is>
      </c>
      <c r="C541" s="12" t="inlineStr">
        <is>
          <t>desk triage</t>
        </is>
      </c>
      <c r="D541" s="12" t="inlineStr">
        <is>
          <t>Filter 2 (revenue): small early-stage post-quantum-cybersecurity startup (51-100 staff) with government/defense pilot contracts; revenue estimated well below thresholds; possible customer concentration.</t>
        </is>
      </c>
    </row>
    <row r="542">
      <c r="A542" s="12" t="inlineStr">
        <is>
          <t>Strangeworks</t>
        </is>
      </c>
      <c r="B542" s="12" t="inlineStr">
        <is>
          <t>Quantum Computing</t>
        </is>
      </c>
      <c r="C542" s="12" t="inlineStr">
        <is>
          <t>desk triage</t>
        </is>
      </c>
      <c r="D542" s="12" t="inlineStr">
        <is>
          <t>Filter 2 (revenue): small early-stage quantum-software-platform/orchestration startup (51-100 staff); underlying end market still nascent, revenue estimated well below thresholds.</t>
        </is>
      </c>
    </row>
    <row r="543">
      <c r="A543" s="12" t="inlineStr">
        <is>
          <t>Arqit Quantum</t>
        </is>
      </c>
      <c r="B543" s="12" t="inlineStr">
        <is>
          <t>Quantum Computing</t>
        </is>
      </c>
      <c r="C543" s="12" t="inlineStr">
        <is>
          <t>desk triage</t>
        </is>
      </c>
      <c r="D543" s="12" t="inlineStr">
        <is>
          <t>Filter 4 (capacity to spend): public company (NASDAQ:ARQQ, SPAC-listed 2021) faced short-seller allegations in 2022 questioning its customer and technology claims; minimal reported commercial revenue; not profitable/improving.</t>
        </is>
      </c>
    </row>
    <row r="544">
      <c r="A544" s="12" t="inlineStr">
        <is>
          <t>EeroQ</t>
        </is>
      </c>
      <c r="B544" s="12" t="inlineStr">
        <is>
          <t>Quantum Computing</t>
        </is>
      </c>
      <c r="C544" s="12" t="inlineStr">
        <is>
          <t>desk triage</t>
        </is>
      </c>
      <c r="D544" s="12" t="inlineStr">
        <is>
          <t>Filter 2 (revenue): very early-stage electron-on-helium quantum-computing research startup (51-100 staff); pre-commercial-scale revenue.</t>
        </is>
      </c>
    </row>
    <row r="545">
      <c r="A545" s="12" t="inlineStr">
        <is>
          <t>Oxford Ionics</t>
        </is>
      </c>
      <c r="B545" s="12" t="inlineStr">
        <is>
          <t>Quantum Computing</t>
        </is>
      </c>
      <c r="C545" s="12" t="inlineStr">
        <is>
          <t>desk triage</t>
        </is>
      </c>
      <c r="D545" s="12" t="inlineStr">
        <is>
          <t>Filter 7 (acquired/merged away): Oxford Ionics was acquired by IonQ in 2025 (~$1.075B deal); no longer independent.</t>
        </is>
      </c>
    </row>
    <row r="546">
      <c r="A546" s="12" t="inlineStr">
        <is>
          <t>Quantum Brilliance</t>
        </is>
      </c>
      <c r="B546" s="12" t="inlineStr">
        <is>
          <t>Quantum Computing</t>
        </is>
      </c>
      <c r="C546" s="12" t="inlineStr">
        <is>
          <t>desk triage</t>
        </is>
      </c>
      <c r="D546" s="12" t="inlineStr">
        <is>
          <t>Filter 2 (revenue): small early-stage diamond-based quantum-accelerator startup (100-150 staff); underlying end market still nascent, revenue estimated well below thresholds.</t>
        </is>
      </c>
    </row>
    <row r="547">
      <c r="A547" s="12" t="inlineStr">
        <is>
          <t>Quantum Computing Inc</t>
        </is>
      </c>
      <c r="B547" s="12" t="inlineStr">
        <is>
          <t>Quantum Computing</t>
        </is>
      </c>
      <c r="C547" s="12" t="inlineStr">
        <is>
          <t>desk triage</t>
        </is>
      </c>
      <c r="D547" s="12" t="inlineStr">
        <is>
          <t>Filter 4 (capacity to spend): public micro-cap (NASDAQ:QUBT), speculative/volatile 'penny stock' profile with minimal reported revenue and heavy share dilution/ATM offerings; not profitable/improving.</t>
        </is>
      </c>
    </row>
    <row r="548">
      <c r="A548" s="12" t="inlineStr">
        <is>
          <t>Quantum Motion</t>
        </is>
      </c>
      <c r="B548" s="12" t="inlineStr">
        <is>
          <t>Quantum Computing</t>
        </is>
      </c>
      <c r="C548" s="12" t="inlineStr">
        <is>
          <t>desk triage</t>
        </is>
      </c>
      <c r="D548" s="12" t="inlineStr">
        <is>
          <t>Filter 2 (revenue): small early-stage silicon spin-qubit quantum-computing startup (51-100 staff); underlying end market still nascent, revenue estimated well below thresholds.</t>
        </is>
      </c>
    </row>
    <row r="549">
      <c r="A549" s="12" t="inlineStr">
        <is>
          <t>Quside Technologies</t>
        </is>
      </c>
      <c r="B549" s="12" t="inlineStr">
        <is>
          <t>Quantum Computing</t>
        </is>
      </c>
      <c r="C549" s="12" t="inlineStr">
        <is>
          <t>desk triage</t>
        </is>
      </c>
      <c r="D549" s="12" t="inlineStr">
        <is>
          <t>Filter 2 (revenue): small early-stage QRNG/photonic-chip startup (51-100 staff); revenue estimated well below thresholds.</t>
        </is>
      </c>
    </row>
    <row r="550">
      <c r="A550" s="12" t="inlineStr">
        <is>
          <t>Silicon Quantum Computing</t>
        </is>
      </c>
      <c r="B550" s="12" t="inlineStr">
        <is>
          <t>Quantum Computing</t>
        </is>
      </c>
      <c r="C550" s="12" t="inlineStr">
        <is>
          <t>desk triage</t>
        </is>
      </c>
      <c r="D550" s="12" t="inlineStr">
        <is>
          <t>Filter 2 (revenue): small early-stage atom-scale quantum-computing startup (51-100 staff); underlying end market still nascent, revenue estimated well below thresholds. (Has strategic/government investors but not majority state-owned.)</t>
        </is>
      </c>
    </row>
    <row r="551">
      <c r="A551" s="12" t="inlineStr">
        <is>
          <t>Universal Quantum</t>
        </is>
      </c>
      <c r="B551" s="12" t="inlineStr">
        <is>
          <t>Quantum Computing</t>
        </is>
      </c>
      <c r="C551" s="12" t="inlineStr">
        <is>
          <t>desk triage</t>
        </is>
      </c>
      <c r="D551" s="12" t="inlineStr">
        <is>
          <t>Filter 2 (revenue): small early-stage modular trapped-ion quantum-computer startup (80-150 staff); underlying end market still nascent, revenue estimated well below thresholds.</t>
        </is>
      </c>
    </row>
  </sheetData>
  <autoFilter ref="A3:D55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50" customWidth="1" min="1" max="1"/>
  </cols>
  <sheetData>
    <row r="1">
      <c r="A1" s="1" t="inlineStr">
        <is>
          <t>CHANGE LOG - everything done in this engagement, in order</t>
        </is>
      </c>
    </row>
    <row r="2">
      <c r="A2" s="2" t="inlineStr"/>
    </row>
    <row r="3">
      <c r="A3" s="13" t="inlineStr">
        <is>
          <t>PART 1 - MASTER GAP-FILL (F1-MASTER-CONSOLIDATED-2026-09.xlsx)</t>
        </is>
      </c>
    </row>
    <row r="4">
      <c r="A4" s="2" t="inlineStr">
        <is>
          <t>Wave 2 - Financial (20 Sep): 34 verified brands merged (Banking &amp; Insurance +33, Trading &amp; Crypto +1; Fintech had zero genuine misses).</t>
        </is>
      </c>
    </row>
    <row r="5">
      <c r="A5" s="2" t="inlineStr">
        <is>
          <t>Every merged row is fully web-verified (revenue + valuation sourced &amp; dated in the affordability column). Rejects are tracked in the repo mirror file, not here.</t>
        </is>
      </c>
    </row>
    <row r="6">
      <c r="A6" s="2" t="inlineStr">
        <is>
          <t>Waves 3-12 pending: Health (verifying now), Tech hardware, Software, Industrial, Energy, Services, Telecom/Space, Logistics/Mobility, Media/Gaming, AI. This one document gets updated and re-sent after each wave.</t>
        </is>
      </c>
    </row>
    <row r="7">
      <c r="A7" s="2" t="inlineStr">
        <is>
          <t>Wave 3 - Health &amp; Wellness (20 Sep): 53 verified -&gt; 23 Yes / 18 Stretch / 12 No; 41 merged. Top adds: Haleon, Cigna, HCA, Insulet, Straumann, Sonova, Coloplast, Celltrion, Innovent, Sun Pharma, Dr. Reddy's, Daiichi Sankyo, Exelixis. Catches: Crinetics (acquired by Vertex Sep 1), Kenvue (litigation + Kimberly-Clark acquisition), Ultragenyx (Phase III failure), GN Store Nord (cap collapse), Vinamilk-class state rules enforced.</t>
        </is>
      </c>
    </row>
    <row r="8">
      <c r="A8" s="2" t="inlineStr">
        <is>
          <t>Wave 4 - Tech hardware/telecom (20 Sep): 27 verified -&gt; 10 Yes / 8 Stretch / 9 No; 18 merged. Top adds: Accton (~$40B), Asia Vital Components (~$36B), GIGABYTE, MTN Group, HCLTech (Ferrari deal LAPSED - win-back angle), Mphasis. Catches: America Movil = active Cadillac F1 sponsor (Telcel/Perez); Telenor majority Norwegian state; Panasonic mid-restructuring; Globant capacity collapse + F1 partner.</t>
        </is>
      </c>
    </row>
    <row r="9">
      <c r="A9" s="2" t="inlineStr">
        <is>
          <t>Wave 6 - Industrial/Logistics/Mobility (20 Sep): 28 verified -&gt; 17 Yes / 10 Stretch / 1 No; 27 merged. Top adds: Teledyne ($27.9B), ATI ($26.1B), Samvardhana Motherson, Autoliv, Lear, XPO, Schneider National, Knight-Swift, SG Holdings, Iveco, Agility Global PLC (entity corrected from Makhazen/Agility KSCP), GMR Airports, Diploma, Omron, AAON, Smiths Group. Catch: Toyota Boshoku = No via Toyota Gazoo Racing's Haas title sponsorship.</t>
        </is>
      </c>
    </row>
    <row r="10">
      <c r="A10" s="2" t="inlineStr">
        <is>
          <t>Wave 5 - Software residue (20 Sep): 10 verified -&gt; 6 Yes / 4 Stretch (Zelis $17B, R1 RCM, Inovalon, EngageSmart, IBS Software, MEDITECH). Wave 7 - Energy (20 Sep): 43 verified -&gt; 24 Yes / 15 Stretch / 4 No; catches: ARC Resources acquired by Shell Sep 2 (Ferrari parent conflict), Coterra merged into Devon, Clearway = TotalEnergies/Elf-Alpine parent conflict, Valaris mid-absorption. Flagship adds: Enterprise Products ($83.9B), TechnipFMC ($29.4B), Enbridge, Energy Transfer, SLB, Kinder Morgan, Brookfield Renewable.</t>
        </is>
      </c>
    </row>
    <row r="11">
      <c r="A11" s="2" t="inlineStr">
        <is>
          <t>Wave 8 - Services/REITs/Trading houses (20 Sep): 43 verified -&gt; 17 Yes / 15 Stretch / 11 No; 32 merged. Top adds: Mitsubishi Corp (~$110B+), Marubeni, Sumitomo Corp, Sojitz, Wesfarmers, Jardine Matheson, Swire, Aramark (already caters GPs - warm start), Brambles, VICI (owns Vegas Strip real estate), Ryman, Goodman (~$39B), Realty Income (~$54B), SEGRO, Lamar. Catches: Toyota Tsusho = Gazoo/Haas parent conflict; National Storage Affiliates acquired by Public Storage Jul 2026; Acadia DOJ probe; healthcare services zeroed on structural fit.</t>
        </is>
      </c>
    </row>
    <row r="12">
      <c r="A12" s="2" t="inlineStr">
        <is>
          <t>Waves 9-12 - Telecom/Logistics/Media/AI residues (21 Sep): 35 candidates -&gt; 23 verified -&gt; 8 Yes / 11 Stretch / 4 No; 19 merged. Stars: InPost ($9B, consumer parcel), RB Global/Ritchie Bros ($15.7B), Banijay (EUR4.9B rev), Axel Springer, Toho, Raben &amp; Fiege (family logistics). Catches: EA now 93% Saudi PIF-owned + holds F1 game license; Krafton/PUBG, Paramount+, Core Scientific, CoreWeave, VAST, Lambda all roster/db conflicts; Frontier absorbed by Verizon; Astra = Jardine duplicate.</t>
        </is>
      </c>
    </row>
    <row r="13">
      <c r="A13" s="2" t="inlineStr">
        <is>
          <t>Wave 13 - Deep pass on 42 under-covered sectors (21 Sep): 175 candidates -&gt; 81 verified -&gt; 27 Yes / 29 Stretch / 25 No; 56 merged. Top adds: voestalpine, GEA Group, Phoenix Contact, Delta Electronics, Rohde &amp; Schwarz, Timken, Bucher, Hitachi Energy India, GE Vernova T&amp;D India, Applus+, Weidmuller, SACMI. Conflict catches: Trend Micro (McLaren), Indra (Alpine), Hexagon (Red Bull), IFS (Cadillac), Airwallex (McLaren), DAMAC (Red Bull via parent), Tata Motors &amp; Taj Hotels (Tata Comms parent), MSC Cruises (race titles).</t>
        </is>
      </c>
    </row>
    <row r="14">
      <c r="A14" s="2">
        <f>== EXERCISE COMPLETE (21 Sep 2026): 13 waves, 441 companies fully verified, 342 merged as verified-new/verified-stretch rows across the master's sector tabs. Every figure carries a date and source; every reject has a recorded reason. ===</f>
        <v/>
      </c>
    </row>
    <row r="15">
      <c r="A15" s="2" t="inlineStr"/>
    </row>
    <row r="16">
      <c r="A16" s="13" t="inlineStr">
        <is>
          <t>PART 2 - STANDALONE VIEW OF THE NEW BRANDS (F1-New-Brands-By-Wave-2026-09.xlsx)</t>
        </is>
      </c>
    </row>
    <row r="17">
      <c r="A17" s="2" t="inlineStr">
        <is>
          <t>One tab per wave holding only the newly added brands, none of the original master rows. Reproduced here as Part A.</t>
        </is>
      </c>
    </row>
    <row r="18">
      <c r="A18" s="2" t="inlineStr"/>
    </row>
    <row r="19">
      <c r="A19" s="13" t="inlineStr">
        <is>
          <t>PART 3 - EXPANSION RUN (F1-Expansion-Book-2026-09.xlsx), separate workbook, master untouched</t>
        </is>
      </c>
    </row>
    <row r="20">
      <c r="A20" s="2" t="inlineStr">
        <is>
          <t>Track A: every one of the 1,063 names in the existing New-Sectors book (18 sectors) was desk-triaged, then all plausible names were live-verified company by company. Reproduced here as Part B.</t>
        </is>
      </c>
    </row>
    <row r="21">
      <c r="A21" s="2" t="inlineStr">
        <is>
          <t>Track B: 24 brand-new sectors were proposed, approved, populated from scratch and verified the same way. Reproduced here as Part C (one sector, Grooming, folded into 22).</t>
        </is>
      </c>
    </row>
    <row r="22">
      <c r="A22" s="2" t="inlineStr">
        <is>
          <t>Result: 1,203 names fully verified -&gt; 798 kept (277 Yes / 521 Stretch), 405 rejected after verification, 143 rejected at desk triage. Nothing pending. Status COMPLETE (28 Sep 2026).</t>
        </is>
      </c>
    </row>
    <row r="23">
      <c r="A23" s="2" t="inlineStr"/>
    </row>
    <row r="24">
      <c r="A24" s="13" t="inlineStr">
        <is>
          <t>PARAMETERS APPLIED (v2 spec + $1B-crossing rule, reports/f1-qualification-spec-2026-09.md)</t>
        </is>
      </c>
    </row>
    <row r="25">
      <c r="A25" s="2" t="inlineStr">
        <is>
          <t>Hard bars: no existing F1 team/series/driver tie (incl. common control with an F1 sponsor); revenue &gt;$100M (dated, sourced); valuation &gt;$1B or public market cap &gt;$1B; private partnerships / family / employee-owned firms with no valuation pass on revenue but cap at Stretch; headcount &gt;50; not pre-revenue; sub-$1B public company = No.</t>
        </is>
      </c>
    </row>
    <row r="26">
      <c r="A26" s="2" t="inlineStr">
        <is>
          <t>Ownership: majority state ownership = No, minority state stake = flag only; PEP / sanctions exposure = No; gambling = No; alcohol = compliance-frame flag.</t>
        </is>
      </c>
    </row>
    <row r="27">
      <c r="A27" s="2" t="inlineStr">
        <is>
          <t>Verdicts: Yes = all hard bars pass and fit &gt;= 2 with no real reservation; Stretch = passes with one real reservation (unpublished valuation, recent ownership change, thin margins, budget autonomy); No = a hard bar failed. Fit is a soft filter and never rejects on its own.</t>
        </is>
      </c>
    </row>
    <row r="28">
      <c r="A28" s="2" t="inlineStr">
        <is>
          <t>Priority score: Yes = 60 + fit x 8; Stretch = 40 + fit x 6.</t>
        </is>
      </c>
    </row>
    <row r="29">
      <c r="A29" s="2" t="inlineStr"/>
    </row>
    <row r="30">
      <c r="A30" s="13" t="inlineStr">
        <is>
          <t>CONSISTENCY CORRECTIONS APPLIED AT COMPILE</t>
        </is>
      </c>
    </row>
    <row r="31">
      <c r="A31" s="2" t="inlineStr">
        <is>
          <t>Hepsiburada, Salla, Thermaltake -&gt; No (public company under $1B market cap). Grupo Carso -&gt; No (common control with America Movil / Claro, an F1 sponsor). Nesma Partners -&gt; Stretch (PIF minority stake is a flag, not a tie). Fit-only reservations held at Stretch, never No. Yes verdicts issued without an F1-conflict search were downgraded to Stretch.</t>
        </is>
      </c>
    </row>
    <row r="32">
      <c r="A32" s="2" t="inlineStr"/>
    </row>
    <row r="33">
      <c r="A33" s="13" t="inlineStr">
        <is>
          <t>CLOSED CATEGORIES FOUND DURING THE RUN (existing F1 sponsor blocks the category)</t>
        </is>
      </c>
    </row>
    <row r="34">
      <c r="A34" s="2" t="inlineStr">
        <is>
          <t>Insurance broking / reinsurance (Marsh), wealth management (Standard Chartered), water tech (BWT), private aviation (Flexjet), grooming (Wilkinson Sword), hotel franchises (Marriott, Hyatt, Hilton). Sectors still populated with non-conflicting names where they exist.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2026-09-28T20:33:15Z</dcterms:created>
  <dcterms:modified xmlns:dcterms="http://purl.org/dc/terms/" xmlns:xsi="http://www.w3.org/2001/XMLSchema-instance" xsi:type="dcterms:W3CDTF">2026-09-28T20:33:16Z</dcterms:modified>
</cp:coreProperties>
</file>